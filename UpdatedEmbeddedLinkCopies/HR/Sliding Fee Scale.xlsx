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hallc.sharepoint.com/PFS/Insurance and Coding/"/>
    </mc:Choice>
  </mc:AlternateContent>
  <xr:revisionPtr revIDLastSave="522" documentId="11_F192F746F4BB514726DF3B946B7948696E4AB42B" xr6:coauthVersionLast="47" xr6:coauthVersionMax="47" xr10:uidLastSave="{4E5DCC6E-6461-4215-BBB8-0199D2DEAE02}"/>
  <bookViews>
    <workbookView xWindow="792" yWindow="32760" windowWidth="14832" windowHeight="7536" xr2:uid="{00000000-000D-0000-FFFF-FFFF00000000}"/>
  </bookViews>
  <sheets>
    <sheet name="2026" sheetId="5" r:id="rId1"/>
    <sheet name="2025" sheetId="4" r:id="rId2"/>
    <sheet name="2024" sheetId="3" r:id="rId3"/>
    <sheet name="2023" sheetId="2" r:id="rId4"/>
    <sheet name="2022" sheetId="1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7" i="5" l="1"/>
  <c r="P8" i="5"/>
  <c r="P9" i="5"/>
  <c r="P10" i="5"/>
  <c r="P11" i="5"/>
  <c r="P12" i="5"/>
  <c r="P13" i="5"/>
  <c r="P14" i="5"/>
  <c r="P15" i="5"/>
  <c r="P6" i="5"/>
  <c r="M7" i="5"/>
  <c r="M8" i="5"/>
  <c r="M9" i="5"/>
  <c r="M10" i="5"/>
  <c r="M11" i="5"/>
  <c r="M12" i="5"/>
  <c r="M13" i="5"/>
  <c r="M14" i="5"/>
  <c r="M15" i="5"/>
  <c r="M6" i="5"/>
  <c r="N7" i="5"/>
  <c r="N8" i="5"/>
  <c r="N9" i="5"/>
  <c r="N10" i="5"/>
  <c r="N11" i="5"/>
  <c r="N12" i="5"/>
  <c r="N13" i="5"/>
  <c r="N14" i="5"/>
  <c r="N15" i="5"/>
  <c r="N6" i="5"/>
  <c r="R7" i="5"/>
  <c r="R8" i="5"/>
  <c r="R9" i="5"/>
  <c r="R10" i="5"/>
  <c r="R11" i="5"/>
  <c r="R12" i="5"/>
  <c r="R13" i="5"/>
  <c r="R14" i="5"/>
  <c r="R15" i="5"/>
  <c r="R6" i="5"/>
  <c r="R25" i="5"/>
  <c r="R26" i="5"/>
  <c r="R27" i="5"/>
  <c r="R28" i="5"/>
  <c r="R29" i="5"/>
  <c r="R30" i="5"/>
  <c r="R31" i="5"/>
  <c r="R32" i="5"/>
  <c r="R33" i="5"/>
  <c r="R24" i="5"/>
  <c r="N25" i="5"/>
  <c r="N26" i="5"/>
  <c r="N27" i="5"/>
  <c r="N28" i="5"/>
  <c r="N29" i="5"/>
  <c r="N30" i="5"/>
  <c r="N31" i="5"/>
  <c r="N32" i="5"/>
  <c r="N33" i="5"/>
  <c r="N24" i="5"/>
  <c r="K32" i="5"/>
  <c r="K33" i="5"/>
  <c r="K25" i="5"/>
  <c r="K26" i="5"/>
  <c r="K27" i="5"/>
  <c r="K28" i="5"/>
  <c r="K29" i="5"/>
  <c r="K30" i="5"/>
  <c r="K31" i="5"/>
  <c r="K24" i="5"/>
  <c r="H7" i="5"/>
  <c r="K7" i="5" s="1"/>
  <c r="H8" i="5"/>
  <c r="K8" i="5" s="1"/>
  <c r="H9" i="5"/>
  <c r="K9" i="5" s="1"/>
  <c r="H10" i="5"/>
  <c r="K10" i="5" s="1"/>
  <c r="H11" i="5"/>
  <c r="K11" i="5" s="1"/>
  <c r="H12" i="5"/>
  <c r="K12" i="5" s="1"/>
  <c r="H13" i="5"/>
  <c r="K13" i="5" s="1"/>
  <c r="H14" i="5"/>
  <c r="K14" i="5" s="1"/>
  <c r="H15" i="5"/>
  <c r="K15" i="5" s="1"/>
  <c r="H6" i="5"/>
  <c r="K6" i="5" s="1"/>
  <c r="D7" i="5"/>
  <c r="F7" i="5" s="1"/>
  <c r="D8" i="5"/>
  <c r="F8" i="5" s="1"/>
  <c r="D9" i="5"/>
  <c r="F9" i="5" s="1"/>
  <c r="D10" i="5"/>
  <c r="F10" i="5" s="1"/>
  <c r="D11" i="5"/>
  <c r="F11" i="5" s="1"/>
  <c r="D12" i="5"/>
  <c r="F12" i="5" s="1"/>
  <c r="D13" i="5"/>
  <c r="F13" i="5" s="1"/>
  <c r="F25" i="5"/>
  <c r="F26" i="5"/>
  <c r="F27" i="5"/>
  <c r="F28" i="5"/>
  <c r="F29" i="5"/>
  <c r="F30" i="5"/>
  <c r="F31" i="5"/>
  <c r="F24" i="5"/>
  <c r="D32" i="5"/>
  <c r="D6" i="5"/>
  <c r="F6" i="5" s="1"/>
  <c r="D14" i="5" l="1"/>
  <c r="F14" i="5" s="1"/>
  <c r="F32" i="5"/>
  <c r="D33" i="5"/>
  <c r="D15" i="5" l="1"/>
  <c r="F15" i="5" s="1"/>
  <c r="F33" i="5"/>
</calcChain>
</file>

<file path=xl/sharedStrings.xml><?xml version="1.0" encoding="utf-8"?>
<sst xmlns="http://schemas.openxmlformats.org/spreadsheetml/2006/main" count="398" uniqueCount="53">
  <si>
    <t>Women's Healthcare Associates Sliding Fee Scale - Monthly Income Federal Year 2026</t>
  </si>
  <si>
    <t>Monthly Gross Income  (Eff. January 12, 2026 - January 11, 2027)</t>
  </si>
  <si>
    <t>Household Size</t>
  </si>
  <si>
    <t>15% of Full Amount                            (At or Below 100% FPL)</t>
  </si>
  <si>
    <t>30% of Full Amount         101%-133% FPL)</t>
  </si>
  <si>
    <t xml:space="preserve">55% of Full Amount   (134%-150% FPL)                                    </t>
  </si>
  <si>
    <t>75% of Full Amount                                       (151%-199% FPL)</t>
  </si>
  <si>
    <t>Full Charge</t>
  </si>
  <si>
    <t>(Above 200% FPL)</t>
  </si>
  <si>
    <t xml:space="preserve">    Up to</t>
  </si>
  <si>
    <t>From</t>
  </si>
  <si>
    <t>To</t>
  </si>
  <si>
    <t>Over</t>
  </si>
  <si>
    <t>10*</t>
  </si>
  <si>
    <t>*Add $458  for each person over 10</t>
  </si>
  <si>
    <t>Women's Healthcare Associates Sliding Fee Scale - Federal Year 2026</t>
  </si>
  <si>
    <t>Annual Gross Income  (Eff. January 12, 2026 - January 11, 2027)</t>
  </si>
  <si>
    <t>30% of Full Amount                     (101%-133% FPL)                                       Eligible for OHP</t>
  </si>
  <si>
    <t> </t>
  </si>
  <si>
    <t>Up to</t>
  </si>
  <si>
    <t>OVER</t>
  </si>
  <si>
    <t>*Add $5,680 for each person over 10</t>
  </si>
  <si>
    <t>HHS Poverty Guidelines for 2026: https://aspe.hhs.gov/topics/poverty-economic-mobility/poverty-guidelines</t>
  </si>
  <si>
    <t>Poverty Guidelines | ASPE (hhs.gov)</t>
  </si>
  <si>
    <t>Women's Healthcare Associates Sliding Fee Scale - Monthly Income Federal Year 2025</t>
  </si>
  <si>
    <t>Monthly Gross Income  (Eff. January 12, 2025 - January 11, 2026)</t>
  </si>
  <si>
    <t>Women's Healthcare Associates Sliding Fee Scale - Federal Year 2025</t>
  </si>
  <si>
    <t>Annual Gross Income  (Eff. January 12, 2025 - January 11, 2026)</t>
  </si>
  <si>
    <t>*Add $5,500 for each person over 10</t>
  </si>
  <si>
    <t>HHS Poverty Guidelines for 2025: https://aspe.hhs.gov/topics/poverty-economic-mobility/poverty-guidelines</t>
  </si>
  <si>
    <t>Women's Healthcare Associates Sliding Fee Scale - Monthly Income Federal Year 2024</t>
  </si>
  <si>
    <t>Monthly Gross Income  (Eff. January 12, 2024  - January 11, 2025)</t>
  </si>
  <si>
    <t>30% of Full Amount                           (101%-133% FPL)</t>
  </si>
  <si>
    <t>Full Charge
(Above 200% FPL)</t>
  </si>
  <si>
    <t>*Add $428  for each person over 10</t>
  </si>
  <si>
    <t>Women's Healthcare Associates Sliding Fee Scale - Federal Year 2023</t>
  </si>
  <si>
    <t>Annual Gross Income  (Eff. January 12, 2024 - January 11, 2025)</t>
  </si>
  <si>
    <t>30% of Full Amount                              (101%-133% FPL)                                       Eligible for OHP</t>
  </si>
  <si>
    <t>*Add $5,140 for each person over 10</t>
  </si>
  <si>
    <t>HHS Poverty Guidelines for 2023: https://aspe.hhs.gov/topics/poverty-economic-mobility/poverty-guidelines</t>
  </si>
  <si>
    <t>Women's Healthcare Associates Sliding Fee Scale - Monthly Income Federal Year 2023</t>
  </si>
  <si>
    <t>Monthly Gross Income  (Eff. January 12, 2023  - January 11, 2024)</t>
  </si>
  <si>
    <t>30% of Full Amount               (101%-133% FPL)</t>
  </si>
  <si>
    <t>Annual Gross Income  (Eff. January 12, 2023 - January 11, 2024)</t>
  </si>
  <si>
    <t>30% of Full Amount               (101%-133% FPL)           Eligible for OHP</t>
  </si>
  <si>
    <t>Women's Healthcare Associates Sliding Fee Scale - Federal Year 2022</t>
  </si>
  <si>
    <t>Annual Gross Income  (Eff. January 12, 2022 - January 11, 2023)</t>
  </si>
  <si>
    <t xml:space="preserve">55% of Full Amount   (134%-166% FPL)                                    </t>
  </si>
  <si>
    <t>75% of Full Amount                                       (167%-199% FPL)</t>
  </si>
  <si>
    <t>*Add $4,540 for each person over 10</t>
  </si>
  <si>
    <t>Monthly Gross Income  (Eff. January 12, 2022 - January 11, 2023)</t>
  </si>
  <si>
    <t>*Add $378.33 for each person over 10</t>
  </si>
  <si>
    <t>HHS Poverty Guidelines for 2022: https://aspe.hhs.gov/topics/poverty-economic-mobility/poverty-guidelines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</si>
</sst>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&quot;$&quot;#,##0"/>
    <numFmt numFmtId="165" formatCode="\$\ #,##0"/>
  </numFmts>
  <fonts count="26">
    <font>
      <sz val="10"/>
      <name val="Arial"/>
    </font>
    <font>
      <sz val="9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u/>
      <sz val="14"/>
      <color rgb="FF000000"/>
      <name val="Calibri"/>
      <family val="2"/>
    </font>
    <font>
      <b/>
      <sz val="10"/>
      <color rgb="FF000000"/>
      <name val="Calibri"/>
      <family val="2"/>
    </font>
    <font>
      <u/>
      <sz val="10"/>
      <color theme="10"/>
      <name val="Arial"/>
    </font>
    <font>
      <sz val="10"/>
      <name val="Arial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333333"/>
      <name val="Arial"/>
      <family val="2"/>
    </font>
    <font>
      <b/>
      <sz val="14"/>
      <name val="Arial"/>
      <family val="2"/>
    </font>
    <font>
      <b/>
      <sz val="9"/>
      <name val="Arial"/>
      <family val="2"/>
    </font>
    <font>
      <b/>
      <sz val="11"/>
      <name val="Arial"/>
      <family val="2"/>
    </font>
    <font>
      <b/>
      <sz val="11"/>
      <color rgb="FF333333"/>
      <name val="Arial"/>
      <family val="2"/>
    </font>
    <font>
      <sz val="11"/>
      <color rgb="FF333333"/>
      <name val="Arial"/>
      <family val="2"/>
    </font>
    <font>
      <sz val="11"/>
      <color rgb="FF000000"/>
      <name val="Times New Roman"/>
      <family val="1"/>
    </font>
    <font>
      <sz val="11"/>
      <name val="Arial"/>
      <family val="2"/>
    </font>
    <font>
      <i/>
      <sz val="10"/>
      <name val="Arial"/>
      <family val="2"/>
    </font>
    <font>
      <b/>
      <sz val="8"/>
      <name val="Arial"/>
      <family val="2"/>
    </font>
    <font>
      <sz val="8"/>
      <name val="Calibri"/>
      <family val="2"/>
    </font>
    <font>
      <sz val="8"/>
      <color rgb="FF000000"/>
      <name val="Times New Roman"/>
      <family val="1"/>
    </font>
    <font>
      <sz val="11"/>
      <color rgb="FF333333"/>
      <name val="Arial"/>
    </font>
    <font>
      <i/>
      <sz val="10"/>
      <color rgb="FF333333"/>
      <name val="Arial"/>
      <family val="2"/>
    </font>
    <font>
      <u/>
      <sz val="10"/>
      <color theme="10"/>
      <name val="Arial"/>
      <family val="2"/>
    </font>
    <font>
      <u/>
      <sz val="10"/>
      <color theme="10"/>
      <name val="Arial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4F848F"/>
        <bgColor indexed="64"/>
      </patternFill>
    </fill>
    <fill>
      <patternFill patternType="solid">
        <fgColor rgb="FFD1E2E5"/>
        <bgColor indexed="64"/>
      </patternFill>
    </fill>
    <fill>
      <patternFill patternType="solid">
        <fgColor rgb="FFF7F7F7"/>
      </patternFill>
    </fill>
    <fill>
      <patternFill patternType="solid">
        <fgColor rgb="FFF7F7F7"/>
        <bgColor rgb="FF000000"/>
      </patternFill>
    </fill>
    <fill>
      <patternFill patternType="solid">
        <fgColor rgb="FF4F848F"/>
        <bgColor rgb="FF000000"/>
      </patternFill>
    </fill>
    <fill>
      <patternFill patternType="solid">
        <fgColor rgb="FFD1E2E5"/>
        <bgColor rgb="FF000000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43" fontId="7" fillId="0" borderId="0" applyFont="0" applyFill="0" applyBorder="0" applyAlignment="0" applyProtection="0"/>
  </cellStyleXfs>
  <cellXfs count="15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1"/>
    <xf numFmtId="0" fontId="3" fillId="2" borderId="0" xfId="0" applyFont="1" applyFill="1" applyAlignment="1">
      <alignment wrapText="1"/>
    </xf>
    <xf numFmtId="9" fontId="5" fillId="2" borderId="0" xfId="0" applyNumberFormat="1" applyFont="1" applyFill="1"/>
    <xf numFmtId="0" fontId="0" fillId="2" borderId="0" xfId="0" applyFill="1"/>
    <xf numFmtId="0" fontId="3" fillId="2" borderId="0" xfId="0" applyFont="1" applyFill="1"/>
    <xf numFmtId="6" fontId="1" fillId="2" borderId="0" xfId="0" applyNumberFormat="1" applyFont="1" applyFill="1"/>
    <xf numFmtId="0" fontId="1" fillId="2" borderId="0" xfId="0" applyFont="1" applyFill="1"/>
    <xf numFmtId="0" fontId="4" fillId="2" borderId="0" xfId="0" applyFont="1" applyFill="1"/>
    <xf numFmtId="0" fontId="9" fillId="0" borderId="0" xfId="0" applyFont="1" applyAlignment="1">
      <alignment horizontal="center"/>
    </xf>
    <xf numFmtId="164" fontId="8" fillId="0" borderId="0" xfId="0" applyNumberFormat="1" applyFont="1"/>
    <xf numFmtId="0" fontId="9" fillId="0" borderId="1" xfId="0" applyFont="1" applyBorder="1" applyAlignment="1">
      <alignment horizontal="center"/>
    </xf>
    <xf numFmtId="164" fontId="8" fillId="0" borderId="1" xfId="0" applyNumberFormat="1" applyFont="1" applyBorder="1"/>
    <xf numFmtId="164" fontId="8" fillId="0" borderId="0" xfId="2" applyNumberFormat="1" applyFont="1" applyFill="1" applyAlignment="1"/>
    <xf numFmtId="164" fontId="8" fillId="0" borderId="1" xfId="2" applyNumberFormat="1" applyFont="1" applyFill="1" applyBorder="1" applyAlignment="1"/>
    <xf numFmtId="0" fontId="0" fillId="0" borderId="0" xfId="0" applyAlignment="1">
      <alignment horizontal="left" vertical="top"/>
    </xf>
    <xf numFmtId="0" fontId="16" fillId="4" borderId="7" xfId="0" applyFont="1" applyFill="1" applyBorder="1" applyAlignment="1">
      <alignment horizontal="center" vertical="top" wrapText="1"/>
    </xf>
    <xf numFmtId="0" fontId="17" fillId="4" borderId="6" xfId="0" applyFont="1" applyFill="1" applyBorder="1" applyAlignment="1">
      <alignment horizontal="center" vertical="top" wrapText="1"/>
    </xf>
    <xf numFmtId="0" fontId="13" fillId="4" borderId="7" xfId="0" applyFont="1" applyFill="1" applyBorder="1" applyAlignment="1">
      <alignment horizontal="center" vertical="top" wrapText="1"/>
    </xf>
    <xf numFmtId="165" fontId="15" fillId="5" borderId="6" xfId="0" applyNumberFormat="1" applyFont="1" applyFill="1" applyBorder="1" applyAlignment="1">
      <alignment horizontal="center" vertical="top" shrinkToFit="1"/>
    </xf>
    <xf numFmtId="165" fontId="15" fillId="5" borderId="7" xfId="0" applyNumberFormat="1" applyFont="1" applyFill="1" applyBorder="1" applyAlignment="1">
      <alignment horizontal="center" vertical="top" shrinkToFit="1"/>
    </xf>
    <xf numFmtId="165" fontId="15" fillId="5" borderId="10" xfId="0" applyNumberFormat="1" applyFont="1" applyFill="1" applyBorder="1" applyAlignment="1">
      <alignment horizontal="center" vertical="top" shrinkToFit="1"/>
    </xf>
    <xf numFmtId="0" fontId="21" fillId="0" borderId="3" xfId="0" applyFont="1" applyBorder="1" applyAlignment="1">
      <alignment horizontal="left" wrapText="1"/>
    </xf>
    <xf numFmtId="0" fontId="16" fillId="4" borderId="4" xfId="0" applyFont="1" applyFill="1" applyBorder="1" applyAlignment="1">
      <alignment vertical="top" wrapText="1"/>
    </xf>
    <xf numFmtId="6" fontId="15" fillId="6" borderId="6" xfId="0" applyNumberFormat="1" applyFont="1" applyFill="1" applyBorder="1"/>
    <xf numFmtId="6" fontId="15" fillId="6" borderId="10" xfId="0" applyNumberFormat="1" applyFont="1" applyFill="1" applyBorder="1"/>
    <xf numFmtId="0" fontId="21" fillId="0" borderId="0" xfId="0" applyFont="1" applyAlignment="1">
      <alignment wrapText="1"/>
    </xf>
    <xf numFmtId="6" fontId="15" fillId="6" borderId="6" xfId="0" applyNumberFormat="1" applyFont="1" applyFill="1" applyBorder="1" applyAlignment="1">
      <alignment horizontal="center"/>
    </xf>
    <xf numFmtId="0" fontId="16" fillId="8" borderId="6" xfId="0" applyFont="1" applyFill="1" applyBorder="1" applyAlignment="1">
      <alignment wrapText="1"/>
    </xf>
    <xf numFmtId="0" fontId="13" fillId="8" borderId="6" xfId="0" applyFont="1" applyFill="1" applyBorder="1" applyAlignment="1">
      <alignment wrapText="1"/>
    </xf>
    <xf numFmtId="0" fontId="17" fillId="8" borderId="6" xfId="0" applyFont="1" applyFill="1" applyBorder="1" applyAlignment="1">
      <alignment wrapText="1"/>
    </xf>
    <xf numFmtId="6" fontId="15" fillId="6" borderId="12" xfId="0" applyNumberFormat="1" applyFont="1" applyFill="1" applyBorder="1"/>
    <xf numFmtId="0" fontId="16" fillId="8" borderId="6" xfId="0" applyFont="1" applyFill="1" applyBorder="1" applyAlignment="1">
      <alignment vertical="top" wrapText="1"/>
    </xf>
    <xf numFmtId="0" fontId="16" fillId="8" borderId="6" xfId="0" applyFont="1" applyFill="1" applyBorder="1" applyAlignment="1">
      <alignment horizontal="center" vertical="center" wrapText="1"/>
    </xf>
    <xf numFmtId="0" fontId="23" fillId="6" borderId="8" xfId="0" applyFont="1" applyFill="1" applyBorder="1" applyAlignment="1">
      <alignment wrapText="1"/>
    </xf>
    <xf numFmtId="0" fontId="23" fillId="6" borderId="9" xfId="0" applyFont="1" applyFill="1" applyBorder="1" applyAlignment="1">
      <alignment wrapText="1"/>
    </xf>
    <xf numFmtId="0" fontId="23" fillId="6" borderId="10" xfId="0" applyFont="1" applyFill="1" applyBorder="1" applyAlignment="1">
      <alignment wrapText="1"/>
    </xf>
    <xf numFmtId="0" fontId="20" fillId="0" borderId="3" xfId="0" applyFont="1" applyBorder="1" applyAlignment="1">
      <alignment wrapText="1"/>
    </xf>
    <xf numFmtId="0" fontId="6" fillId="0" borderId="3" xfId="1" applyFill="1" applyBorder="1" applyAlignment="1">
      <alignment wrapText="1"/>
    </xf>
    <xf numFmtId="0" fontId="25" fillId="0" borderId="3" xfId="1" applyFont="1" applyFill="1" applyBorder="1" applyAlignment="1">
      <alignment wrapText="1"/>
    </xf>
    <xf numFmtId="0" fontId="13" fillId="8" borderId="5" xfId="0" applyFont="1" applyFill="1" applyBorder="1" applyAlignment="1">
      <alignment horizontal="right" wrapText="1"/>
    </xf>
    <xf numFmtId="0" fontId="13" fillId="8" borderId="0" xfId="0" applyFont="1" applyFill="1" applyAlignment="1">
      <alignment horizontal="right" wrapText="1"/>
    </xf>
    <xf numFmtId="6" fontId="15" fillId="6" borderId="1" xfId="0" applyNumberFormat="1" applyFont="1" applyFill="1" applyBorder="1" applyAlignment="1">
      <alignment horizontal="left"/>
    </xf>
    <xf numFmtId="0" fontId="15" fillId="6" borderId="12" xfId="0" applyFont="1" applyFill="1" applyBorder="1" applyAlignment="1">
      <alignment horizontal="left"/>
    </xf>
    <xf numFmtId="6" fontId="15" fillId="6" borderId="0" xfId="0" applyNumberFormat="1" applyFont="1" applyFill="1" applyAlignment="1">
      <alignment horizontal="left"/>
    </xf>
    <xf numFmtId="0" fontId="15" fillId="6" borderId="0" xfId="0" applyFont="1" applyFill="1" applyAlignment="1">
      <alignment horizontal="left"/>
    </xf>
    <xf numFmtId="0" fontId="15" fillId="6" borderId="6" xfId="0" applyFont="1" applyFill="1" applyBorder="1" applyAlignment="1">
      <alignment horizontal="left"/>
    </xf>
    <xf numFmtId="0" fontId="13" fillId="8" borderId="0" xfId="0" applyFont="1" applyFill="1" applyAlignment="1">
      <alignment wrapText="1"/>
    </xf>
    <xf numFmtId="0" fontId="13" fillId="8" borderId="6" xfId="0" applyFont="1" applyFill="1" applyBorder="1" applyAlignment="1">
      <alignment wrapText="1"/>
    </xf>
    <xf numFmtId="0" fontId="17" fillId="8" borderId="0" xfId="0" applyFont="1" applyFill="1" applyAlignment="1">
      <alignment wrapText="1"/>
    </xf>
    <xf numFmtId="0" fontId="17" fillId="8" borderId="6" xfId="0" applyFont="1" applyFill="1" applyBorder="1" applyAlignment="1">
      <alignment wrapText="1"/>
    </xf>
    <xf numFmtId="0" fontId="10" fillId="7" borderId="2" xfId="0" applyFont="1" applyFill="1" applyBorder="1" applyAlignment="1">
      <alignment wrapText="1"/>
    </xf>
    <xf numFmtId="0" fontId="10" fillId="7" borderId="3" xfId="0" applyFont="1" applyFill="1" applyBorder="1" applyAlignment="1">
      <alignment wrapText="1"/>
    </xf>
    <xf numFmtId="0" fontId="12" fillId="7" borderId="5" xfId="0" applyFont="1" applyFill="1" applyBorder="1" applyAlignment="1">
      <alignment wrapText="1"/>
    </xf>
    <xf numFmtId="0" fontId="12" fillId="7" borderId="0" xfId="0" applyFont="1" applyFill="1" applyAlignment="1">
      <alignment wrapText="1"/>
    </xf>
    <xf numFmtId="0" fontId="13" fillId="7" borderId="5" xfId="0" applyFont="1" applyFill="1" applyBorder="1" applyAlignment="1">
      <alignment wrapText="1"/>
    </xf>
    <xf numFmtId="0" fontId="13" fillId="7" borderId="0" xfId="0" applyFont="1" applyFill="1" applyAlignment="1">
      <alignment wrapText="1"/>
    </xf>
    <xf numFmtId="0" fontId="22" fillId="8" borderId="0" xfId="0" applyFont="1" applyFill="1" applyAlignment="1">
      <alignment horizontal="center" vertical="center" wrapText="1"/>
    </xf>
    <xf numFmtId="0" fontId="22" fillId="8" borderId="6" xfId="0" applyFont="1" applyFill="1" applyBorder="1" applyAlignment="1">
      <alignment horizontal="center" vertical="center" wrapText="1"/>
    </xf>
    <xf numFmtId="0" fontId="22" fillId="8" borderId="2" xfId="0" applyFont="1" applyFill="1" applyBorder="1" applyAlignment="1">
      <alignment horizontal="center" vertical="center" wrapText="1"/>
    </xf>
    <xf numFmtId="0" fontId="22" fillId="8" borderId="3" xfId="0" applyFont="1" applyFill="1" applyBorder="1" applyAlignment="1">
      <alignment horizontal="center" vertical="center" wrapText="1"/>
    </xf>
    <xf numFmtId="0" fontId="22" fillId="8" borderId="4" xfId="0" applyFont="1" applyFill="1" applyBorder="1" applyAlignment="1">
      <alignment horizontal="center" vertical="center" wrapText="1"/>
    </xf>
    <xf numFmtId="0" fontId="22" fillId="8" borderId="5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vertical="center" wrapText="1"/>
    </xf>
    <xf numFmtId="0" fontId="16" fillId="8" borderId="6" xfId="0" applyFont="1" applyFill="1" applyBorder="1" applyAlignment="1">
      <alignment horizontal="center" vertical="center" wrapText="1"/>
    </xf>
    <xf numFmtId="0" fontId="19" fillId="7" borderId="5" xfId="0" applyFont="1" applyFill="1" applyBorder="1" applyAlignment="1">
      <alignment wrapText="1"/>
    </xf>
    <xf numFmtId="0" fontId="19" fillId="7" borderId="0" xfId="0" applyFont="1" applyFill="1" applyAlignment="1">
      <alignment wrapText="1"/>
    </xf>
    <xf numFmtId="0" fontId="15" fillId="8" borderId="2" xfId="0" applyFont="1" applyFill="1" applyBorder="1" applyAlignment="1">
      <alignment horizontal="center" vertical="center" wrapText="1"/>
    </xf>
    <xf numFmtId="0" fontId="15" fillId="8" borderId="3" xfId="0" applyFont="1" applyFill="1" applyBorder="1" applyAlignment="1">
      <alignment horizontal="center" vertical="center" wrapText="1"/>
    </xf>
    <xf numFmtId="0" fontId="15" fillId="8" borderId="4" xfId="0" applyFont="1" applyFill="1" applyBorder="1" applyAlignment="1">
      <alignment horizontal="center" vertical="center" wrapText="1"/>
    </xf>
    <xf numFmtId="0" fontId="15" fillId="8" borderId="5" xfId="0" applyFont="1" applyFill="1" applyBorder="1" applyAlignment="1">
      <alignment horizontal="center" vertical="center" wrapText="1"/>
    </xf>
    <xf numFmtId="0" fontId="15" fillId="8" borderId="0" xfId="0" applyFont="1" applyFill="1" applyAlignment="1">
      <alignment horizontal="center" vertical="center" wrapText="1"/>
    </xf>
    <xf numFmtId="0" fontId="15" fillId="8" borderId="6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left"/>
    </xf>
    <xf numFmtId="0" fontId="10" fillId="3" borderId="2" xfId="0" applyFont="1" applyFill="1" applyBorder="1" applyAlignment="1">
      <alignment horizontal="left" vertical="top" wrapText="1" indent="15"/>
    </xf>
    <xf numFmtId="0" fontId="11" fillId="3" borderId="3" xfId="0" applyFont="1" applyFill="1" applyBorder="1" applyAlignment="1">
      <alignment horizontal="left" vertical="top" wrapText="1" indent="15"/>
    </xf>
    <xf numFmtId="0" fontId="11" fillId="3" borderId="4" xfId="0" applyFont="1" applyFill="1" applyBorder="1" applyAlignment="1">
      <alignment horizontal="left" vertical="top" wrapText="1" indent="15"/>
    </xf>
    <xf numFmtId="0" fontId="19" fillId="3" borderId="5" xfId="0" applyFont="1" applyFill="1" applyBorder="1" applyAlignment="1">
      <alignment horizontal="left" vertical="top" wrapText="1" indent="27"/>
    </xf>
    <xf numFmtId="0" fontId="19" fillId="3" borderId="0" xfId="0" applyFont="1" applyFill="1" applyAlignment="1">
      <alignment horizontal="left" vertical="top" wrapText="1" indent="27"/>
    </xf>
    <xf numFmtId="0" fontId="19" fillId="3" borderId="6" xfId="0" applyFont="1" applyFill="1" applyBorder="1" applyAlignment="1">
      <alignment horizontal="left" vertical="top" wrapText="1" indent="27"/>
    </xf>
    <xf numFmtId="0" fontId="13" fillId="3" borderId="5" xfId="0" applyFont="1" applyFill="1" applyBorder="1" applyAlignment="1">
      <alignment horizontal="left" vertical="top" wrapText="1"/>
    </xf>
    <xf numFmtId="0" fontId="13" fillId="3" borderId="0" xfId="0" applyFont="1" applyFill="1" applyAlignment="1">
      <alignment horizontal="left" vertical="top" wrapText="1"/>
    </xf>
    <xf numFmtId="0" fontId="22" fillId="4" borderId="0" xfId="0" applyFont="1" applyFill="1" applyAlignment="1">
      <alignment horizontal="center" vertical="top" wrapText="1"/>
    </xf>
    <xf numFmtId="0" fontId="15" fillId="4" borderId="6" xfId="0" applyFont="1" applyFill="1" applyBorder="1" applyAlignment="1">
      <alignment horizontal="center" vertical="top" wrapText="1"/>
    </xf>
    <xf numFmtId="0" fontId="15" fillId="4" borderId="2" xfId="0" applyFont="1" applyFill="1" applyBorder="1" applyAlignment="1">
      <alignment horizontal="center" vertical="top" wrapText="1"/>
    </xf>
    <xf numFmtId="0" fontId="16" fillId="4" borderId="3" xfId="0" applyFont="1" applyFill="1" applyBorder="1" applyAlignment="1">
      <alignment horizontal="center" vertical="top" wrapText="1"/>
    </xf>
    <xf numFmtId="0" fontId="16" fillId="4" borderId="4" xfId="0" applyFont="1" applyFill="1" applyBorder="1" applyAlignment="1">
      <alignment horizontal="center" vertical="top" wrapText="1"/>
    </xf>
    <xf numFmtId="0" fontId="22" fillId="4" borderId="2" xfId="0" applyFont="1" applyFill="1" applyBorder="1" applyAlignment="1">
      <alignment horizontal="center" vertical="top" wrapText="1"/>
    </xf>
    <xf numFmtId="0" fontId="13" fillId="4" borderId="0" xfId="0" applyFont="1" applyFill="1" applyAlignment="1">
      <alignment horizontal="center" vertical="top" wrapText="1"/>
    </xf>
    <xf numFmtId="0" fontId="13" fillId="4" borderId="6" xfId="0" applyFont="1" applyFill="1" applyBorder="1" applyAlignment="1">
      <alignment horizontal="center" vertical="top" wrapText="1"/>
    </xf>
    <xf numFmtId="0" fontId="17" fillId="4" borderId="5" xfId="0" applyFont="1" applyFill="1" applyBorder="1" applyAlignment="1">
      <alignment horizontal="center" vertical="top" wrapText="1"/>
    </xf>
    <xf numFmtId="0" fontId="17" fillId="4" borderId="0" xfId="0" applyFont="1" applyFill="1" applyAlignment="1">
      <alignment horizontal="center" vertical="top" wrapText="1"/>
    </xf>
    <xf numFmtId="0" fontId="17" fillId="4" borderId="6" xfId="0" applyFont="1" applyFill="1" applyBorder="1" applyAlignment="1">
      <alignment horizontal="center" vertical="top" wrapText="1"/>
    </xf>
    <xf numFmtId="1" fontId="14" fillId="5" borderId="5" xfId="0" applyNumberFormat="1" applyFont="1" applyFill="1" applyBorder="1" applyAlignment="1">
      <alignment horizontal="center" vertical="top" shrinkToFit="1"/>
    </xf>
    <xf numFmtId="1" fontId="14" fillId="5" borderId="0" xfId="0" applyNumberFormat="1" applyFont="1" applyFill="1" applyAlignment="1">
      <alignment horizontal="center" vertical="top" shrinkToFit="1"/>
    </xf>
    <xf numFmtId="165" fontId="15" fillId="5" borderId="0" xfId="0" applyNumberFormat="1" applyFont="1" applyFill="1" applyAlignment="1">
      <alignment horizontal="center" vertical="top" shrinkToFit="1"/>
    </xf>
    <xf numFmtId="165" fontId="15" fillId="5" borderId="6" xfId="0" applyNumberFormat="1" applyFont="1" applyFill="1" applyBorder="1" applyAlignment="1">
      <alignment horizontal="center" vertical="top" shrinkToFit="1"/>
    </xf>
    <xf numFmtId="165" fontId="15" fillId="5" borderId="5" xfId="0" applyNumberFormat="1" applyFont="1" applyFill="1" applyBorder="1" applyAlignment="1">
      <alignment horizontal="center" vertical="top" shrinkToFit="1"/>
    </xf>
    <xf numFmtId="1" fontId="14" fillId="4" borderId="5" xfId="0" applyNumberFormat="1" applyFont="1" applyFill="1" applyBorder="1" applyAlignment="1">
      <alignment horizontal="center" vertical="top" shrinkToFit="1"/>
    </xf>
    <xf numFmtId="1" fontId="14" fillId="4" borderId="0" xfId="0" applyNumberFormat="1" applyFont="1" applyFill="1" applyAlignment="1">
      <alignment horizontal="center" vertical="top" shrinkToFit="1"/>
    </xf>
    <xf numFmtId="165" fontId="15" fillId="5" borderId="9" xfId="0" applyNumberFormat="1" applyFont="1" applyFill="1" applyBorder="1" applyAlignment="1">
      <alignment horizontal="center" vertical="top" shrinkToFit="1"/>
    </xf>
    <xf numFmtId="165" fontId="15" fillId="5" borderId="10" xfId="0" applyNumberFormat="1" applyFont="1" applyFill="1" applyBorder="1" applyAlignment="1">
      <alignment horizontal="center" vertical="top" shrinkToFit="1"/>
    </xf>
    <xf numFmtId="0" fontId="23" fillId="6" borderId="8" xfId="0" applyFont="1" applyFill="1" applyBorder="1" applyAlignment="1">
      <alignment horizontal="left" wrapText="1"/>
    </xf>
    <xf numFmtId="0" fontId="23" fillId="6" borderId="9" xfId="0" applyFont="1" applyFill="1" applyBorder="1" applyAlignment="1">
      <alignment horizontal="left" wrapText="1"/>
    </xf>
    <xf numFmtId="0" fontId="23" fillId="6" borderId="10" xfId="0" applyFont="1" applyFill="1" applyBorder="1" applyAlignment="1">
      <alignment horizontal="left" wrapText="1"/>
    </xf>
    <xf numFmtId="0" fontId="12" fillId="3" borderId="5" xfId="0" applyFont="1" applyFill="1" applyBorder="1" applyAlignment="1">
      <alignment horizontal="left" vertical="top" wrapText="1" indent="27"/>
    </xf>
    <xf numFmtId="0" fontId="12" fillId="3" borderId="0" xfId="0" applyFont="1" applyFill="1" applyAlignment="1">
      <alignment horizontal="left" vertical="top" wrapText="1" indent="27"/>
    </xf>
    <xf numFmtId="0" fontId="12" fillId="3" borderId="6" xfId="0" applyFont="1" applyFill="1" applyBorder="1" applyAlignment="1">
      <alignment horizontal="left" vertical="top" wrapText="1" indent="27"/>
    </xf>
    <xf numFmtId="0" fontId="22" fillId="4" borderId="6" xfId="0" applyFont="1" applyFill="1" applyBorder="1" applyAlignment="1">
      <alignment horizontal="center" vertical="top" wrapText="1"/>
    </xf>
    <xf numFmtId="0" fontId="22" fillId="4" borderId="3" xfId="0" applyFont="1" applyFill="1" applyBorder="1" applyAlignment="1">
      <alignment horizontal="center" vertical="top" wrapText="1"/>
    </xf>
    <xf numFmtId="0" fontId="22" fillId="4" borderId="4" xfId="0" applyFont="1" applyFill="1" applyBorder="1" applyAlignment="1">
      <alignment horizontal="center" vertical="top" wrapText="1"/>
    </xf>
    <xf numFmtId="0" fontId="13" fillId="4" borderId="5" xfId="0" applyFont="1" applyFill="1" applyBorder="1" applyAlignment="1">
      <alignment horizontal="center" vertical="top" wrapText="1"/>
    </xf>
    <xf numFmtId="165" fontId="15" fillId="5" borderId="8" xfId="0" applyNumberFormat="1" applyFont="1" applyFill="1" applyBorder="1" applyAlignment="1">
      <alignment horizontal="center" vertical="top" shrinkToFit="1"/>
    </xf>
    <xf numFmtId="6" fontId="15" fillId="6" borderId="5" xfId="0" applyNumberFormat="1" applyFont="1" applyFill="1" applyBorder="1" applyAlignment="1">
      <alignment horizontal="center"/>
    </xf>
    <xf numFmtId="6" fontId="15" fillId="6" borderId="0" xfId="0" applyNumberFormat="1" applyFont="1" applyFill="1" applyAlignment="1">
      <alignment horizontal="center"/>
    </xf>
    <xf numFmtId="6" fontId="15" fillId="6" borderId="6" xfId="0" applyNumberFormat="1" applyFont="1" applyFill="1" applyBorder="1" applyAlignment="1">
      <alignment horizontal="center"/>
    </xf>
    <xf numFmtId="0" fontId="15" fillId="6" borderId="6" xfId="0" applyFont="1" applyFill="1" applyBorder="1" applyAlignment="1">
      <alignment horizontal="center"/>
    </xf>
    <xf numFmtId="0" fontId="15" fillId="6" borderId="0" xfId="0" applyFont="1" applyFill="1" applyAlignment="1">
      <alignment horizontal="center"/>
    </xf>
    <xf numFmtId="0" fontId="24" fillId="0" borderId="3" xfId="1" applyFont="1" applyFill="1" applyBorder="1" applyAlignment="1">
      <alignment wrapText="1"/>
    </xf>
    <xf numFmtId="6" fontId="15" fillId="6" borderId="1" xfId="0" applyNumberFormat="1" applyFont="1" applyFill="1" applyBorder="1" applyAlignment="1">
      <alignment horizontal="center"/>
    </xf>
    <xf numFmtId="0" fontId="15" fillId="6" borderId="1" xfId="0" applyFont="1" applyFill="1" applyBorder="1" applyAlignment="1">
      <alignment horizontal="center"/>
    </xf>
    <xf numFmtId="0" fontId="15" fillId="6" borderId="12" xfId="0" applyFont="1" applyFill="1" applyBorder="1" applyAlignment="1">
      <alignment horizontal="center"/>
    </xf>
    <xf numFmtId="6" fontId="15" fillId="6" borderId="9" xfId="0" applyNumberFormat="1" applyFont="1" applyFill="1" applyBorder="1" applyAlignment="1">
      <alignment horizontal="center"/>
    </xf>
    <xf numFmtId="0" fontId="15" fillId="6" borderId="10" xfId="0" applyFont="1" applyFill="1" applyBorder="1" applyAlignment="1">
      <alignment horizontal="center"/>
    </xf>
    <xf numFmtId="0" fontId="22" fillId="4" borderId="2" xfId="0" applyFont="1" applyFill="1" applyBorder="1" applyAlignment="1">
      <alignment horizontal="center" vertical="center" wrapText="1"/>
    </xf>
    <xf numFmtId="0" fontId="22" fillId="4" borderId="3" xfId="0" applyFont="1" applyFill="1" applyBorder="1" applyAlignment="1">
      <alignment horizontal="center" vertical="center" wrapText="1"/>
    </xf>
    <xf numFmtId="0" fontId="22" fillId="4" borderId="4" xfId="0" applyFont="1" applyFill="1" applyBorder="1" applyAlignment="1">
      <alignment horizontal="center" vertical="center" wrapText="1"/>
    </xf>
    <xf numFmtId="0" fontId="18" fillId="5" borderId="8" xfId="0" applyFont="1" applyFill="1" applyBorder="1" applyAlignment="1">
      <alignment horizontal="left" vertical="top" wrapText="1" indent="1"/>
    </xf>
    <xf numFmtId="0" fontId="18" fillId="5" borderId="9" xfId="0" applyFont="1" applyFill="1" applyBorder="1" applyAlignment="1">
      <alignment horizontal="left" vertical="top" wrapText="1" indent="1"/>
    </xf>
    <xf numFmtId="0" fontId="18" fillId="5" borderId="10" xfId="0" applyFont="1" applyFill="1" applyBorder="1" applyAlignment="1">
      <alignment horizontal="left" vertical="top" wrapText="1" indent="1"/>
    </xf>
    <xf numFmtId="0" fontId="20" fillId="0" borderId="3" xfId="0" applyFont="1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14" fillId="6" borderId="5" xfId="0" applyFont="1" applyFill="1" applyBorder="1" applyAlignment="1"/>
    <xf numFmtId="0" fontId="14" fillId="6" borderId="0" xfId="0" applyFont="1" applyFill="1" applyAlignment="1"/>
    <xf numFmtId="6" fontId="15" fillId="6" borderId="0" xfId="0" applyNumberFormat="1" applyFont="1" applyFill="1" applyAlignment="1"/>
    <xf numFmtId="0" fontId="15" fillId="6" borderId="0" xfId="0" applyFont="1" applyFill="1" applyAlignment="1"/>
    <xf numFmtId="0" fontId="15" fillId="6" borderId="6" xfId="0" applyFont="1" applyFill="1" applyBorder="1" applyAlignment="1"/>
    <xf numFmtId="8" fontId="15" fillId="6" borderId="0" xfId="0" applyNumberFormat="1" applyFont="1" applyFill="1" applyAlignment="1"/>
    <xf numFmtId="0" fontId="14" fillId="8" borderId="5" xfId="0" applyFont="1" applyFill="1" applyBorder="1" applyAlignment="1"/>
    <xf numFmtId="0" fontId="14" fillId="8" borderId="0" xfId="0" applyFont="1" applyFill="1" applyAlignment="1"/>
    <xf numFmtId="6" fontId="15" fillId="6" borderId="1" xfId="0" applyNumberFormat="1" applyFont="1" applyFill="1" applyBorder="1" applyAlignment="1"/>
    <xf numFmtId="0" fontId="15" fillId="6" borderId="1" xfId="0" applyFont="1" applyFill="1" applyBorder="1" applyAlignment="1"/>
    <xf numFmtId="0" fontId="15" fillId="6" borderId="12" xfId="0" applyFont="1" applyFill="1" applyBorder="1" applyAlignment="1"/>
    <xf numFmtId="8" fontId="15" fillId="6" borderId="1" xfId="0" applyNumberFormat="1" applyFont="1" applyFill="1" applyBorder="1" applyAlignment="1"/>
    <xf numFmtId="6" fontId="15" fillId="6" borderId="5" xfId="0" applyNumberFormat="1" applyFont="1" applyFill="1" applyBorder="1" applyAlignment="1"/>
    <xf numFmtId="6" fontId="15" fillId="6" borderId="6" xfId="0" applyNumberFormat="1" applyFont="1" applyFill="1" applyBorder="1" applyAlignment="1"/>
    <xf numFmtId="6" fontId="15" fillId="6" borderId="9" xfId="0" applyNumberFormat="1" applyFont="1" applyFill="1" applyBorder="1" applyAlignment="1"/>
    <xf numFmtId="0" fontId="15" fillId="6" borderId="10" xfId="0" applyFont="1" applyFill="1" applyBorder="1" applyAlignment="1"/>
  </cellXfs>
  <cellStyles count="3">
    <cellStyle name="Comma" xfId="2" builtinId="3"/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382</xdr:colOff>
      <xdr:row>17</xdr:row>
      <xdr:rowOff>0</xdr:rowOff>
    </xdr:from>
    <xdr:ext cx="6229350" cy="13970"/>
    <xdr:sp macro="" textlink="">
      <xdr:nvSpPr>
        <xdr:cNvPr id="2" name="Shape 12">
          <a:extLst>
            <a:ext uri="{FF2B5EF4-FFF2-40B4-BE49-F238E27FC236}">
              <a16:creationId xmlns:a16="http://schemas.microsoft.com/office/drawing/2014/main" id="{5FC0FE61-A757-4907-B593-E1DB3CE014FC}"/>
            </a:ext>
          </a:extLst>
        </xdr:cNvPr>
        <xdr:cNvSpPr/>
      </xdr:nvSpPr>
      <xdr:spPr>
        <a:xfrm>
          <a:off x="382" y="3533775"/>
          <a:ext cx="6229350" cy="13970"/>
        </a:xfrm>
        <a:custGeom>
          <a:avLst/>
          <a:gdLst/>
          <a:ahLst/>
          <a:cxnLst/>
          <a:rect l="0" t="0" r="0" b="0"/>
          <a:pathLst>
            <a:path w="6229350" h="13970">
              <a:moveTo>
                <a:pt x="6229350" y="0"/>
              </a:moveTo>
              <a:lnTo>
                <a:pt x="0" y="0"/>
              </a:lnTo>
              <a:lnTo>
                <a:pt x="0" y="13715"/>
              </a:lnTo>
              <a:lnTo>
                <a:pt x="6229350" y="13715"/>
              </a:lnTo>
              <a:lnTo>
                <a:pt x="622935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17</xdr:row>
      <xdr:rowOff>0</xdr:rowOff>
    </xdr:from>
    <xdr:ext cx="6229350" cy="13970"/>
    <xdr:sp macro="" textlink="">
      <xdr:nvSpPr>
        <xdr:cNvPr id="3" name="Shape 13">
          <a:extLst>
            <a:ext uri="{FF2B5EF4-FFF2-40B4-BE49-F238E27FC236}">
              <a16:creationId xmlns:a16="http://schemas.microsoft.com/office/drawing/2014/main" id="{A10CAFDE-2769-48EC-8662-90D41CD6A925}"/>
            </a:ext>
            <a:ext uri="{147F2762-F138-4A5C-976F-8EAC2B608ADB}">
              <a16:predDERef xmlns:a16="http://schemas.microsoft.com/office/drawing/2014/main" pred="{5FC0FE61-A757-4907-B593-E1DB3CE014FC}"/>
            </a:ext>
          </a:extLst>
        </xdr:cNvPr>
        <xdr:cNvSpPr/>
      </xdr:nvSpPr>
      <xdr:spPr>
        <a:xfrm>
          <a:off x="0" y="3533775"/>
          <a:ext cx="6229350" cy="13970"/>
        </a:xfrm>
        <a:custGeom>
          <a:avLst/>
          <a:gdLst/>
          <a:ahLst/>
          <a:cxnLst/>
          <a:rect l="0" t="0" r="0" b="0"/>
          <a:pathLst>
            <a:path w="6229350" h="13970">
              <a:moveTo>
                <a:pt x="6229350" y="0"/>
              </a:moveTo>
              <a:lnTo>
                <a:pt x="0" y="0"/>
              </a:lnTo>
              <a:lnTo>
                <a:pt x="0" y="13715"/>
              </a:lnTo>
              <a:lnTo>
                <a:pt x="6229350" y="13715"/>
              </a:lnTo>
              <a:lnTo>
                <a:pt x="622935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17</xdr:row>
      <xdr:rowOff>0</xdr:rowOff>
    </xdr:from>
    <xdr:ext cx="2857500" cy="9525"/>
    <xdr:sp macro="" textlink="">
      <xdr:nvSpPr>
        <xdr:cNvPr id="4" name="Shape 14">
          <a:extLst>
            <a:ext uri="{FF2B5EF4-FFF2-40B4-BE49-F238E27FC236}">
              <a16:creationId xmlns:a16="http://schemas.microsoft.com/office/drawing/2014/main" id="{B9ED6367-29FE-4F3D-A806-95D490B61EC7}"/>
            </a:ext>
            <a:ext uri="{147F2762-F138-4A5C-976F-8EAC2B608ADB}">
              <a16:predDERef xmlns:a16="http://schemas.microsoft.com/office/drawing/2014/main" pred="{A10CAFDE-2769-48EC-8662-90D41CD6A925}"/>
            </a:ext>
          </a:extLst>
        </xdr:cNvPr>
        <xdr:cNvSpPr/>
      </xdr:nvSpPr>
      <xdr:spPr>
        <a:xfrm>
          <a:off x="1152525" y="3533775"/>
          <a:ext cx="2857500" cy="9525"/>
        </a:xfrm>
        <a:custGeom>
          <a:avLst/>
          <a:gdLst/>
          <a:ahLst/>
          <a:cxnLst/>
          <a:rect l="0" t="0" r="0" b="0"/>
          <a:pathLst>
            <a:path w="2857500" h="9525">
              <a:moveTo>
                <a:pt x="2857500" y="0"/>
              </a:moveTo>
              <a:lnTo>
                <a:pt x="0" y="0"/>
              </a:lnTo>
              <a:lnTo>
                <a:pt x="0" y="9143"/>
              </a:lnTo>
              <a:lnTo>
                <a:pt x="2857500" y="9143"/>
              </a:lnTo>
              <a:lnTo>
                <a:pt x="2857500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</xdr:col>
      <xdr:colOff>317754</xdr:colOff>
      <xdr:row>17</xdr:row>
      <xdr:rowOff>0</xdr:rowOff>
    </xdr:from>
    <xdr:ext cx="2540000" cy="9525"/>
    <xdr:sp macro="" textlink="">
      <xdr:nvSpPr>
        <xdr:cNvPr id="5" name="Shape 15">
          <a:extLst>
            <a:ext uri="{FF2B5EF4-FFF2-40B4-BE49-F238E27FC236}">
              <a16:creationId xmlns:a16="http://schemas.microsoft.com/office/drawing/2014/main" id="{78C412B4-472E-46EE-93AC-A1CAF46D967D}"/>
            </a:ext>
            <a:ext uri="{147F2762-F138-4A5C-976F-8EAC2B608ADB}">
              <a16:predDERef xmlns:a16="http://schemas.microsoft.com/office/drawing/2014/main" pred="{B9ED6367-29FE-4F3D-A806-95D490B61EC7}"/>
            </a:ext>
          </a:extLst>
        </xdr:cNvPr>
        <xdr:cNvSpPr/>
      </xdr:nvSpPr>
      <xdr:spPr>
        <a:xfrm>
          <a:off x="1270254" y="3533775"/>
          <a:ext cx="2540000" cy="9525"/>
        </a:xfrm>
        <a:custGeom>
          <a:avLst/>
          <a:gdLst/>
          <a:ahLst/>
          <a:cxnLst/>
          <a:rect l="0" t="0" r="0" b="0"/>
          <a:pathLst>
            <a:path w="2540000" h="9525">
              <a:moveTo>
                <a:pt x="2539746" y="0"/>
              </a:moveTo>
              <a:lnTo>
                <a:pt x="0" y="0"/>
              </a:lnTo>
              <a:lnTo>
                <a:pt x="0" y="9143"/>
              </a:lnTo>
              <a:lnTo>
                <a:pt x="2539746" y="9143"/>
              </a:lnTo>
              <a:lnTo>
                <a:pt x="2539746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17</xdr:row>
      <xdr:rowOff>0</xdr:rowOff>
    </xdr:from>
    <xdr:ext cx="2857500" cy="9525"/>
    <xdr:sp macro="" textlink="">
      <xdr:nvSpPr>
        <xdr:cNvPr id="6" name="Shape 16">
          <a:extLst>
            <a:ext uri="{FF2B5EF4-FFF2-40B4-BE49-F238E27FC236}">
              <a16:creationId xmlns:a16="http://schemas.microsoft.com/office/drawing/2014/main" id="{CB843FA1-7FF9-4E6B-A03E-1AFF312986BD}"/>
            </a:ext>
            <a:ext uri="{147F2762-F138-4A5C-976F-8EAC2B608ADB}">
              <a16:predDERef xmlns:a16="http://schemas.microsoft.com/office/drawing/2014/main" pred="{78C412B4-472E-46EE-93AC-A1CAF46D967D}"/>
            </a:ext>
          </a:extLst>
        </xdr:cNvPr>
        <xdr:cNvSpPr/>
      </xdr:nvSpPr>
      <xdr:spPr>
        <a:xfrm>
          <a:off x="1152525" y="3533775"/>
          <a:ext cx="2857500" cy="9525"/>
        </a:xfrm>
        <a:custGeom>
          <a:avLst/>
          <a:gdLst/>
          <a:ahLst/>
          <a:cxnLst/>
          <a:rect l="0" t="0" r="0" b="0"/>
          <a:pathLst>
            <a:path w="2857500" h="9525">
              <a:moveTo>
                <a:pt x="2857500" y="0"/>
              </a:moveTo>
              <a:lnTo>
                <a:pt x="0" y="0"/>
              </a:lnTo>
              <a:lnTo>
                <a:pt x="0" y="9143"/>
              </a:lnTo>
              <a:lnTo>
                <a:pt x="2857500" y="9143"/>
              </a:lnTo>
              <a:lnTo>
                <a:pt x="2857500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382</xdr:colOff>
      <xdr:row>17</xdr:row>
      <xdr:rowOff>0</xdr:rowOff>
    </xdr:from>
    <xdr:ext cx="6229350" cy="13970"/>
    <xdr:sp macro="" textlink="">
      <xdr:nvSpPr>
        <xdr:cNvPr id="2" name="Shape 12">
          <a:extLst>
            <a:ext uri="{FF2B5EF4-FFF2-40B4-BE49-F238E27FC236}">
              <a16:creationId xmlns:a16="http://schemas.microsoft.com/office/drawing/2014/main" id="{B20CB287-B880-4DB8-BE91-AB4ED1E4AC7E}"/>
            </a:ext>
          </a:extLst>
        </xdr:cNvPr>
        <xdr:cNvSpPr/>
      </xdr:nvSpPr>
      <xdr:spPr>
        <a:xfrm>
          <a:off x="382" y="0"/>
          <a:ext cx="6229350" cy="13970"/>
        </a:xfrm>
        <a:custGeom>
          <a:avLst/>
          <a:gdLst/>
          <a:ahLst/>
          <a:cxnLst/>
          <a:rect l="0" t="0" r="0" b="0"/>
          <a:pathLst>
            <a:path w="6229350" h="13970">
              <a:moveTo>
                <a:pt x="6229350" y="0"/>
              </a:moveTo>
              <a:lnTo>
                <a:pt x="0" y="0"/>
              </a:lnTo>
              <a:lnTo>
                <a:pt x="0" y="13715"/>
              </a:lnTo>
              <a:lnTo>
                <a:pt x="6229350" y="13715"/>
              </a:lnTo>
              <a:lnTo>
                <a:pt x="622935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17</xdr:row>
      <xdr:rowOff>0</xdr:rowOff>
    </xdr:from>
    <xdr:ext cx="6229350" cy="13970"/>
    <xdr:sp macro="" textlink="">
      <xdr:nvSpPr>
        <xdr:cNvPr id="3" name="Shape 13">
          <a:extLst>
            <a:ext uri="{FF2B5EF4-FFF2-40B4-BE49-F238E27FC236}">
              <a16:creationId xmlns:a16="http://schemas.microsoft.com/office/drawing/2014/main" id="{0E28A254-0239-4388-B8A7-90DCAC26DE80}"/>
            </a:ext>
            <a:ext uri="{147F2762-F138-4A5C-976F-8EAC2B608ADB}">
              <a16:predDERef xmlns:a16="http://schemas.microsoft.com/office/drawing/2014/main" pred="{B20CB287-B880-4DB8-BE91-AB4ED1E4AC7E}"/>
            </a:ext>
          </a:extLst>
        </xdr:cNvPr>
        <xdr:cNvSpPr/>
      </xdr:nvSpPr>
      <xdr:spPr>
        <a:xfrm>
          <a:off x="0" y="0"/>
          <a:ext cx="6229350" cy="13970"/>
        </a:xfrm>
        <a:custGeom>
          <a:avLst/>
          <a:gdLst/>
          <a:ahLst/>
          <a:cxnLst/>
          <a:rect l="0" t="0" r="0" b="0"/>
          <a:pathLst>
            <a:path w="6229350" h="13970">
              <a:moveTo>
                <a:pt x="6229350" y="0"/>
              </a:moveTo>
              <a:lnTo>
                <a:pt x="0" y="0"/>
              </a:lnTo>
              <a:lnTo>
                <a:pt x="0" y="13715"/>
              </a:lnTo>
              <a:lnTo>
                <a:pt x="6229350" y="13715"/>
              </a:lnTo>
              <a:lnTo>
                <a:pt x="622935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17</xdr:row>
      <xdr:rowOff>0</xdr:rowOff>
    </xdr:from>
    <xdr:ext cx="2857500" cy="9525"/>
    <xdr:sp macro="" textlink="">
      <xdr:nvSpPr>
        <xdr:cNvPr id="4" name="Shape 14">
          <a:extLst>
            <a:ext uri="{FF2B5EF4-FFF2-40B4-BE49-F238E27FC236}">
              <a16:creationId xmlns:a16="http://schemas.microsoft.com/office/drawing/2014/main" id="{2C7AA691-92E5-4E39-BEF4-BAC7D1A3CB61}"/>
            </a:ext>
            <a:ext uri="{147F2762-F138-4A5C-976F-8EAC2B608ADB}">
              <a16:predDERef xmlns:a16="http://schemas.microsoft.com/office/drawing/2014/main" pred="{0E28A254-0239-4388-B8A7-90DCAC26DE80}"/>
            </a:ext>
          </a:extLst>
        </xdr:cNvPr>
        <xdr:cNvSpPr/>
      </xdr:nvSpPr>
      <xdr:spPr>
        <a:xfrm>
          <a:off x="219075" y="0"/>
          <a:ext cx="2857500" cy="9525"/>
        </a:xfrm>
        <a:custGeom>
          <a:avLst/>
          <a:gdLst/>
          <a:ahLst/>
          <a:cxnLst/>
          <a:rect l="0" t="0" r="0" b="0"/>
          <a:pathLst>
            <a:path w="2857500" h="9525">
              <a:moveTo>
                <a:pt x="2857500" y="0"/>
              </a:moveTo>
              <a:lnTo>
                <a:pt x="0" y="0"/>
              </a:lnTo>
              <a:lnTo>
                <a:pt x="0" y="9143"/>
              </a:lnTo>
              <a:lnTo>
                <a:pt x="2857500" y="9143"/>
              </a:lnTo>
              <a:lnTo>
                <a:pt x="2857500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</xdr:col>
      <xdr:colOff>317754</xdr:colOff>
      <xdr:row>17</xdr:row>
      <xdr:rowOff>0</xdr:rowOff>
    </xdr:from>
    <xdr:ext cx="2540000" cy="9525"/>
    <xdr:sp macro="" textlink="">
      <xdr:nvSpPr>
        <xdr:cNvPr id="5" name="Shape 15">
          <a:extLst>
            <a:ext uri="{FF2B5EF4-FFF2-40B4-BE49-F238E27FC236}">
              <a16:creationId xmlns:a16="http://schemas.microsoft.com/office/drawing/2014/main" id="{3B664F03-7CE1-4CB9-A886-A742638516DD}"/>
            </a:ext>
            <a:ext uri="{147F2762-F138-4A5C-976F-8EAC2B608ADB}">
              <a16:predDERef xmlns:a16="http://schemas.microsoft.com/office/drawing/2014/main" pred="{2C7AA691-92E5-4E39-BEF4-BAC7D1A3CB61}"/>
            </a:ext>
          </a:extLst>
        </xdr:cNvPr>
        <xdr:cNvSpPr/>
      </xdr:nvSpPr>
      <xdr:spPr>
        <a:xfrm>
          <a:off x="536829" y="0"/>
          <a:ext cx="2540000" cy="9525"/>
        </a:xfrm>
        <a:custGeom>
          <a:avLst/>
          <a:gdLst/>
          <a:ahLst/>
          <a:cxnLst/>
          <a:rect l="0" t="0" r="0" b="0"/>
          <a:pathLst>
            <a:path w="2540000" h="9525">
              <a:moveTo>
                <a:pt x="2539746" y="0"/>
              </a:moveTo>
              <a:lnTo>
                <a:pt x="0" y="0"/>
              </a:lnTo>
              <a:lnTo>
                <a:pt x="0" y="9143"/>
              </a:lnTo>
              <a:lnTo>
                <a:pt x="2539746" y="9143"/>
              </a:lnTo>
              <a:lnTo>
                <a:pt x="2539746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17</xdr:row>
      <xdr:rowOff>0</xdr:rowOff>
    </xdr:from>
    <xdr:ext cx="2857500" cy="9525"/>
    <xdr:sp macro="" textlink="">
      <xdr:nvSpPr>
        <xdr:cNvPr id="6" name="Shape 16">
          <a:extLst>
            <a:ext uri="{FF2B5EF4-FFF2-40B4-BE49-F238E27FC236}">
              <a16:creationId xmlns:a16="http://schemas.microsoft.com/office/drawing/2014/main" id="{E0046073-70B0-49B1-885E-88E918FDAEB3}"/>
            </a:ext>
            <a:ext uri="{147F2762-F138-4A5C-976F-8EAC2B608ADB}">
              <a16:predDERef xmlns:a16="http://schemas.microsoft.com/office/drawing/2014/main" pred="{3B664F03-7CE1-4CB9-A886-A742638516DD}"/>
            </a:ext>
          </a:extLst>
        </xdr:cNvPr>
        <xdr:cNvSpPr/>
      </xdr:nvSpPr>
      <xdr:spPr>
        <a:xfrm>
          <a:off x="219075" y="0"/>
          <a:ext cx="2857500" cy="9525"/>
        </a:xfrm>
        <a:custGeom>
          <a:avLst/>
          <a:gdLst/>
          <a:ahLst/>
          <a:cxnLst/>
          <a:rect l="0" t="0" r="0" b="0"/>
          <a:pathLst>
            <a:path w="2857500" h="9525">
              <a:moveTo>
                <a:pt x="2857500" y="0"/>
              </a:moveTo>
              <a:lnTo>
                <a:pt x="0" y="0"/>
              </a:lnTo>
              <a:lnTo>
                <a:pt x="0" y="9143"/>
              </a:lnTo>
              <a:lnTo>
                <a:pt x="2857500" y="9143"/>
              </a:lnTo>
              <a:lnTo>
                <a:pt x="2857500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382</xdr:colOff>
      <xdr:row>0</xdr:row>
      <xdr:rowOff>0</xdr:rowOff>
    </xdr:from>
    <xdr:ext cx="6229350" cy="13970"/>
    <xdr:sp macro="" textlink="">
      <xdr:nvSpPr>
        <xdr:cNvPr id="2" name="Shap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82" y="335280"/>
          <a:ext cx="6229350" cy="13970"/>
        </a:xfrm>
        <a:custGeom>
          <a:avLst/>
          <a:gdLst/>
          <a:ahLst/>
          <a:cxnLst/>
          <a:rect l="0" t="0" r="0" b="0"/>
          <a:pathLst>
            <a:path w="6229350" h="13970">
              <a:moveTo>
                <a:pt x="6229350" y="0"/>
              </a:moveTo>
              <a:lnTo>
                <a:pt x="0" y="0"/>
              </a:lnTo>
              <a:lnTo>
                <a:pt x="0" y="13715"/>
              </a:lnTo>
              <a:lnTo>
                <a:pt x="6229350" y="13715"/>
              </a:lnTo>
              <a:lnTo>
                <a:pt x="622935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0</xdr:row>
      <xdr:rowOff>0</xdr:rowOff>
    </xdr:from>
    <xdr:ext cx="6229350" cy="13970"/>
    <xdr:sp macro="" textlink="">
      <xdr:nvSpPr>
        <xdr:cNvPr id="3" name="Shape 1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335280"/>
          <a:ext cx="6229350" cy="13970"/>
        </a:xfrm>
        <a:custGeom>
          <a:avLst/>
          <a:gdLst/>
          <a:ahLst/>
          <a:cxnLst/>
          <a:rect l="0" t="0" r="0" b="0"/>
          <a:pathLst>
            <a:path w="6229350" h="13970">
              <a:moveTo>
                <a:pt x="6229350" y="0"/>
              </a:moveTo>
              <a:lnTo>
                <a:pt x="0" y="0"/>
              </a:lnTo>
              <a:lnTo>
                <a:pt x="0" y="13715"/>
              </a:lnTo>
              <a:lnTo>
                <a:pt x="6229350" y="13715"/>
              </a:lnTo>
              <a:lnTo>
                <a:pt x="622935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0</xdr:rowOff>
    </xdr:from>
    <xdr:ext cx="2857500" cy="9525"/>
    <xdr:sp macro="" textlink="">
      <xdr:nvSpPr>
        <xdr:cNvPr id="4" name="Shape 1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76200" y="335280"/>
          <a:ext cx="2857500" cy="9525"/>
        </a:xfrm>
        <a:custGeom>
          <a:avLst/>
          <a:gdLst/>
          <a:ahLst/>
          <a:cxnLst/>
          <a:rect l="0" t="0" r="0" b="0"/>
          <a:pathLst>
            <a:path w="2857500" h="9525">
              <a:moveTo>
                <a:pt x="2857500" y="0"/>
              </a:moveTo>
              <a:lnTo>
                <a:pt x="0" y="0"/>
              </a:lnTo>
              <a:lnTo>
                <a:pt x="0" y="9143"/>
              </a:lnTo>
              <a:lnTo>
                <a:pt x="2857500" y="9143"/>
              </a:lnTo>
              <a:lnTo>
                <a:pt x="2857500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</xdr:col>
      <xdr:colOff>317754</xdr:colOff>
      <xdr:row>0</xdr:row>
      <xdr:rowOff>0</xdr:rowOff>
    </xdr:from>
    <xdr:ext cx="2540000" cy="9525"/>
    <xdr:sp macro="" textlink="">
      <xdr:nvSpPr>
        <xdr:cNvPr id="5" name="Shape 1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393954" y="335280"/>
          <a:ext cx="2540000" cy="9525"/>
        </a:xfrm>
        <a:custGeom>
          <a:avLst/>
          <a:gdLst/>
          <a:ahLst/>
          <a:cxnLst/>
          <a:rect l="0" t="0" r="0" b="0"/>
          <a:pathLst>
            <a:path w="2540000" h="9525">
              <a:moveTo>
                <a:pt x="2539746" y="0"/>
              </a:moveTo>
              <a:lnTo>
                <a:pt x="0" y="0"/>
              </a:lnTo>
              <a:lnTo>
                <a:pt x="0" y="9143"/>
              </a:lnTo>
              <a:lnTo>
                <a:pt x="2539746" y="9143"/>
              </a:lnTo>
              <a:lnTo>
                <a:pt x="2539746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0</xdr:row>
      <xdr:rowOff>0</xdr:rowOff>
    </xdr:from>
    <xdr:ext cx="2857500" cy="9525"/>
    <xdr:sp macro="" textlink="">
      <xdr:nvSpPr>
        <xdr:cNvPr id="6" name="Shape 1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76200" y="335280"/>
          <a:ext cx="2857500" cy="9525"/>
        </a:xfrm>
        <a:custGeom>
          <a:avLst/>
          <a:gdLst/>
          <a:ahLst/>
          <a:cxnLst/>
          <a:rect l="0" t="0" r="0" b="0"/>
          <a:pathLst>
            <a:path w="2857500" h="9525">
              <a:moveTo>
                <a:pt x="2857500" y="0"/>
              </a:moveTo>
              <a:lnTo>
                <a:pt x="0" y="0"/>
              </a:lnTo>
              <a:lnTo>
                <a:pt x="0" y="9143"/>
              </a:lnTo>
              <a:lnTo>
                <a:pt x="2857500" y="9143"/>
              </a:lnTo>
              <a:lnTo>
                <a:pt x="2857500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spe.hhs.gov/topics/poverty-economic-mobility/poverty-guideline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aspe.hhs.gov/topics/poverty-economic-mobility/poverty-guidelines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aspe.hhs.gov/topics/poverty-economic-mobility/poverty-guidelines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aspe.hhs.gov/topics/poverty-economic-mobility/poverty-guidelines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spe.hhs.gov/topics/poverty-economic-mobility/poverty-guidelin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BE01F-283D-4C57-AB13-950FC8ABDEFA}">
  <dimension ref="A1:R35"/>
  <sheetViews>
    <sheetView tabSelected="1" workbookViewId="0">
      <selection activeCell="A7" sqref="A7:XFD7"/>
    </sheetView>
  </sheetViews>
  <sheetFormatPr defaultRowHeight="12.75"/>
  <cols>
    <col min="13" max="13" width="10.7109375" bestFit="1" customWidth="1"/>
    <col min="18" max="18" width="10.7109375" customWidth="1"/>
  </cols>
  <sheetData>
    <row r="1" spans="1:18" ht="18">
      <c r="A1" s="55" t="s">
        <v>0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</row>
    <row r="2" spans="1:18">
      <c r="A2" s="69" t="s">
        <v>1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</row>
    <row r="3" spans="1:18" ht="30">
      <c r="A3" s="59" t="s">
        <v>2</v>
      </c>
      <c r="B3" s="60"/>
      <c r="C3" s="60"/>
      <c r="D3" s="61" t="s">
        <v>3</v>
      </c>
      <c r="E3" s="62"/>
      <c r="F3" s="71" t="s">
        <v>4</v>
      </c>
      <c r="G3" s="72"/>
      <c r="H3" s="72"/>
      <c r="I3" s="72"/>
      <c r="J3" s="73"/>
      <c r="K3" s="63" t="s">
        <v>5</v>
      </c>
      <c r="L3" s="64"/>
      <c r="M3" s="65"/>
      <c r="N3" s="71" t="s">
        <v>6</v>
      </c>
      <c r="O3" s="72"/>
      <c r="P3" s="72"/>
      <c r="Q3" s="73"/>
      <c r="R3" s="36" t="s">
        <v>7</v>
      </c>
    </row>
    <row r="4" spans="1:18" ht="45.75">
      <c r="A4" s="59"/>
      <c r="B4" s="60"/>
      <c r="C4" s="60"/>
      <c r="D4" s="61"/>
      <c r="E4" s="62"/>
      <c r="F4" s="74"/>
      <c r="G4" s="75"/>
      <c r="H4" s="75"/>
      <c r="I4" s="75"/>
      <c r="J4" s="76"/>
      <c r="K4" s="66"/>
      <c r="L4" s="61"/>
      <c r="M4" s="62"/>
      <c r="N4" s="74"/>
      <c r="O4" s="75"/>
      <c r="P4" s="75"/>
      <c r="Q4" s="76"/>
      <c r="R4" s="37" t="s">
        <v>8</v>
      </c>
    </row>
    <row r="5" spans="1:18" ht="15">
      <c r="A5" s="59"/>
      <c r="B5" s="60"/>
      <c r="C5" s="60"/>
      <c r="D5" s="51" t="s">
        <v>9</v>
      </c>
      <c r="E5" s="52"/>
      <c r="F5" s="53" t="s">
        <v>10</v>
      </c>
      <c r="G5" s="53"/>
      <c r="H5" s="53" t="s">
        <v>11</v>
      </c>
      <c r="I5" s="53"/>
      <c r="J5" s="54"/>
      <c r="K5" s="53" t="s">
        <v>10</v>
      </c>
      <c r="L5" s="53"/>
      <c r="M5" s="34" t="s">
        <v>11</v>
      </c>
      <c r="N5" s="53" t="s">
        <v>10</v>
      </c>
      <c r="O5" s="53"/>
      <c r="P5" s="53" t="s">
        <v>11</v>
      </c>
      <c r="Q5" s="54"/>
      <c r="R5" s="33" t="s">
        <v>12</v>
      </c>
    </row>
    <row r="6" spans="1:18" ht="15">
      <c r="A6" s="136">
        <v>1</v>
      </c>
      <c r="B6" s="137"/>
      <c r="C6" s="137"/>
      <c r="D6" s="48">
        <f>D24/12</f>
        <v>1330</v>
      </c>
      <c r="E6" s="50"/>
      <c r="F6" s="48">
        <f>D6+1</f>
        <v>1331</v>
      </c>
      <c r="G6" s="49"/>
      <c r="H6" s="138">
        <f>H24/12</f>
        <v>1768.9166666666667</v>
      </c>
      <c r="I6" s="139"/>
      <c r="J6" s="140"/>
      <c r="K6" s="48">
        <f>H6+1</f>
        <v>1769.9166666666667</v>
      </c>
      <c r="L6" s="49"/>
      <c r="M6" s="28">
        <f>M24/12</f>
        <v>1995</v>
      </c>
      <c r="N6" s="48">
        <f>M6+1</f>
        <v>1996</v>
      </c>
      <c r="O6" s="49"/>
      <c r="P6" s="141">
        <f>P24/12</f>
        <v>2646.6666666666665</v>
      </c>
      <c r="Q6" s="140"/>
      <c r="R6" s="28">
        <f>P6+1</f>
        <v>2647.6666666666665</v>
      </c>
    </row>
    <row r="7" spans="1:18" ht="15">
      <c r="A7" s="142">
        <v>2</v>
      </c>
      <c r="B7" s="143"/>
      <c r="C7" s="143"/>
      <c r="D7" s="48">
        <f t="shared" ref="D7:D15" si="0">D25/12</f>
        <v>1803.3333333333333</v>
      </c>
      <c r="E7" s="50"/>
      <c r="F7" s="48">
        <f t="shared" ref="F7:F15" si="1">D7+1</f>
        <v>1804.3333333333333</v>
      </c>
      <c r="G7" s="49"/>
      <c r="H7" s="138">
        <f t="shared" ref="H7:H15" si="2">H25/12</f>
        <v>2398.4166666666665</v>
      </c>
      <c r="I7" s="139"/>
      <c r="J7" s="140"/>
      <c r="K7" s="48">
        <f t="shared" ref="K7:K15" si="3">H7+1</f>
        <v>2399.4166666666665</v>
      </c>
      <c r="L7" s="49"/>
      <c r="M7" s="28">
        <f t="shared" ref="M7:M15" si="4">M25/12</f>
        <v>2705</v>
      </c>
      <c r="N7" s="48">
        <f t="shared" ref="N7:N15" si="5">M7+1</f>
        <v>2706</v>
      </c>
      <c r="O7" s="49"/>
      <c r="P7" s="141">
        <f t="shared" ref="P7:P15" si="6">P25/12</f>
        <v>3588.6666666666665</v>
      </c>
      <c r="Q7" s="140"/>
      <c r="R7" s="28">
        <f t="shared" ref="R7:R15" si="7">P7+1</f>
        <v>3589.6666666666665</v>
      </c>
    </row>
    <row r="8" spans="1:18" ht="15">
      <c r="A8" s="136">
        <v>3</v>
      </c>
      <c r="B8" s="137"/>
      <c r="C8" s="137"/>
      <c r="D8" s="48">
        <f t="shared" si="0"/>
        <v>2276.6666666666665</v>
      </c>
      <c r="E8" s="50"/>
      <c r="F8" s="48">
        <f t="shared" si="1"/>
        <v>2277.6666666666665</v>
      </c>
      <c r="G8" s="49"/>
      <c r="H8" s="138">
        <f t="shared" si="2"/>
        <v>3028</v>
      </c>
      <c r="I8" s="139"/>
      <c r="J8" s="140"/>
      <c r="K8" s="48">
        <f t="shared" si="3"/>
        <v>3029</v>
      </c>
      <c r="L8" s="49"/>
      <c r="M8" s="28">
        <f t="shared" si="4"/>
        <v>3415</v>
      </c>
      <c r="N8" s="48">
        <f t="shared" si="5"/>
        <v>3416</v>
      </c>
      <c r="O8" s="49"/>
      <c r="P8" s="141">
        <f t="shared" si="6"/>
        <v>4530.583333333333</v>
      </c>
      <c r="Q8" s="140"/>
      <c r="R8" s="28">
        <f t="shared" si="7"/>
        <v>4531.583333333333</v>
      </c>
    </row>
    <row r="9" spans="1:18" ht="15">
      <c r="A9" s="142">
        <v>4</v>
      </c>
      <c r="B9" s="143"/>
      <c r="C9" s="143"/>
      <c r="D9" s="48">
        <f t="shared" si="0"/>
        <v>2750</v>
      </c>
      <c r="E9" s="50"/>
      <c r="F9" s="48">
        <f t="shared" si="1"/>
        <v>2751</v>
      </c>
      <c r="G9" s="49"/>
      <c r="H9" s="138">
        <f t="shared" si="2"/>
        <v>3657.5</v>
      </c>
      <c r="I9" s="139"/>
      <c r="J9" s="140"/>
      <c r="K9" s="48">
        <f t="shared" si="3"/>
        <v>3658.5</v>
      </c>
      <c r="L9" s="49"/>
      <c r="M9" s="28">
        <f t="shared" si="4"/>
        <v>4125</v>
      </c>
      <c r="N9" s="48">
        <f t="shared" si="5"/>
        <v>4126</v>
      </c>
      <c r="O9" s="49"/>
      <c r="P9" s="141">
        <f t="shared" si="6"/>
        <v>5472.5</v>
      </c>
      <c r="Q9" s="140"/>
      <c r="R9" s="28">
        <f t="shared" si="7"/>
        <v>5473.5</v>
      </c>
    </row>
    <row r="10" spans="1:18" ht="15">
      <c r="A10" s="136">
        <v>5</v>
      </c>
      <c r="B10" s="137"/>
      <c r="C10" s="137"/>
      <c r="D10" s="48">
        <f t="shared" si="0"/>
        <v>3223.3333333333335</v>
      </c>
      <c r="E10" s="50"/>
      <c r="F10" s="48">
        <f t="shared" si="1"/>
        <v>3224.3333333333335</v>
      </c>
      <c r="G10" s="49"/>
      <c r="H10" s="138">
        <f t="shared" si="2"/>
        <v>4287</v>
      </c>
      <c r="I10" s="139"/>
      <c r="J10" s="140"/>
      <c r="K10" s="48">
        <f t="shared" si="3"/>
        <v>4288</v>
      </c>
      <c r="L10" s="49"/>
      <c r="M10" s="28">
        <f t="shared" si="4"/>
        <v>4835</v>
      </c>
      <c r="N10" s="48">
        <f t="shared" si="5"/>
        <v>4836</v>
      </c>
      <c r="O10" s="49"/>
      <c r="P10" s="141">
        <f t="shared" si="6"/>
        <v>6414.416666666667</v>
      </c>
      <c r="Q10" s="140"/>
      <c r="R10" s="28">
        <f t="shared" si="7"/>
        <v>6415.416666666667</v>
      </c>
    </row>
    <row r="11" spans="1:18" ht="15">
      <c r="A11" s="142">
        <v>6</v>
      </c>
      <c r="B11" s="143"/>
      <c r="C11" s="143"/>
      <c r="D11" s="48">
        <f t="shared" si="0"/>
        <v>3696.6666666666665</v>
      </c>
      <c r="E11" s="50"/>
      <c r="F11" s="48">
        <f t="shared" si="1"/>
        <v>3697.6666666666665</v>
      </c>
      <c r="G11" s="49"/>
      <c r="H11" s="138">
        <f t="shared" si="2"/>
        <v>4916.583333333333</v>
      </c>
      <c r="I11" s="139"/>
      <c r="J11" s="140"/>
      <c r="K11" s="48">
        <f t="shared" si="3"/>
        <v>4917.583333333333</v>
      </c>
      <c r="L11" s="49"/>
      <c r="M11" s="28">
        <f t="shared" si="4"/>
        <v>5545</v>
      </c>
      <c r="N11" s="48">
        <f t="shared" si="5"/>
        <v>5546</v>
      </c>
      <c r="O11" s="49"/>
      <c r="P11" s="141">
        <f t="shared" si="6"/>
        <v>7356.333333333333</v>
      </c>
      <c r="Q11" s="140"/>
      <c r="R11" s="28">
        <f t="shared" si="7"/>
        <v>7357.333333333333</v>
      </c>
    </row>
    <row r="12" spans="1:18" ht="15">
      <c r="A12" s="136">
        <v>7</v>
      </c>
      <c r="B12" s="137"/>
      <c r="C12" s="137"/>
      <c r="D12" s="48">
        <f t="shared" si="0"/>
        <v>4170</v>
      </c>
      <c r="E12" s="50"/>
      <c r="F12" s="48">
        <f t="shared" si="1"/>
        <v>4171</v>
      </c>
      <c r="G12" s="49"/>
      <c r="H12" s="138">
        <f t="shared" si="2"/>
        <v>5546.083333333333</v>
      </c>
      <c r="I12" s="139"/>
      <c r="J12" s="140"/>
      <c r="K12" s="48">
        <f t="shared" si="3"/>
        <v>5547.083333333333</v>
      </c>
      <c r="L12" s="49"/>
      <c r="M12" s="28">
        <f t="shared" si="4"/>
        <v>6255</v>
      </c>
      <c r="N12" s="48">
        <f t="shared" si="5"/>
        <v>6256</v>
      </c>
      <c r="O12" s="49"/>
      <c r="P12" s="141">
        <f t="shared" si="6"/>
        <v>8298.3333333333339</v>
      </c>
      <c r="Q12" s="140"/>
      <c r="R12" s="28">
        <f t="shared" si="7"/>
        <v>8299.3333333333339</v>
      </c>
    </row>
    <row r="13" spans="1:18" ht="15">
      <c r="A13" s="142">
        <v>8</v>
      </c>
      <c r="B13" s="143"/>
      <c r="C13" s="143"/>
      <c r="D13" s="48">
        <f t="shared" si="0"/>
        <v>4643.333333333333</v>
      </c>
      <c r="E13" s="50"/>
      <c r="F13" s="48">
        <f t="shared" si="1"/>
        <v>4644.333333333333</v>
      </c>
      <c r="G13" s="49"/>
      <c r="H13" s="138">
        <f t="shared" si="2"/>
        <v>6175.583333333333</v>
      </c>
      <c r="I13" s="139"/>
      <c r="J13" s="140"/>
      <c r="K13" s="48">
        <f t="shared" si="3"/>
        <v>6176.583333333333</v>
      </c>
      <c r="L13" s="49"/>
      <c r="M13" s="28">
        <f t="shared" si="4"/>
        <v>6965</v>
      </c>
      <c r="N13" s="48">
        <f t="shared" si="5"/>
        <v>6966</v>
      </c>
      <c r="O13" s="49"/>
      <c r="P13" s="141">
        <f t="shared" si="6"/>
        <v>9240.25</v>
      </c>
      <c r="Q13" s="140"/>
      <c r="R13" s="28">
        <f t="shared" si="7"/>
        <v>9241.25</v>
      </c>
    </row>
    <row r="14" spans="1:18" ht="15">
      <c r="A14" s="136">
        <v>9</v>
      </c>
      <c r="B14" s="137"/>
      <c r="C14" s="137"/>
      <c r="D14" s="48">
        <f t="shared" si="0"/>
        <v>5116.666666666667</v>
      </c>
      <c r="E14" s="50"/>
      <c r="F14" s="48">
        <f t="shared" si="1"/>
        <v>5117.666666666667</v>
      </c>
      <c r="G14" s="49"/>
      <c r="H14" s="138">
        <f t="shared" si="2"/>
        <v>6805.083333333333</v>
      </c>
      <c r="I14" s="139"/>
      <c r="J14" s="140"/>
      <c r="K14" s="48">
        <f t="shared" si="3"/>
        <v>6806.083333333333</v>
      </c>
      <c r="L14" s="49"/>
      <c r="M14" s="28">
        <f t="shared" si="4"/>
        <v>7675</v>
      </c>
      <c r="N14" s="48">
        <f t="shared" si="5"/>
        <v>7676</v>
      </c>
      <c r="O14" s="49"/>
      <c r="P14" s="141">
        <f t="shared" si="6"/>
        <v>10182.166666666666</v>
      </c>
      <c r="Q14" s="140"/>
      <c r="R14" s="28">
        <f t="shared" si="7"/>
        <v>10183.166666666666</v>
      </c>
    </row>
    <row r="15" spans="1:18" ht="15">
      <c r="A15" s="44" t="s">
        <v>13</v>
      </c>
      <c r="B15" s="45"/>
      <c r="C15" s="45"/>
      <c r="D15" s="48">
        <f t="shared" si="0"/>
        <v>5590</v>
      </c>
      <c r="E15" s="50"/>
      <c r="F15" s="48">
        <f t="shared" si="1"/>
        <v>5591</v>
      </c>
      <c r="G15" s="49"/>
      <c r="H15" s="138">
        <f t="shared" si="2"/>
        <v>7434.583333333333</v>
      </c>
      <c r="I15" s="139"/>
      <c r="J15" s="140"/>
      <c r="K15" s="48">
        <f t="shared" si="3"/>
        <v>7435.583333333333</v>
      </c>
      <c r="L15" s="49"/>
      <c r="M15" s="28">
        <f t="shared" si="4"/>
        <v>8385</v>
      </c>
      <c r="N15" s="48">
        <f t="shared" si="5"/>
        <v>8386</v>
      </c>
      <c r="O15" s="49"/>
      <c r="P15" s="141">
        <f t="shared" si="6"/>
        <v>11124.083333333334</v>
      </c>
      <c r="Q15" s="140"/>
      <c r="R15" s="28">
        <f t="shared" si="7"/>
        <v>11125.083333333334</v>
      </c>
    </row>
    <row r="16" spans="1:18">
      <c r="A16" s="38" t="s">
        <v>14</v>
      </c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40"/>
    </row>
    <row r="19" spans="1:18" ht="18">
      <c r="A19" s="55" t="s">
        <v>15</v>
      </c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</row>
    <row r="20" spans="1:18">
      <c r="A20" s="57" t="s">
        <v>16</v>
      </c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</row>
    <row r="21" spans="1:18" ht="30">
      <c r="A21" s="59" t="s">
        <v>2</v>
      </c>
      <c r="B21" s="60"/>
      <c r="C21" s="60"/>
      <c r="D21" s="61" t="s">
        <v>3</v>
      </c>
      <c r="E21" s="62"/>
      <c r="F21" s="63" t="s">
        <v>17</v>
      </c>
      <c r="G21" s="64"/>
      <c r="H21" s="64"/>
      <c r="I21" s="64"/>
      <c r="J21" s="65"/>
      <c r="K21" s="63" t="s">
        <v>5</v>
      </c>
      <c r="L21" s="64"/>
      <c r="M21" s="65"/>
      <c r="N21" s="63" t="s">
        <v>6</v>
      </c>
      <c r="O21" s="64"/>
      <c r="P21" s="64"/>
      <c r="Q21" s="67" t="s">
        <v>18</v>
      </c>
      <c r="R21" s="32" t="s">
        <v>7</v>
      </c>
    </row>
    <row r="22" spans="1:18" ht="45.75">
      <c r="A22" s="59"/>
      <c r="B22" s="60"/>
      <c r="C22" s="60"/>
      <c r="D22" s="61"/>
      <c r="E22" s="62"/>
      <c r="F22" s="66"/>
      <c r="G22" s="61"/>
      <c r="H22" s="61"/>
      <c r="I22" s="61"/>
      <c r="J22" s="62"/>
      <c r="K22" s="66"/>
      <c r="L22" s="61"/>
      <c r="M22" s="62"/>
      <c r="N22" s="66"/>
      <c r="O22" s="61"/>
      <c r="P22" s="61"/>
      <c r="Q22" s="68"/>
      <c r="R22" s="37" t="s">
        <v>8</v>
      </c>
    </row>
    <row r="23" spans="1:18" ht="15">
      <c r="A23" s="59"/>
      <c r="B23" s="60"/>
      <c r="C23" s="60"/>
      <c r="D23" s="51" t="s">
        <v>19</v>
      </c>
      <c r="E23" s="52"/>
      <c r="F23" s="53" t="s">
        <v>10</v>
      </c>
      <c r="G23" s="53"/>
      <c r="H23" s="53" t="s">
        <v>11</v>
      </c>
      <c r="I23" s="53"/>
      <c r="J23" s="54"/>
      <c r="K23" s="53" t="s">
        <v>10</v>
      </c>
      <c r="L23" s="53"/>
      <c r="M23" s="34" t="s">
        <v>11</v>
      </c>
      <c r="N23" s="53" t="s">
        <v>10</v>
      </c>
      <c r="O23" s="53"/>
      <c r="P23" s="53" t="s">
        <v>11</v>
      </c>
      <c r="Q23" s="54"/>
      <c r="R23" s="33" t="s">
        <v>20</v>
      </c>
    </row>
    <row r="24" spans="1:18" ht="15">
      <c r="A24" s="136">
        <v>1</v>
      </c>
      <c r="B24" s="137"/>
      <c r="C24" s="137"/>
      <c r="D24" s="48">
        <v>15960</v>
      </c>
      <c r="E24" s="50"/>
      <c r="F24" s="48">
        <f>D24+1</f>
        <v>15961</v>
      </c>
      <c r="G24" s="49"/>
      <c r="H24" s="138">
        <v>21227</v>
      </c>
      <c r="I24" s="139"/>
      <c r="J24" s="140"/>
      <c r="K24" s="48">
        <f>H24+1</f>
        <v>21228</v>
      </c>
      <c r="L24" s="49"/>
      <c r="M24" s="28">
        <v>23940</v>
      </c>
      <c r="N24" s="48">
        <f>M24+1</f>
        <v>23941</v>
      </c>
      <c r="O24" s="49"/>
      <c r="P24" s="138">
        <v>31760</v>
      </c>
      <c r="Q24" s="140"/>
      <c r="R24" s="28">
        <f>P24+1</f>
        <v>31761</v>
      </c>
    </row>
    <row r="25" spans="1:18" ht="15">
      <c r="A25" s="142">
        <v>2</v>
      </c>
      <c r="B25" s="143"/>
      <c r="C25" s="143"/>
      <c r="D25" s="48">
        <v>21640</v>
      </c>
      <c r="E25" s="50"/>
      <c r="F25" s="48">
        <f t="shared" ref="F25:F33" si="8">D25+1</f>
        <v>21641</v>
      </c>
      <c r="G25" s="49"/>
      <c r="H25" s="138">
        <v>28781</v>
      </c>
      <c r="I25" s="139"/>
      <c r="J25" s="140"/>
      <c r="K25" s="48">
        <f t="shared" ref="K25:K31" si="9">H25+1</f>
        <v>28782</v>
      </c>
      <c r="L25" s="49"/>
      <c r="M25" s="28">
        <v>32460</v>
      </c>
      <c r="N25" s="48">
        <f t="shared" ref="N25:N33" si="10">M25+1</f>
        <v>32461</v>
      </c>
      <c r="O25" s="49"/>
      <c r="P25" s="138">
        <v>43064</v>
      </c>
      <c r="Q25" s="140"/>
      <c r="R25" s="28">
        <f t="shared" ref="R25:R33" si="11">P25+1</f>
        <v>43065</v>
      </c>
    </row>
    <row r="26" spans="1:18" ht="15">
      <c r="A26" s="136">
        <v>3</v>
      </c>
      <c r="B26" s="137"/>
      <c r="C26" s="137"/>
      <c r="D26" s="48">
        <v>27320</v>
      </c>
      <c r="E26" s="50"/>
      <c r="F26" s="48">
        <f t="shared" si="8"/>
        <v>27321</v>
      </c>
      <c r="G26" s="49"/>
      <c r="H26" s="138">
        <v>36336</v>
      </c>
      <c r="I26" s="139"/>
      <c r="J26" s="140"/>
      <c r="K26" s="48">
        <f t="shared" si="9"/>
        <v>36337</v>
      </c>
      <c r="L26" s="49"/>
      <c r="M26" s="28">
        <v>40980</v>
      </c>
      <c r="N26" s="48">
        <f t="shared" si="10"/>
        <v>40981</v>
      </c>
      <c r="O26" s="49"/>
      <c r="P26" s="138">
        <v>54367</v>
      </c>
      <c r="Q26" s="140"/>
      <c r="R26" s="28">
        <f t="shared" si="11"/>
        <v>54368</v>
      </c>
    </row>
    <row r="27" spans="1:18" ht="15">
      <c r="A27" s="142">
        <v>4</v>
      </c>
      <c r="B27" s="143"/>
      <c r="C27" s="143"/>
      <c r="D27" s="48">
        <v>33000</v>
      </c>
      <c r="E27" s="50"/>
      <c r="F27" s="48">
        <f t="shared" si="8"/>
        <v>33001</v>
      </c>
      <c r="G27" s="49"/>
      <c r="H27" s="138">
        <v>43890</v>
      </c>
      <c r="I27" s="139"/>
      <c r="J27" s="140"/>
      <c r="K27" s="48">
        <f t="shared" si="9"/>
        <v>43891</v>
      </c>
      <c r="L27" s="49"/>
      <c r="M27" s="28">
        <v>49500</v>
      </c>
      <c r="N27" s="48">
        <f t="shared" si="10"/>
        <v>49501</v>
      </c>
      <c r="O27" s="49"/>
      <c r="P27" s="138">
        <v>65670</v>
      </c>
      <c r="Q27" s="140"/>
      <c r="R27" s="28">
        <f t="shared" si="11"/>
        <v>65671</v>
      </c>
    </row>
    <row r="28" spans="1:18" ht="15">
      <c r="A28" s="136">
        <v>5</v>
      </c>
      <c r="B28" s="137"/>
      <c r="C28" s="137"/>
      <c r="D28" s="48">
        <v>38680</v>
      </c>
      <c r="E28" s="50"/>
      <c r="F28" s="48">
        <f t="shared" si="8"/>
        <v>38681</v>
      </c>
      <c r="G28" s="49"/>
      <c r="H28" s="138">
        <v>51444</v>
      </c>
      <c r="I28" s="139"/>
      <c r="J28" s="140"/>
      <c r="K28" s="48">
        <f t="shared" si="9"/>
        <v>51445</v>
      </c>
      <c r="L28" s="49"/>
      <c r="M28" s="28">
        <v>58020</v>
      </c>
      <c r="N28" s="48">
        <f t="shared" si="10"/>
        <v>58021</v>
      </c>
      <c r="O28" s="49"/>
      <c r="P28" s="138">
        <v>76973</v>
      </c>
      <c r="Q28" s="140"/>
      <c r="R28" s="28">
        <f t="shared" si="11"/>
        <v>76974</v>
      </c>
    </row>
    <row r="29" spans="1:18" ht="15">
      <c r="A29" s="142">
        <v>6</v>
      </c>
      <c r="B29" s="143"/>
      <c r="C29" s="143"/>
      <c r="D29" s="48">
        <v>44360</v>
      </c>
      <c r="E29" s="50"/>
      <c r="F29" s="48">
        <f t="shared" si="8"/>
        <v>44361</v>
      </c>
      <c r="G29" s="49"/>
      <c r="H29" s="138">
        <v>58999</v>
      </c>
      <c r="I29" s="139"/>
      <c r="J29" s="140"/>
      <c r="K29" s="48">
        <f t="shared" si="9"/>
        <v>59000</v>
      </c>
      <c r="L29" s="49"/>
      <c r="M29" s="28">
        <v>66540</v>
      </c>
      <c r="N29" s="48">
        <f t="shared" si="10"/>
        <v>66541</v>
      </c>
      <c r="O29" s="49"/>
      <c r="P29" s="138">
        <v>88276</v>
      </c>
      <c r="Q29" s="140"/>
      <c r="R29" s="28">
        <f t="shared" si="11"/>
        <v>88277</v>
      </c>
    </row>
    <row r="30" spans="1:18" ht="15">
      <c r="A30" s="136">
        <v>7</v>
      </c>
      <c r="B30" s="137"/>
      <c r="C30" s="137"/>
      <c r="D30" s="48">
        <v>50040</v>
      </c>
      <c r="E30" s="50"/>
      <c r="F30" s="48">
        <f t="shared" si="8"/>
        <v>50041</v>
      </c>
      <c r="G30" s="49"/>
      <c r="H30" s="138">
        <v>66553</v>
      </c>
      <c r="I30" s="139"/>
      <c r="J30" s="140"/>
      <c r="K30" s="48">
        <f t="shared" si="9"/>
        <v>66554</v>
      </c>
      <c r="L30" s="49"/>
      <c r="M30" s="28">
        <v>75060</v>
      </c>
      <c r="N30" s="48">
        <f t="shared" si="10"/>
        <v>75061</v>
      </c>
      <c r="O30" s="49"/>
      <c r="P30" s="138">
        <v>99580</v>
      </c>
      <c r="Q30" s="140"/>
      <c r="R30" s="28">
        <f t="shared" si="11"/>
        <v>99581</v>
      </c>
    </row>
    <row r="31" spans="1:18" ht="15">
      <c r="A31" s="142">
        <v>8</v>
      </c>
      <c r="B31" s="143"/>
      <c r="C31" s="143"/>
      <c r="D31" s="48">
        <v>55720</v>
      </c>
      <c r="E31" s="50"/>
      <c r="F31" s="48">
        <f t="shared" si="8"/>
        <v>55721</v>
      </c>
      <c r="G31" s="49"/>
      <c r="H31" s="138">
        <v>74107</v>
      </c>
      <c r="I31" s="139"/>
      <c r="J31" s="140"/>
      <c r="K31" s="48">
        <f t="shared" si="9"/>
        <v>74108</v>
      </c>
      <c r="L31" s="49"/>
      <c r="M31" s="28">
        <v>83580</v>
      </c>
      <c r="N31" s="48">
        <f t="shared" si="10"/>
        <v>83581</v>
      </c>
      <c r="O31" s="49"/>
      <c r="P31" s="138">
        <v>110883</v>
      </c>
      <c r="Q31" s="140"/>
      <c r="R31" s="28">
        <f t="shared" si="11"/>
        <v>110884</v>
      </c>
    </row>
    <row r="32" spans="1:18" ht="15">
      <c r="A32" s="136">
        <v>9</v>
      </c>
      <c r="B32" s="137"/>
      <c r="C32" s="137"/>
      <c r="D32" s="48">
        <f>D31+5680</f>
        <v>61400</v>
      </c>
      <c r="E32" s="50"/>
      <c r="F32" s="48">
        <f t="shared" si="8"/>
        <v>61401</v>
      </c>
      <c r="G32" s="49"/>
      <c r="H32" s="138">
        <v>81661</v>
      </c>
      <c r="I32" s="139"/>
      <c r="J32" s="140"/>
      <c r="K32" s="48">
        <f t="shared" ref="K32:K33" si="12">H32+1</f>
        <v>81662</v>
      </c>
      <c r="L32" s="49"/>
      <c r="M32" s="28">
        <v>92100</v>
      </c>
      <c r="N32" s="48">
        <f t="shared" si="10"/>
        <v>92101</v>
      </c>
      <c r="O32" s="49"/>
      <c r="P32" s="138">
        <v>122186</v>
      </c>
      <c r="Q32" s="140"/>
      <c r="R32" s="28">
        <f t="shared" si="11"/>
        <v>122187</v>
      </c>
    </row>
    <row r="33" spans="1:18" ht="15">
      <c r="A33" s="44" t="s">
        <v>13</v>
      </c>
      <c r="B33" s="45"/>
      <c r="C33" s="45"/>
      <c r="D33" s="46">
        <f>D32+5680</f>
        <v>67080</v>
      </c>
      <c r="E33" s="47"/>
      <c r="F33" s="48">
        <f t="shared" si="8"/>
        <v>67081</v>
      </c>
      <c r="G33" s="49"/>
      <c r="H33" s="144">
        <v>89215</v>
      </c>
      <c r="I33" s="145"/>
      <c r="J33" s="146"/>
      <c r="K33" s="48">
        <f t="shared" si="12"/>
        <v>89216</v>
      </c>
      <c r="L33" s="49"/>
      <c r="M33" s="35">
        <v>100620</v>
      </c>
      <c r="N33" s="48">
        <f t="shared" si="10"/>
        <v>100621</v>
      </c>
      <c r="O33" s="49"/>
      <c r="P33" s="144">
        <v>133489</v>
      </c>
      <c r="Q33" s="146"/>
      <c r="R33" s="28">
        <f t="shared" si="11"/>
        <v>133490</v>
      </c>
    </row>
    <row r="34" spans="1:18">
      <c r="A34" s="38" t="s">
        <v>21</v>
      </c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40"/>
    </row>
    <row r="35" spans="1:18">
      <c r="A35" s="41" t="s">
        <v>22</v>
      </c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30"/>
      <c r="N35" s="42" t="s">
        <v>23</v>
      </c>
      <c r="O35" s="43"/>
      <c r="P35" s="43"/>
      <c r="Q35" s="43"/>
      <c r="R35" s="43"/>
    </row>
  </sheetData>
  <mergeCells count="171">
    <mergeCell ref="A1:R1"/>
    <mergeCell ref="A2:R2"/>
    <mergeCell ref="A3:C5"/>
    <mergeCell ref="D3:E4"/>
    <mergeCell ref="F3:J4"/>
    <mergeCell ref="K3:M4"/>
    <mergeCell ref="N3:Q4"/>
    <mergeCell ref="D5:E5"/>
    <mergeCell ref="F5:G5"/>
    <mergeCell ref="H5:J5"/>
    <mergeCell ref="K5:L5"/>
    <mergeCell ref="N5:O5"/>
    <mergeCell ref="P5:Q5"/>
    <mergeCell ref="A6:C6"/>
    <mergeCell ref="D6:E6"/>
    <mergeCell ref="F6:G6"/>
    <mergeCell ref="H6:J6"/>
    <mergeCell ref="K6:L6"/>
    <mergeCell ref="N6:O6"/>
    <mergeCell ref="P6:Q6"/>
    <mergeCell ref="P7:Q7"/>
    <mergeCell ref="A8:C8"/>
    <mergeCell ref="D8:E8"/>
    <mergeCell ref="F8:G8"/>
    <mergeCell ref="H8:J8"/>
    <mergeCell ref="K8:L8"/>
    <mergeCell ref="N8:O8"/>
    <mergeCell ref="P8:Q8"/>
    <mergeCell ref="A7:C7"/>
    <mergeCell ref="D7:E7"/>
    <mergeCell ref="F7:G7"/>
    <mergeCell ref="H7:J7"/>
    <mergeCell ref="K7:L7"/>
    <mergeCell ref="N7:O7"/>
    <mergeCell ref="P9:Q9"/>
    <mergeCell ref="A10:C10"/>
    <mergeCell ref="D10:E10"/>
    <mergeCell ref="F10:G10"/>
    <mergeCell ref="H10:J10"/>
    <mergeCell ref="K10:L10"/>
    <mergeCell ref="N10:O10"/>
    <mergeCell ref="P10:Q10"/>
    <mergeCell ref="A9:C9"/>
    <mergeCell ref="D9:E9"/>
    <mergeCell ref="F9:G9"/>
    <mergeCell ref="H9:J9"/>
    <mergeCell ref="K9:L9"/>
    <mergeCell ref="N9:O9"/>
    <mergeCell ref="P11:Q11"/>
    <mergeCell ref="A12:C12"/>
    <mergeCell ref="D12:E12"/>
    <mergeCell ref="F12:G12"/>
    <mergeCell ref="H12:J12"/>
    <mergeCell ref="K12:L12"/>
    <mergeCell ref="N12:O12"/>
    <mergeCell ref="P12:Q12"/>
    <mergeCell ref="A11:C11"/>
    <mergeCell ref="D11:E11"/>
    <mergeCell ref="F11:G11"/>
    <mergeCell ref="H11:J11"/>
    <mergeCell ref="K11:L11"/>
    <mergeCell ref="N11:O11"/>
    <mergeCell ref="P13:Q13"/>
    <mergeCell ref="A14:C14"/>
    <mergeCell ref="D14:E14"/>
    <mergeCell ref="F14:G14"/>
    <mergeCell ref="H14:J14"/>
    <mergeCell ref="K14:L14"/>
    <mergeCell ref="N14:O14"/>
    <mergeCell ref="P14:Q14"/>
    <mergeCell ref="A13:C13"/>
    <mergeCell ref="D13:E13"/>
    <mergeCell ref="F13:G13"/>
    <mergeCell ref="H13:J13"/>
    <mergeCell ref="K13:L13"/>
    <mergeCell ref="N13:O13"/>
    <mergeCell ref="D23:E23"/>
    <mergeCell ref="F23:G23"/>
    <mergeCell ref="H23:J23"/>
    <mergeCell ref="K23:L23"/>
    <mergeCell ref="N23:O23"/>
    <mergeCell ref="P23:Q23"/>
    <mergeCell ref="P15:Q15"/>
    <mergeCell ref="A16:R16"/>
    <mergeCell ref="A19:R19"/>
    <mergeCell ref="A20:R20"/>
    <mergeCell ref="A21:C23"/>
    <mergeCell ref="D21:E22"/>
    <mergeCell ref="F21:J22"/>
    <mergeCell ref="K21:M22"/>
    <mergeCell ref="N21:P22"/>
    <mergeCell ref="Q21:Q22"/>
    <mergeCell ref="A15:C15"/>
    <mergeCell ref="D15:E15"/>
    <mergeCell ref="F15:G15"/>
    <mergeCell ref="H15:J15"/>
    <mergeCell ref="K15:L15"/>
    <mergeCell ref="N15:O15"/>
    <mergeCell ref="P24:Q24"/>
    <mergeCell ref="A25:C25"/>
    <mergeCell ref="D25:E25"/>
    <mergeCell ref="F25:G25"/>
    <mergeCell ref="H25:J25"/>
    <mergeCell ref="K25:L25"/>
    <mergeCell ref="N25:O25"/>
    <mergeCell ref="P25:Q25"/>
    <mergeCell ref="A24:C24"/>
    <mergeCell ref="D24:E24"/>
    <mergeCell ref="F24:G24"/>
    <mergeCell ref="H24:J24"/>
    <mergeCell ref="K24:L24"/>
    <mergeCell ref="N24:O24"/>
    <mergeCell ref="P26:Q26"/>
    <mergeCell ref="A27:C27"/>
    <mergeCell ref="D27:E27"/>
    <mergeCell ref="F27:G27"/>
    <mergeCell ref="H27:J27"/>
    <mergeCell ref="K27:L27"/>
    <mergeCell ref="N27:O27"/>
    <mergeCell ref="P27:Q27"/>
    <mergeCell ref="A26:C26"/>
    <mergeCell ref="D26:E26"/>
    <mergeCell ref="F26:G26"/>
    <mergeCell ref="H26:J26"/>
    <mergeCell ref="K26:L26"/>
    <mergeCell ref="N26:O26"/>
    <mergeCell ref="P28:Q28"/>
    <mergeCell ref="A29:C29"/>
    <mergeCell ref="D29:E29"/>
    <mergeCell ref="F29:G29"/>
    <mergeCell ref="H29:J29"/>
    <mergeCell ref="K29:L29"/>
    <mergeCell ref="N29:O29"/>
    <mergeCell ref="P29:Q29"/>
    <mergeCell ref="A28:C28"/>
    <mergeCell ref="D28:E28"/>
    <mergeCell ref="F28:G28"/>
    <mergeCell ref="H28:J28"/>
    <mergeCell ref="K28:L28"/>
    <mergeCell ref="N28:O28"/>
    <mergeCell ref="P30:Q30"/>
    <mergeCell ref="A31:C31"/>
    <mergeCell ref="D31:E31"/>
    <mergeCell ref="F31:G31"/>
    <mergeCell ref="H31:J31"/>
    <mergeCell ref="K31:L31"/>
    <mergeCell ref="N31:O31"/>
    <mergeCell ref="P31:Q31"/>
    <mergeCell ref="A30:C30"/>
    <mergeCell ref="D30:E30"/>
    <mergeCell ref="F30:G30"/>
    <mergeCell ref="H30:J30"/>
    <mergeCell ref="K30:L30"/>
    <mergeCell ref="N30:O30"/>
    <mergeCell ref="A34:R34"/>
    <mergeCell ref="A35:L35"/>
    <mergeCell ref="N35:R35"/>
    <mergeCell ref="P32:Q32"/>
    <mergeCell ref="A33:C33"/>
    <mergeCell ref="D33:E33"/>
    <mergeCell ref="F33:G33"/>
    <mergeCell ref="H33:J33"/>
    <mergeCell ref="K33:L33"/>
    <mergeCell ref="N33:O33"/>
    <mergeCell ref="P33:Q33"/>
    <mergeCell ref="A32:C32"/>
    <mergeCell ref="D32:E32"/>
    <mergeCell ref="F32:G32"/>
    <mergeCell ref="H32:J32"/>
    <mergeCell ref="K32:L32"/>
    <mergeCell ref="N32:O32"/>
  </mergeCells>
  <hyperlinks>
    <hyperlink ref="N35" r:id="rId1" xr:uid="{B0971D6A-231D-4169-82D7-87DE727E6D7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4C05F-4876-4C29-A2B3-BFE5B0B81D3B}">
  <dimension ref="A1:R35"/>
  <sheetViews>
    <sheetView topLeftCell="A19" workbookViewId="0">
      <selection sqref="A1:R35"/>
    </sheetView>
  </sheetViews>
  <sheetFormatPr defaultRowHeight="12.75"/>
  <cols>
    <col min="5" max="5" width="15.7109375" customWidth="1"/>
    <col min="10" max="10" width="7.85546875" customWidth="1"/>
    <col min="18" max="18" width="14.5703125" customWidth="1"/>
  </cols>
  <sheetData>
    <row r="1" spans="1:18" ht="18">
      <c r="A1" s="55" t="s">
        <v>24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</row>
    <row r="2" spans="1:18">
      <c r="A2" s="69" t="s">
        <v>25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</row>
    <row r="3" spans="1:18" ht="15" customHeight="1">
      <c r="A3" s="59" t="s">
        <v>2</v>
      </c>
      <c r="B3" s="60"/>
      <c r="C3" s="60"/>
      <c r="D3" s="61" t="s">
        <v>3</v>
      </c>
      <c r="E3" s="62"/>
      <c r="F3" s="71" t="s">
        <v>4</v>
      </c>
      <c r="G3" s="72"/>
      <c r="H3" s="72"/>
      <c r="I3" s="72"/>
      <c r="J3" s="73"/>
      <c r="K3" s="63" t="s">
        <v>5</v>
      </c>
      <c r="L3" s="64"/>
      <c r="M3" s="65"/>
      <c r="N3" s="71" t="s">
        <v>6</v>
      </c>
      <c r="O3" s="72"/>
      <c r="P3" s="72"/>
      <c r="Q3" s="73"/>
      <c r="R3" s="36" t="s">
        <v>7</v>
      </c>
    </row>
    <row r="4" spans="1:18" ht="29.25">
      <c r="A4" s="59"/>
      <c r="B4" s="60"/>
      <c r="C4" s="60"/>
      <c r="D4" s="61"/>
      <c r="E4" s="62"/>
      <c r="F4" s="74"/>
      <c r="G4" s="75"/>
      <c r="H4" s="75"/>
      <c r="I4" s="75"/>
      <c r="J4" s="76"/>
      <c r="K4" s="66"/>
      <c r="L4" s="61"/>
      <c r="M4" s="62"/>
      <c r="N4" s="74"/>
      <c r="O4" s="75"/>
      <c r="P4" s="75"/>
      <c r="Q4" s="76"/>
      <c r="R4" s="37" t="s">
        <v>8</v>
      </c>
    </row>
    <row r="5" spans="1:18" ht="12.75" customHeight="1">
      <c r="A5" s="59"/>
      <c r="B5" s="60"/>
      <c r="C5" s="60"/>
      <c r="D5" s="51" t="s">
        <v>9</v>
      </c>
      <c r="E5" s="52"/>
      <c r="F5" s="53" t="s">
        <v>10</v>
      </c>
      <c r="G5" s="53"/>
      <c r="H5" s="53" t="s">
        <v>11</v>
      </c>
      <c r="I5" s="53"/>
      <c r="J5" s="54"/>
      <c r="K5" s="53" t="s">
        <v>10</v>
      </c>
      <c r="L5" s="53"/>
      <c r="M5" s="34" t="s">
        <v>11</v>
      </c>
      <c r="N5" s="53" t="s">
        <v>10</v>
      </c>
      <c r="O5" s="53"/>
      <c r="P5" s="53" t="s">
        <v>11</v>
      </c>
      <c r="Q5" s="54"/>
      <c r="R5" s="33" t="s">
        <v>12</v>
      </c>
    </row>
    <row r="6" spans="1:18" ht="12.75" customHeight="1">
      <c r="A6" s="136">
        <v>1</v>
      </c>
      <c r="B6" s="137"/>
      <c r="C6" s="137"/>
      <c r="D6" s="48">
        <v>1304</v>
      </c>
      <c r="E6" s="50"/>
      <c r="F6" s="48">
        <v>1305</v>
      </c>
      <c r="G6" s="49"/>
      <c r="H6" s="138">
        <v>1735</v>
      </c>
      <c r="I6" s="139"/>
      <c r="J6" s="140"/>
      <c r="K6" s="48">
        <v>1736</v>
      </c>
      <c r="L6" s="49"/>
      <c r="M6" s="28">
        <v>1956</v>
      </c>
      <c r="N6" s="48">
        <v>1957</v>
      </c>
      <c r="O6" s="49"/>
      <c r="P6" s="141">
        <v>2608.25</v>
      </c>
      <c r="Q6" s="140"/>
      <c r="R6" s="28">
        <v>2608</v>
      </c>
    </row>
    <row r="7" spans="1:18" ht="12.75" customHeight="1">
      <c r="A7" s="142">
        <v>2</v>
      </c>
      <c r="B7" s="143"/>
      <c r="C7" s="143"/>
      <c r="D7" s="48">
        <v>1763</v>
      </c>
      <c r="E7" s="50"/>
      <c r="F7" s="48">
        <v>1764</v>
      </c>
      <c r="G7" s="49"/>
      <c r="H7" s="138">
        <v>2344</v>
      </c>
      <c r="I7" s="139"/>
      <c r="J7" s="140"/>
      <c r="K7" s="48">
        <v>2345</v>
      </c>
      <c r="L7" s="49"/>
      <c r="M7" s="28">
        <v>2644</v>
      </c>
      <c r="N7" s="48">
        <v>2645</v>
      </c>
      <c r="O7" s="49"/>
      <c r="P7" s="141">
        <v>3524.92</v>
      </c>
      <c r="Q7" s="140"/>
      <c r="R7" s="28">
        <v>3525</v>
      </c>
    </row>
    <row r="8" spans="1:18" ht="12.75" customHeight="1">
      <c r="A8" s="136">
        <v>3</v>
      </c>
      <c r="B8" s="137"/>
      <c r="C8" s="137"/>
      <c r="D8" s="48">
        <v>2221</v>
      </c>
      <c r="E8" s="50"/>
      <c r="F8" s="48">
        <v>2222</v>
      </c>
      <c r="G8" s="49"/>
      <c r="H8" s="138">
        <v>2954</v>
      </c>
      <c r="I8" s="139"/>
      <c r="J8" s="140"/>
      <c r="K8" s="48">
        <v>2955</v>
      </c>
      <c r="L8" s="49"/>
      <c r="M8" s="28">
        <v>3331</v>
      </c>
      <c r="N8" s="48">
        <v>3332</v>
      </c>
      <c r="O8" s="49"/>
      <c r="P8" s="141">
        <v>4441.58</v>
      </c>
      <c r="Q8" s="140"/>
      <c r="R8" s="28">
        <v>4442</v>
      </c>
    </row>
    <row r="9" spans="1:18" ht="12.75" customHeight="1">
      <c r="A9" s="142">
        <v>4</v>
      </c>
      <c r="B9" s="143"/>
      <c r="C9" s="143"/>
      <c r="D9" s="48">
        <v>2679</v>
      </c>
      <c r="E9" s="50"/>
      <c r="F9" s="48">
        <v>2680</v>
      </c>
      <c r="G9" s="49"/>
      <c r="H9" s="138">
        <v>3617</v>
      </c>
      <c r="I9" s="139"/>
      <c r="J9" s="140"/>
      <c r="K9" s="48">
        <v>3618</v>
      </c>
      <c r="L9" s="49"/>
      <c r="M9" s="28">
        <v>4019</v>
      </c>
      <c r="N9" s="48">
        <v>4020</v>
      </c>
      <c r="O9" s="49"/>
      <c r="P9" s="141">
        <v>5358.25</v>
      </c>
      <c r="Q9" s="140"/>
      <c r="R9" s="28">
        <v>5358</v>
      </c>
    </row>
    <row r="10" spans="1:18" ht="12.75" customHeight="1">
      <c r="A10" s="136">
        <v>5</v>
      </c>
      <c r="B10" s="137"/>
      <c r="C10" s="137"/>
      <c r="D10" s="48">
        <v>3138</v>
      </c>
      <c r="E10" s="50"/>
      <c r="F10" s="48">
        <v>3139</v>
      </c>
      <c r="G10" s="49"/>
      <c r="H10" s="138">
        <v>4079</v>
      </c>
      <c r="I10" s="139"/>
      <c r="J10" s="140"/>
      <c r="K10" s="48">
        <v>4080</v>
      </c>
      <c r="L10" s="49"/>
      <c r="M10" s="28">
        <v>4706</v>
      </c>
      <c r="N10" s="48">
        <v>4707</v>
      </c>
      <c r="O10" s="49"/>
      <c r="P10" s="141">
        <v>6274.92</v>
      </c>
      <c r="Q10" s="140"/>
      <c r="R10" s="28">
        <v>6275</v>
      </c>
    </row>
    <row r="11" spans="1:18" ht="12.75" customHeight="1">
      <c r="A11" s="142">
        <v>6</v>
      </c>
      <c r="B11" s="143"/>
      <c r="C11" s="143"/>
      <c r="D11" s="48">
        <v>3596</v>
      </c>
      <c r="E11" s="50"/>
      <c r="F11" s="48">
        <v>3597</v>
      </c>
      <c r="G11" s="49"/>
      <c r="H11" s="138">
        <v>4675</v>
      </c>
      <c r="I11" s="139"/>
      <c r="J11" s="140"/>
      <c r="K11" s="48">
        <v>4676</v>
      </c>
      <c r="L11" s="49"/>
      <c r="M11" s="28">
        <v>5394</v>
      </c>
      <c r="N11" s="48">
        <v>5395</v>
      </c>
      <c r="O11" s="49"/>
      <c r="P11" s="141">
        <v>7191.58</v>
      </c>
      <c r="Q11" s="140"/>
      <c r="R11" s="28">
        <v>7192</v>
      </c>
    </row>
    <row r="12" spans="1:18" ht="12.75" customHeight="1">
      <c r="A12" s="136">
        <v>7</v>
      </c>
      <c r="B12" s="137"/>
      <c r="C12" s="137"/>
      <c r="D12" s="48">
        <v>4054</v>
      </c>
      <c r="E12" s="50"/>
      <c r="F12" s="48">
        <v>4055</v>
      </c>
      <c r="G12" s="49"/>
      <c r="H12" s="138">
        <v>5270</v>
      </c>
      <c r="I12" s="139"/>
      <c r="J12" s="140"/>
      <c r="K12" s="48">
        <v>5271</v>
      </c>
      <c r="L12" s="49"/>
      <c r="M12" s="28">
        <v>6081</v>
      </c>
      <c r="N12" s="48">
        <v>6082</v>
      </c>
      <c r="O12" s="49"/>
      <c r="P12" s="141">
        <v>8108.25</v>
      </c>
      <c r="Q12" s="140"/>
      <c r="R12" s="28">
        <v>8108</v>
      </c>
    </row>
    <row r="13" spans="1:18" ht="12.75" customHeight="1">
      <c r="A13" s="142">
        <v>8</v>
      </c>
      <c r="B13" s="143"/>
      <c r="C13" s="143"/>
      <c r="D13" s="48">
        <v>4513</v>
      </c>
      <c r="E13" s="50"/>
      <c r="F13" s="48">
        <v>4514</v>
      </c>
      <c r="G13" s="49"/>
      <c r="H13" s="138">
        <v>5866</v>
      </c>
      <c r="I13" s="139"/>
      <c r="J13" s="140"/>
      <c r="K13" s="48">
        <v>5867</v>
      </c>
      <c r="L13" s="49"/>
      <c r="M13" s="28">
        <v>6769</v>
      </c>
      <c r="N13" s="48">
        <v>6770</v>
      </c>
      <c r="O13" s="49"/>
      <c r="P13" s="141">
        <v>9024.92</v>
      </c>
      <c r="Q13" s="140"/>
      <c r="R13" s="28">
        <v>9025</v>
      </c>
    </row>
    <row r="14" spans="1:18" ht="12.75" customHeight="1">
      <c r="A14" s="136">
        <v>9</v>
      </c>
      <c r="B14" s="137"/>
      <c r="C14" s="137"/>
      <c r="D14" s="48">
        <v>4971</v>
      </c>
      <c r="E14" s="50"/>
      <c r="F14" s="48">
        <v>4972</v>
      </c>
      <c r="G14" s="49"/>
      <c r="H14" s="138">
        <v>6462</v>
      </c>
      <c r="I14" s="139"/>
      <c r="J14" s="140"/>
      <c r="K14" s="48">
        <v>6463</v>
      </c>
      <c r="L14" s="49"/>
      <c r="M14" s="28">
        <v>7456</v>
      </c>
      <c r="N14" s="48">
        <v>7457</v>
      </c>
      <c r="O14" s="49"/>
      <c r="P14" s="141">
        <v>9941.58</v>
      </c>
      <c r="Q14" s="140"/>
      <c r="R14" s="28">
        <v>9942</v>
      </c>
    </row>
    <row r="15" spans="1:18" ht="12.75" customHeight="1">
      <c r="A15" s="44" t="s">
        <v>13</v>
      </c>
      <c r="B15" s="45"/>
      <c r="C15" s="45"/>
      <c r="D15" s="46">
        <v>5429</v>
      </c>
      <c r="E15" s="47"/>
      <c r="F15" s="46">
        <v>5430</v>
      </c>
      <c r="G15" s="77"/>
      <c r="H15" s="144">
        <v>7058</v>
      </c>
      <c r="I15" s="145"/>
      <c r="J15" s="146"/>
      <c r="K15" s="46">
        <v>7059</v>
      </c>
      <c r="L15" s="77"/>
      <c r="M15" s="35">
        <v>8144</v>
      </c>
      <c r="N15" s="46">
        <v>8145</v>
      </c>
      <c r="O15" s="77"/>
      <c r="P15" s="147">
        <v>10858.25</v>
      </c>
      <c r="Q15" s="146"/>
      <c r="R15" s="28">
        <v>10858</v>
      </c>
    </row>
    <row r="16" spans="1:18">
      <c r="A16" s="38" t="s">
        <v>14</v>
      </c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40"/>
    </row>
    <row r="19" spans="1:18" ht="18">
      <c r="A19" s="55" t="s">
        <v>26</v>
      </c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</row>
    <row r="20" spans="1:18">
      <c r="A20" s="57" t="s">
        <v>27</v>
      </c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</row>
    <row r="21" spans="1:18" ht="15" customHeight="1">
      <c r="A21" s="59" t="s">
        <v>2</v>
      </c>
      <c r="B21" s="60"/>
      <c r="C21" s="60"/>
      <c r="D21" s="61" t="s">
        <v>3</v>
      </c>
      <c r="E21" s="62"/>
      <c r="F21" s="63" t="s">
        <v>17</v>
      </c>
      <c r="G21" s="64"/>
      <c r="H21" s="64"/>
      <c r="I21" s="64"/>
      <c r="J21" s="65"/>
      <c r="K21" s="63" t="s">
        <v>5</v>
      </c>
      <c r="L21" s="64"/>
      <c r="M21" s="65"/>
      <c r="N21" s="63" t="s">
        <v>6</v>
      </c>
      <c r="O21" s="64"/>
      <c r="P21" s="64"/>
      <c r="Q21" s="67" t="s">
        <v>18</v>
      </c>
      <c r="R21" s="32" t="s">
        <v>7</v>
      </c>
    </row>
    <row r="22" spans="1:18" ht="29.25">
      <c r="A22" s="59"/>
      <c r="B22" s="60"/>
      <c r="C22" s="60"/>
      <c r="D22" s="61"/>
      <c r="E22" s="62"/>
      <c r="F22" s="66"/>
      <c r="G22" s="61"/>
      <c r="H22" s="61"/>
      <c r="I22" s="61"/>
      <c r="J22" s="62"/>
      <c r="K22" s="66"/>
      <c r="L22" s="61"/>
      <c r="M22" s="62"/>
      <c r="N22" s="66"/>
      <c r="O22" s="61"/>
      <c r="P22" s="61"/>
      <c r="Q22" s="68"/>
      <c r="R22" s="37" t="s">
        <v>8</v>
      </c>
    </row>
    <row r="23" spans="1:18" ht="12.75" customHeight="1">
      <c r="A23" s="59"/>
      <c r="B23" s="60"/>
      <c r="C23" s="60"/>
      <c r="D23" s="51" t="s">
        <v>19</v>
      </c>
      <c r="E23" s="52"/>
      <c r="F23" s="53" t="s">
        <v>10</v>
      </c>
      <c r="G23" s="53"/>
      <c r="H23" s="53" t="s">
        <v>11</v>
      </c>
      <c r="I23" s="53"/>
      <c r="J23" s="54"/>
      <c r="K23" s="53" t="s">
        <v>10</v>
      </c>
      <c r="L23" s="53"/>
      <c r="M23" s="34" t="s">
        <v>11</v>
      </c>
      <c r="N23" s="53" t="s">
        <v>10</v>
      </c>
      <c r="O23" s="53"/>
      <c r="P23" s="53" t="s">
        <v>11</v>
      </c>
      <c r="Q23" s="54"/>
      <c r="R23" s="33" t="s">
        <v>20</v>
      </c>
    </row>
    <row r="24" spans="1:18" ht="12.75" customHeight="1">
      <c r="A24" s="136">
        <v>1</v>
      </c>
      <c r="B24" s="137"/>
      <c r="C24" s="137"/>
      <c r="D24" s="48">
        <v>15650</v>
      </c>
      <c r="E24" s="50"/>
      <c r="F24" s="48">
        <v>15651</v>
      </c>
      <c r="G24" s="49"/>
      <c r="H24" s="138">
        <v>20815</v>
      </c>
      <c r="I24" s="139"/>
      <c r="J24" s="140"/>
      <c r="K24" s="48">
        <v>20816</v>
      </c>
      <c r="L24" s="49"/>
      <c r="M24" s="28">
        <v>23475</v>
      </c>
      <c r="N24" s="48">
        <v>23476</v>
      </c>
      <c r="O24" s="49"/>
      <c r="P24" s="138">
        <v>31299</v>
      </c>
      <c r="Q24" s="140"/>
      <c r="R24" s="28">
        <v>31300</v>
      </c>
    </row>
    <row r="25" spans="1:18" ht="12.75" customHeight="1">
      <c r="A25" s="142">
        <v>2</v>
      </c>
      <c r="B25" s="143"/>
      <c r="C25" s="143"/>
      <c r="D25" s="48">
        <v>21150</v>
      </c>
      <c r="E25" s="50"/>
      <c r="F25" s="48">
        <v>21151</v>
      </c>
      <c r="G25" s="49"/>
      <c r="H25" s="138">
        <v>28130</v>
      </c>
      <c r="I25" s="139"/>
      <c r="J25" s="140"/>
      <c r="K25" s="48">
        <v>28131</v>
      </c>
      <c r="L25" s="49"/>
      <c r="M25" s="28">
        <v>31725</v>
      </c>
      <c r="N25" s="48">
        <v>31726</v>
      </c>
      <c r="O25" s="49"/>
      <c r="P25" s="138">
        <v>42299</v>
      </c>
      <c r="Q25" s="140"/>
      <c r="R25" s="28">
        <v>42300</v>
      </c>
    </row>
    <row r="26" spans="1:18" ht="12.75" customHeight="1">
      <c r="A26" s="136">
        <v>3</v>
      </c>
      <c r="B26" s="137"/>
      <c r="C26" s="137"/>
      <c r="D26" s="48">
        <v>26650</v>
      </c>
      <c r="E26" s="50"/>
      <c r="F26" s="48">
        <v>26651</v>
      </c>
      <c r="G26" s="49"/>
      <c r="H26" s="138">
        <v>35445</v>
      </c>
      <c r="I26" s="139"/>
      <c r="J26" s="140"/>
      <c r="K26" s="48">
        <v>35446</v>
      </c>
      <c r="L26" s="49"/>
      <c r="M26" s="28">
        <v>39975</v>
      </c>
      <c r="N26" s="48">
        <v>39976</v>
      </c>
      <c r="O26" s="49"/>
      <c r="P26" s="138">
        <v>53299</v>
      </c>
      <c r="Q26" s="140"/>
      <c r="R26" s="28">
        <v>53300</v>
      </c>
    </row>
    <row r="27" spans="1:18" ht="12.75" customHeight="1">
      <c r="A27" s="142">
        <v>4</v>
      </c>
      <c r="B27" s="143"/>
      <c r="C27" s="143"/>
      <c r="D27" s="48">
        <v>32150</v>
      </c>
      <c r="E27" s="50"/>
      <c r="F27" s="48">
        <v>32151</v>
      </c>
      <c r="G27" s="49"/>
      <c r="H27" s="138">
        <v>43403</v>
      </c>
      <c r="I27" s="139"/>
      <c r="J27" s="140"/>
      <c r="K27" s="48">
        <v>43404</v>
      </c>
      <c r="L27" s="49"/>
      <c r="M27" s="28">
        <v>48225</v>
      </c>
      <c r="N27" s="48">
        <v>48226</v>
      </c>
      <c r="O27" s="49"/>
      <c r="P27" s="138">
        <v>64299</v>
      </c>
      <c r="Q27" s="140"/>
      <c r="R27" s="28">
        <v>64300</v>
      </c>
    </row>
    <row r="28" spans="1:18" ht="12.75" customHeight="1">
      <c r="A28" s="136">
        <v>5</v>
      </c>
      <c r="B28" s="137"/>
      <c r="C28" s="137"/>
      <c r="D28" s="48">
        <v>37650</v>
      </c>
      <c r="E28" s="50"/>
      <c r="F28" s="48">
        <v>37651</v>
      </c>
      <c r="G28" s="49"/>
      <c r="H28" s="138">
        <v>48945</v>
      </c>
      <c r="I28" s="139"/>
      <c r="J28" s="140"/>
      <c r="K28" s="48">
        <v>48946</v>
      </c>
      <c r="L28" s="49"/>
      <c r="M28" s="28">
        <v>56475</v>
      </c>
      <c r="N28" s="48">
        <v>56476</v>
      </c>
      <c r="O28" s="49"/>
      <c r="P28" s="138">
        <v>75299</v>
      </c>
      <c r="Q28" s="140"/>
      <c r="R28" s="28">
        <v>75300</v>
      </c>
    </row>
    <row r="29" spans="1:18" ht="12.75" customHeight="1">
      <c r="A29" s="142">
        <v>6</v>
      </c>
      <c r="B29" s="143"/>
      <c r="C29" s="143"/>
      <c r="D29" s="48">
        <v>43150</v>
      </c>
      <c r="E29" s="50"/>
      <c r="F29" s="48">
        <v>43151</v>
      </c>
      <c r="G29" s="49"/>
      <c r="H29" s="138">
        <v>56095</v>
      </c>
      <c r="I29" s="139"/>
      <c r="J29" s="140"/>
      <c r="K29" s="48">
        <v>56096</v>
      </c>
      <c r="L29" s="49"/>
      <c r="M29" s="28">
        <v>64725</v>
      </c>
      <c r="N29" s="48">
        <v>64726</v>
      </c>
      <c r="O29" s="49"/>
      <c r="P29" s="138">
        <v>86299</v>
      </c>
      <c r="Q29" s="140"/>
      <c r="R29" s="28">
        <v>86300</v>
      </c>
    </row>
    <row r="30" spans="1:18" ht="12.75" customHeight="1">
      <c r="A30" s="136">
        <v>7</v>
      </c>
      <c r="B30" s="137"/>
      <c r="C30" s="137"/>
      <c r="D30" s="48">
        <v>48650</v>
      </c>
      <c r="E30" s="50"/>
      <c r="F30" s="48">
        <v>48651</v>
      </c>
      <c r="G30" s="49"/>
      <c r="H30" s="138">
        <v>63245</v>
      </c>
      <c r="I30" s="139"/>
      <c r="J30" s="140"/>
      <c r="K30" s="48">
        <v>63246</v>
      </c>
      <c r="L30" s="49"/>
      <c r="M30" s="28">
        <v>72975</v>
      </c>
      <c r="N30" s="48">
        <v>72976</v>
      </c>
      <c r="O30" s="49"/>
      <c r="P30" s="138">
        <v>97299</v>
      </c>
      <c r="Q30" s="140"/>
      <c r="R30" s="28">
        <v>97300</v>
      </c>
    </row>
    <row r="31" spans="1:18" ht="12.75" customHeight="1">
      <c r="A31" s="142">
        <v>8</v>
      </c>
      <c r="B31" s="143"/>
      <c r="C31" s="143"/>
      <c r="D31" s="48">
        <v>54150</v>
      </c>
      <c r="E31" s="50"/>
      <c r="F31" s="48">
        <v>54151</v>
      </c>
      <c r="G31" s="49"/>
      <c r="H31" s="138">
        <v>70395</v>
      </c>
      <c r="I31" s="139"/>
      <c r="J31" s="140"/>
      <c r="K31" s="48">
        <v>70396</v>
      </c>
      <c r="L31" s="49"/>
      <c r="M31" s="28">
        <v>81225</v>
      </c>
      <c r="N31" s="48">
        <v>81226</v>
      </c>
      <c r="O31" s="49"/>
      <c r="P31" s="138">
        <v>108299</v>
      </c>
      <c r="Q31" s="140"/>
      <c r="R31" s="28">
        <v>108300</v>
      </c>
    </row>
    <row r="32" spans="1:18" ht="12.75" customHeight="1">
      <c r="A32" s="136">
        <v>9</v>
      </c>
      <c r="B32" s="137"/>
      <c r="C32" s="137"/>
      <c r="D32" s="48">
        <v>59650</v>
      </c>
      <c r="E32" s="50"/>
      <c r="F32" s="48">
        <v>59651</v>
      </c>
      <c r="G32" s="49"/>
      <c r="H32" s="138">
        <v>77545</v>
      </c>
      <c r="I32" s="139"/>
      <c r="J32" s="140"/>
      <c r="K32" s="48">
        <v>77546</v>
      </c>
      <c r="L32" s="49"/>
      <c r="M32" s="28">
        <v>89475</v>
      </c>
      <c r="N32" s="48">
        <v>89476</v>
      </c>
      <c r="O32" s="49"/>
      <c r="P32" s="138">
        <v>119299</v>
      </c>
      <c r="Q32" s="140"/>
      <c r="R32" s="28">
        <v>119300</v>
      </c>
    </row>
    <row r="33" spans="1:18" ht="12.75" customHeight="1">
      <c r="A33" s="44" t="s">
        <v>13</v>
      </c>
      <c r="B33" s="45"/>
      <c r="C33" s="45"/>
      <c r="D33" s="46">
        <v>65150</v>
      </c>
      <c r="E33" s="47"/>
      <c r="F33" s="46">
        <v>65151</v>
      </c>
      <c r="G33" s="77"/>
      <c r="H33" s="144">
        <v>84695</v>
      </c>
      <c r="I33" s="145"/>
      <c r="J33" s="146"/>
      <c r="K33" s="46">
        <v>84696</v>
      </c>
      <c r="L33" s="77"/>
      <c r="M33" s="35">
        <v>97725</v>
      </c>
      <c r="N33" s="46">
        <v>97726</v>
      </c>
      <c r="O33" s="77"/>
      <c r="P33" s="144">
        <v>130299</v>
      </c>
      <c r="Q33" s="146"/>
      <c r="R33" s="28">
        <v>130300</v>
      </c>
    </row>
    <row r="34" spans="1:18">
      <c r="A34" s="38" t="s">
        <v>28</v>
      </c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40"/>
    </row>
    <row r="35" spans="1:18">
      <c r="A35" s="41" t="s">
        <v>29</v>
      </c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30"/>
      <c r="N35" s="42" t="s">
        <v>23</v>
      </c>
      <c r="O35" s="43"/>
      <c r="P35" s="43"/>
      <c r="Q35" s="43"/>
      <c r="R35" s="43"/>
    </row>
  </sheetData>
  <mergeCells count="171">
    <mergeCell ref="A34:R34"/>
    <mergeCell ref="A35:L35"/>
    <mergeCell ref="N35:R35"/>
    <mergeCell ref="P32:Q32"/>
    <mergeCell ref="A33:C33"/>
    <mergeCell ref="D33:E33"/>
    <mergeCell ref="F33:G33"/>
    <mergeCell ref="H33:J33"/>
    <mergeCell ref="K33:L33"/>
    <mergeCell ref="N33:O33"/>
    <mergeCell ref="P33:Q33"/>
    <mergeCell ref="A32:C32"/>
    <mergeCell ref="D32:E32"/>
    <mergeCell ref="F32:G32"/>
    <mergeCell ref="H32:J32"/>
    <mergeCell ref="K32:L32"/>
    <mergeCell ref="N32:O32"/>
    <mergeCell ref="P30:Q30"/>
    <mergeCell ref="A31:C31"/>
    <mergeCell ref="D31:E31"/>
    <mergeCell ref="F31:G31"/>
    <mergeCell ref="H31:J31"/>
    <mergeCell ref="K31:L31"/>
    <mergeCell ref="N31:O31"/>
    <mergeCell ref="P31:Q31"/>
    <mergeCell ref="A30:C30"/>
    <mergeCell ref="D30:E30"/>
    <mergeCell ref="F30:G30"/>
    <mergeCell ref="H30:J30"/>
    <mergeCell ref="K30:L30"/>
    <mergeCell ref="N30:O30"/>
    <mergeCell ref="P28:Q28"/>
    <mergeCell ref="A29:C29"/>
    <mergeCell ref="D29:E29"/>
    <mergeCell ref="F29:G29"/>
    <mergeCell ref="H29:J29"/>
    <mergeCell ref="K29:L29"/>
    <mergeCell ref="N29:O29"/>
    <mergeCell ref="P29:Q29"/>
    <mergeCell ref="A28:C28"/>
    <mergeCell ref="D28:E28"/>
    <mergeCell ref="F28:G28"/>
    <mergeCell ref="H28:J28"/>
    <mergeCell ref="K28:L28"/>
    <mergeCell ref="N28:O28"/>
    <mergeCell ref="P26:Q26"/>
    <mergeCell ref="A27:C27"/>
    <mergeCell ref="D27:E27"/>
    <mergeCell ref="F27:G27"/>
    <mergeCell ref="H27:J27"/>
    <mergeCell ref="K27:L27"/>
    <mergeCell ref="N27:O27"/>
    <mergeCell ref="P27:Q27"/>
    <mergeCell ref="A26:C26"/>
    <mergeCell ref="D26:E26"/>
    <mergeCell ref="F26:G26"/>
    <mergeCell ref="H26:J26"/>
    <mergeCell ref="K26:L26"/>
    <mergeCell ref="N26:O26"/>
    <mergeCell ref="P24:Q24"/>
    <mergeCell ref="A25:C25"/>
    <mergeCell ref="D25:E25"/>
    <mergeCell ref="F25:G25"/>
    <mergeCell ref="H25:J25"/>
    <mergeCell ref="K25:L25"/>
    <mergeCell ref="N25:O25"/>
    <mergeCell ref="P25:Q25"/>
    <mergeCell ref="A24:C24"/>
    <mergeCell ref="D24:E24"/>
    <mergeCell ref="F24:G24"/>
    <mergeCell ref="H24:J24"/>
    <mergeCell ref="K24:L24"/>
    <mergeCell ref="N24:O24"/>
    <mergeCell ref="D23:E23"/>
    <mergeCell ref="F23:G23"/>
    <mergeCell ref="H23:J23"/>
    <mergeCell ref="K23:L23"/>
    <mergeCell ref="N23:O23"/>
    <mergeCell ref="P23:Q23"/>
    <mergeCell ref="P15:Q15"/>
    <mergeCell ref="A16:R16"/>
    <mergeCell ref="A19:R19"/>
    <mergeCell ref="A20:R20"/>
    <mergeCell ref="A21:C23"/>
    <mergeCell ref="D21:E22"/>
    <mergeCell ref="F21:J22"/>
    <mergeCell ref="K21:M22"/>
    <mergeCell ref="N21:P22"/>
    <mergeCell ref="Q21:Q22"/>
    <mergeCell ref="A15:C15"/>
    <mergeCell ref="D15:E15"/>
    <mergeCell ref="F15:G15"/>
    <mergeCell ref="H15:J15"/>
    <mergeCell ref="K15:L15"/>
    <mergeCell ref="N15:O15"/>
    <mergeCell ref="P13:Q13"/>
    <mergeCell ref="A14:C14"/>
    <mergeCell ref="D14:E14"/>
    <mergeCell ref="F14:G14"/>
    <mergeCell ref="H14:J14"/>
    <mergeCell ref="K14:L14"/>
    <mergeCell ref="N14:O14"/>
    <mergeCell ref="P14:Q14"/>
    <mergeCell ref="A13:C13"/>
    <mergeCell ref="D13:E13"/>
    <mergeCell ref="F13:G13"/>
    <mergeCell ref="H13:J13"/>
    <mergeCell ref="K13:L13"/>
    <mergeCell ref="N13:O13"/>
    <mergeCell ref="P11:Q11"/>
    <mergeCell ref="A12:C12"/>
    <mergeCell ref="D12:E12"/>
    <mergeCell ref="F12:G12"/>
    <mergeCell ref="H12:J12"/>
    <mergeCell ref="K12:L12"/>
    <mergeCell ref="N12:O12"/>
    <mergeCell ref="P12:Q12"/>
    <mergeCell ref="A11:C11"/>
    <mergeCell ref="D11:E11"/>
    <mergeCell ref="F11:G11"/>
    <mergeCell ref="H11:J11"/>
    <mergeCell ref="K11:L11"/>
    <mergeCell ref="N11:O11"/>
    <mergeCell ref="P9:Q9"/>
    <mergeCell ref="A10:C10"/>
    <mergeCell ref="D10:E10"/>
    <mergeCell ref="F10:G10"/>
    <mergeCell ref="H10:J10"/>
    <mergeCell ref="K10:L10"/>
    <mergeCell ref="N10:O10"/>
    <mergeCell ref="P10:Q10"/>
    <mergeCell ref="A9:C9"/>
    <mergeCell ref="D9:E9"/>
    <mergeCell ref="F9:G9"/>
    <mergeCell ref="H9:J9"/>
    <mergeCell ref="K9:L9"/>
    <mergeCell ref="N9:O9"/>
    <mergeCell ref="A6:C6"/>
    <mergeCell ref="D6:E6"/>
    <mergeCell ref="F6:G6"/>
    <mergeCell ref="H6:J6"/>
    <mergeCell ref="K6:L6"/>
    <mergeCell ref="N6:O6"/>
    <mergeCell ref="P6:Q6"/>
    <mergeCell ref="P7:Q7"/>
    <mergeCell ref="A8:C8"/>
    <mergeCell ref="D8:E8"/>
    <mergeCell ref="F8:G8"/>
    <mergeCell ref="H8:J8"/>
    <mergeCell ref="K8:L8"/>
    <mergeCell ref="N8:O8"/>
    <mergeCell ref="P8:Q8"/>
    <mergeCell ref="A7:C7"/>
    <mergeCell ref="D7:E7"/>
    <mergeCell ref="F7:G7"/>
    <mergeCell ref="H7:J7"/>
    <mergeCell ref="K7:L7"/>
    <mergeCell ref="N7:O7"/>
    <mergeCell ref="A1:R1"/>
    <mergeCell ref="A2:R2"/>
    <mergeCell ref="A3:C5"/>
    <mergeCell ref="D3:E4"/>
    <mergeCell ref="F3:J4"/>
    <mergeCell ref="K3:M4"/>
    <mergeCell ref="N3:Q4"/>
    <mergeCell ref="D5:E5"/>
    <mergeCell ref="F5:G5"/>
    <mergeCell ref="H5:J5"/>
    <mergeCell ref="K5:L5"/>
    <mergeCell ref="N5:O5"/>
    <mergeCell ref="P5:Q5"/>
  </mergeCells>
  <hyperlinks>
    <hyperlink ref="N35" r:id="rId1" xr:uid="{0FE95CD0-EAFF-4532-8B8B-941923125F5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82499-5459-45B3-A57A-0B1843DC0CE8}">
  <dimension ref="A1:R33"/>
  <sheetViews>
    <sheetView workbookViewId="0">
      <selection sqref="A1:R5"/>
    </sheetView>
  </sheetViews>
  <sheetFormatPr defaultRowHeight="12.75"/>
  <cols>
    <col min="18" max="18" width="14" customWidth="1"/>
  </cols>
  <sheetData>
    <row r="1" spans="1:18" ht="18">
      <c r="A1" s="78" t="s">
        <v>30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80"/>
    </row>
    <row r="2" spans="1:18">
      <c r="A2" s="81" t="s">
        <v>31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3"/>
    </row>
    <row r="3" spans="1:18" ht="56.25" customHeight="1">
      <c r="A3" s="84" t="s">
        <v>2</v>
      </c>
      <c r="B3" s="85"/>
      <c r="C3" s="85"/>
      <c r="D3" s="86" t="s">
        <v>3</v>
      </c>
      <c r="E3" s="87"/>
      <c r="F3" s="88" t="s">
        <v>32</v>
      </c>
      <c r="G3" s="89"/>
      <c r="H3" s="89"/>
      <c r="I3" s="89"/>
      <c r="J3" s="90"/>
      <c r="K3" s="91" t="s">
        <v>5</v>
      </c>
      <c r="L3" s="89"/>
      <c r="M3" s="90"/>
      <c r="N3" s="88" t="s">
        <v>6</v>
      </c>
      <c r="O3" s="89"/>
      <c r="P3" s="89"/>
      <c r="Q3" s="90"/>
      <c r="R3" s="20" t="s">
        <v>33</v>
      </c>
    </row>
    <row r="4" spans="1:18" ht="14.25">
      <c r="A4" s="84" t="s">
        <v>18</v>
      </c>
      <c r="B4" s="85" t="s">
        <v>18</v>
      </c>
      <c r="C4" s="85" t="s">
        <v>18</v>
      </c>
      <c r="D4" s="92" t="s">
        <v>9</v>
      </c>
      <c r="E4" s="93" t="s">
        <v>18</v>
      </c>
      <c r="F4" s="94" t="s">
        <v>10</v>
      </c>
      <c r="G4" s="95" t="s">
        <v>18</v>
      </c>
      <c r="H4" s="95" t="s">
        <v>11</v>
      </c>
      <c r="I4" s="95" t="s">
        <v>18</v>
      </c>
      <c r="J4" s="96" t="s">
        <v>18</v>
      </c>
      <c r="K4" s="94" t="s">
        <v>10</v>
      </c>
      <c r="L4" s="95" t="s">
        <v>18</v>
      </c>
      <c r="M4" s="21" t="s">
        <v>11</v>
      </c>
      <c r="N4" s="94" t="s">
        <v>10</v>
      </c>
      <c r="O4" s="95" t="s">
        <v>18</v>
      </c>
      <c r="P4" s="95" t="s">
        <v>11</v>
      </c>
      <c r="Q4" s="96" t="s">
        <v>18</v>
      </c>
      <c r="R4" s="22" t="s">
        <v>12</v>
      </c>
    </row>
    <row r="5" spans="1:18" ht="15">
      <c r="A5" s="97">
        <v>1</v>
      </c>
      <c r="B5" s="98" t="s">
        <v>18</v>
      </c>
      <c r="C5" s="98" t="s">
        <v>18</v>
      </c>
      <c r="D5" s="99">
        <v>1215</v>
      </c>
      <c r="E5" s="100" t="s">
        <v>18</v>
      </c>
      <c r="F5" s="101">
        <v>1216</v>
      </c>
      <c r="G5" s="99" t="s">
        <v>18</v>
      </c>
      <c r="H5" s="99">
        <v>1616</v>
      </c>
      <c r="I5" s="99" t="s">
        <v>18</v>
      </c>
      <c r="J5" s="100" t="s">
        <v>18</v>
      </c>
      <c r="K5" s="101">
        <v>1617</v>
      </c>
      <c r="L5" s="99" t="s">
        <v>18</v>
      </c>
      <c r="M5" s="23">
        <v>1823</v>
      </c>
      <c r="N5" s="101">
        <v>1824</v>
      </c>
      <c r="O5" s="99" t="s">
        <v>18</v>
      </c>
      <c r="P5" s="99">
        <v>2429</v>
      </c>
      <c r="Q5" s="100" t="s">
        <v>18</v>
      </c>
      <c r="R5" s="24">
        <v>2430</v>
      </c>
    </row>
    <row r="6" spans="1:18" ht="15">
      <c r="A6" s="102">
        <v>2</v>
      </c>
      <c r="B6" s="103" t="s">
        <v>18</v>
      </c>
      <c r="C6" s="103" t="s">
        <v>18</v>
      </c>
      <c r="D6" s="99">
        <v>1643</v>
      </c>
      <c r="E6" s="100" t="s">
        <v>18</v>
      </c>
      <c r="F6" s="101">
        <v>1644</v>
      </c>
      <c r="G6" s="99" t="s">
        <v>18</v>
      </c>
      <c r="H6" s="99">
        <v>2186</v>
      </c>
      <c r="I6" s="99" t="s">
        <v>18</v>
      </c>
      <c r="J6" s="100" t="s">
        <v>18</v>
      </c>
      <c r="K6" s="101">
        <v>2187</v>
      </c>
      <c r="L6" s="99" t="s">
        <v>18</v>
      </c>
      <c r="M6" s="23">
        <v>2465</v>
      </c>
      <c r="N6" s="101">
        <v>2466</v>
      </c>
      <c r="O6" s="99" t="s">
        <v>18</v>
      </c>
      <c r="P6" s="99">
        <v>3286</v>
      </c>
      <c r="Q6" s="100" t="s">
        <v>18</v>
      </c>
      <c r="R6" s="24">
        <v>3287</v>
      </c>
    </row>
    <row r="7" spans="1:18" ht="15">
      <c r="A7" s="97">
        <v>3</v>
      </c>
      <c r="B7" s="98" t="s">
        <v>18</v>
      </c>
      <c r="C7" s="98" t="s">
        <v>18</v>
      </c>
      <c r="D7" s="99">
        <v>2072</v>
      </c>
      <c r="E7" s="100" t="s">
        <v>18</v>
      </c>
      <c r="F7" s="101">
        <v>2073</v>
      </c>
      <c r="G7" s="99" t="s">
        <v>18</v>
      </c>
      <c r="H7" s="99">
        <v>2755</v>
      </c>
      <c r="I7" s="99" t="s">
        <v>18</v>
      </c>
      <c r="J7" s="100" t="s">
        <v>18</v>
      </c>
      <c r="K7" s="101">
        <v>2756</v>
      </c>
      <c r="L7" s="99" t="s">
        <v>18</v>
      </c>
      <c r="M7" s="23">
        <v>3108</v>
      </c>
      <c r="N7" s="101">
        <v>3109</v>
      </c>
      <c r="O7" s="99" t="s">
        <v>18</v>
      </c>
      <c r="P7" s="99">
        <v>4142</v>
      </c>
      <c r="Q7" s="100" t="s">
        <v>18</v>
      </c>
      <c r="R7" s="24">
        <v>4143</v>
      </c>
    </row>
    <row r="8" spans="1:18" ht="15">
      <c r="A8" s="102">
        <v>4</v>
      </c>
      <c r="B8" s="103" t="s">
        <v>18</v>
      </c>
      <c r="C8" s="103" t="s">
        <v>18</v>
      </c>
      <c r="D8" s="99">
        <v>2500</v>
      </c>
      <c r="E8" s="100" t="s">
        <v>18</v>
      </c>
      <c r="F8" s="101">
        <v>2501</v>
      </c>
      <c r="G8" s="99" t="s">
        <v>18</v>
      </c>
      <c r="H8" s="99">
        <v>3325</v>
      </c>
      <c r="I8" s="99" t="s">
        <v>18</v>
      </c>
      <c r="J8" s="100" t="s">
        <v>18</v>
      </c>
      <c r="K8" s="101">
        <v>3326</v>
      </c>
      <c r="L8" s="99" t="s">
        <v>18</v>
      </c>
      <c r="M8" s="23">
        <v>3750</v>
      </c>
      <c r="N8" s="101">
        <v>3751</v>
      </c>
      <c r="O8" s="99" t="s">
        <v>18</v>
      </c>
      <c r="P8" s="99">
        <v>4999</v>
      </c>
      <c r="Q8" s="100" t="s">
        <v>18</v>
      </c>
      <c r="R8" s="24">
        <v>5000</v>
      </c>
    </row>
    <row r="9" spans="1:18" ht="15">
      <c r="A9" s="97">
        <v>5</v>
      </c>
      <c r="B9" s="98" t="s">
        <v>18</v>
      </c>
      <c r="C9" s="98" t="s">
        <v>18</v>
      </c>
      <c r="D9" s="99">
        <v>2928</v>
      </c>
      <c r="E9" s="100" t="s">
        <v>18</v>
      </c>
      <c r="F9" s="101">
        <v>2929</v>
      </c>
      <c r="G9" s="99" t="s">
        <v>18</v>
      </c>
      <c r="H9" s="99">
        <v>3895</v>
      </c>
      <c r="I9" s="99" t="s">
        <v>18</v>
      </c>
      <c r="J9" s="100" t="s">
        <v>18</v>
      </c>
      <c r="K9" s="101">
        <v>3896</v>
      </c>
      <c r="L9" s="99" t="s">
        <v>18</v>
      </c>
      <c r="M9" s="23">
        <v>4393</v>
      </c>
      <c r="N9" s="101">
        <v>4394</v>
      </c>
      <c r="O9" s="99" t="s">
        <v>18</v>
      </c>
      <c r="P9" s="99">
        <v>5856</v>
      </c>
      <c r="Q9" s="100" t="s">
        <v>18</v>
      </c>
      <c r="R9" s="24">
        <v>5857</v>
      </c>
    </row>
    <row r="10" spans="1:18" ht="15">
      <c r="A10" s="102">
        <v>6</v>
      </c>
      <c r="B10" s="103" t="s">
        <v>18</v>
      </c>
      <c r="C10" s="103" t="s">
        <v>18</v>
      </c>
      <c r="D10" s="99">
        <v>3357</v>
      </c>
      <c r="E10" s="100" t="s">
        <v>18</v>
      </c>
      <c r="F10" s="101">
        <v>3358</v>
      </c>
      <c r="G10" s="99" t="s">
        <v>18</v>
      </c>
      <c r="H10" s="99">
        <v>4464</v>
      </c>
      <c r="I10" s="99" t="s">
        <v>18</v>
      </c>
      <c r="J10" s="100" t="s">
        <v>18</v>
      </c>
      <c r="K10" s="101">
        <v>4465</v>
      </c>
      <c r="L10" s="99" t="s">
        <v>18</v>
      </c>
      <c r="M10" s="23">
        <v>5035</v>
      </c>
      <c r="N10" s="101">
        <v>5036</v>
      </c>
      <c r="O10" s="99" t="s">
        <v>18</v>
      </c>
      <c r="P10" s="99">
        <v>6712</v>
      </c>
      <c r="Q10" s="100" t="s">
        <v>18</v>
      </c>
      <c r="R10" s="24">
        <v>6713</v>
      </c>
    </row>
    <row r="11" spans="1:18" ht="15">
      <c r="A11" s="97">
        <v>7</v>
      </c>
      <c r="B11" s="98" t="s">
        <v>18</v>
      </c>
      <c r="C11" s="98" t="s">
        <v>18</v>
      </c>
      <c r="D11" s="99">
        <v>3785</v>
      </c>
      <c r="E11" s="100" t="s">
        <v>18</v>
      </c>
      <c r="F11" s="101">
        <v>3786</v>
      </c>
      <c r="G11" s="99" t="s">
        <v>18</v>
      </c>
      <c r="H11" s="99">
        <v>5034</v>
      </c>
      <c r="I11" s="99" t="s">
        <v>18</v>
      </c>
      <c r="J11" s="100" t="s">
        <v>18</v>
      </c>
      <c r="K11" s="101">
        <v>5035</v>
      </c>
      <c r="L11" s="99" t="s">
        <v>18</v>
      </c>
      <c r="M11" s="23">
        <v>5678</v>
      </c>
      <c r="N11" s="101">
        <v>5679</v>
      </c>
      <c r="O11" s="99" t="s">
        <v>18</v>
      </c>
      <c r="P11" s="99">
        <v>7569</v>
      </c>
      <c r="Q11" s="100" t="s">
        <v>18</v>
      </c>
      <c r="R11" s="24">
        <v>7570</v>
      </c>
    </row>
    <row r="12" spans="1:18" ht="15">
      <c r="A12" s="102">
        <v>8</v>
      </c>
      <c r="B12" s="103" t="s">
        <v>18</v>
      </c>
      <c r="C12" s="103" t="s">
        <v>18</v>
      </c>
      <c r="D12" s="99">
        <v>4213</v>
      </c>
      <c r="E12" s="100" t="s">
        <v>18</v>
      </c>
      <c r="F12" s="101">
        <v>4214</v>
      </c>
      <c r="G12" s="99" t="s">
        <v>18</v>
      </c>
      <c r="H12" s="99">
        <v>5604</v>
      </c>
      <c r="I12" s="99" t="s">
        <v>18</v>
      </c>
      <c r="J12" s="100" t="s">
        <v>18</v>
      </c>
      <c r="K12" s="101">
        <v>5605</v>
      </c>
      <c r="L12" s="99" t="s">
        <v>18</v>
      </c>
      <c r="M12" s="23">
        <v>6320</v>
      </c>
      <c r="N12" s="101">
        <v>6321</v>
      </c>
      <c r="O12" s="99" t="s">
        <v>18</v>
      </c>
      <c r="P12" s="99">
        <v>8426</v>
      </c>
      <c r="Q12" s="100" t="s">
        <v>18</v>
      </c>
      <c r="R12" s="24">
        <v>8427</v>
      </c>
    </row>
    <row r="13" spans="1:18" ht="15">
      <c r="A13" s="97">
        <v>9</v>
      </c>
      <c r="B13" s="98" t="s">
        <v>18</v>
      </c>
      <c r="C13" s="98" t="s">
        <v>18</v>
      </c>
      <c r="D13" s="99">
        <v>4642</v>
      </c>
      <c r="E13" s="100" t="s">
        <v>18</v>
      </c>
      <c r="F13" s="101">
        <v>4643</v>
      </c>
      <c r="G13" s="99" t="s">
        <v>18</v>
      </c>
      <c r="H13" s="99">
        <v>6173</v>
      </c>
      <c r="I13" s="99" t="s">
        <v>18</v>
      </c>
      <c r="J13" s="100" t="s">
        <v>18</v>
      </c>
      <c r="K13" s="101">
        <v>6174</v>
      </c>
      <c r="L13" s="99" t="s">
        <v>18</v>
      </c>
      <c r="M13" s="23">
        <v>6963</v>
      </c>
      <c r="N13" s="101">
        <v>6964</v>
      </c>
      <c r="O13" s="99" t="s">
        <v>18</v>
      </c>
      <c r="P13" s="99">
        <v>9282</v>
      </c>
      <c r="Q13" s="100" t="s">
        <v>18</v>
      </c>
      <c r="R13" s="24">
        <v>9283</v>
      </c>
    </row>
    <row r="14" spans="1:18" ht="14.25">
      <c r="A14" s="115" t="s">
        <v>13</v>
      </c>
      <c r="B14" s="92" t="s">
        <v>18</v>
      </c>
      <c r="C14" s="92" t="s">
        <v>18</v>
      </c>
      <c r="D14" s="99">
        <v>5070</v>
      </c>
      <c r="E14" s="100" t="s">
        <v>18</v>
      </c>
      <c r="F14" s="116">
        <v>5071</v>
      </c>
      <c r="G14" s="104" t="s">
        <v>18</v>
      </c>
      <c r="H14" s="104">
        <v>6743</v>
      </c>
      <c r="I14" s="104" t="s">
        <v>18</v>
      </c>
      <c r="J14" s="105" t="s">
        <v>18</v>
      </c>
      <c r="K14" s="116">
        <v>6744</v>
      </c>
      <c r="L14" s="104" t="s">
        <v>18</v>
      </c>
      <c r="M14" s="25">
        <v>7605</v>
      </c>
      <c r="N14" s="116">
        <v>7606</v>
      </c>
      <c r="O14" s="104" t="s">
        <v>18</v>
      </c>
      <c r="P14" s="104">
        <v>10139</v>
      </c>
      <c r="Q14" s="105" t="s">
        <v>18</v>
      </c>
      <c r="R14" s="24">
        <v>10140</v>
      </c>
    </row>
    <row r="15" spans="1:18">
      <c r="A15" s="106" t="s">
        <v>34</v>
      </c>
      <c r="B15" s="107"/>
      <c r="C15" s="107"/>
      <c r="D15" s="107"/>
      <c r="E15" s="107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8"/>
    </row>
    <row r="18" spans="1:18" ht="18">
      <c r="A18" s="78" t="s">
        <v>35</v>
      </c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80"/>
    </row>
    <row r="19" spans="1:18">
      <c r="A19" s="109" t="s">
        <v>36</v>
      </c>
      <c r="B19" s="110"/>
      <c r="C19" s="110"/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1"/>
    </row>
    <row r="20" spans="1:18" ht="51.75" customHeight="1">
      <c r="A20" s="84" t="s">
        <v>2</v>
      </c>
      <c r="B20" s="85"/>
      <c r="C20" s="85"/>
      <c r="D20" s="86" t="s">
        <v>3</v>
      </c>
      <c r="E20" s="112"/>
      <c r="F20" s="91" t="s">
        <v>37</v>
      </c>
      <c r="G20" s="113"/>
      <c r="H20" s="113"/>
      <c r="I20" s="113"/>
      <c r="J20" s="114"/>
      <c r="K20" s="91" t="s">
        <v>5</v>
      </c>
      <c r="L20" s="113"/>
      <c r="M20" s="113"/>
      <c r="N20" s="91" t="s">
        <v>6</v>
      </c>
      <c r="O20" s="113"/>
      <c r="P20" s="113"/>
      <c r="Q20" s="27"/>
      <c r="R20" s="20" t="s">
        <v>33</v>
      </c>
    </row>
    <row r="21" spans="1:18" ht="15">
      <c r="A21" s="84"/>
      <c r="B21" s="85"/>
      <c r="C21" s="85"/>
      <c r="D21" s="92" t="s">
        <v>19</v>
      </c>
      <c r="E21" s="93"/>
      <c r="F21" s="94" t="s">
        <v>10</v>
      </c>
      <c r="G21" s="95"/>
      <c r="H21" s="95" t="s">
        <v>11</v>
      </c>
      <c r="I21" s="95"/>
      <c r="J21" s="96"/>
      <c r="K21" s="94" t="s">
        <v>10</v>
      </c>
      <c r="L21" s="95"/>
      <c r="M21" s="21" t="s">
        <v>11</v>
      </c>
      <c r="N21" s="94" t="s">
        <v>10</v>
      </c>
      <c r="O21" s="95"/>
      <c r="P21" s="95" t="s">
        <v>11</v>
      </c>
      <c r="Q21" s="96"/>
      <c r="R21" s="22" t="s">
        <v>20</v>
      </c>
    </row>
    <row r="22" spans="1:18" ht="15">
      <c r="A22" s="97">
        <v>1</v>
      </c>
      <c r="B22" s="98"/>
      <c r="C22" s="98"/>
      <c r="D22" s="99">
        <v>14580</v>
      </c>
      <c r="E22" s="100"/>
      <c r="F22" s="117">
        <v>14581</v>
      </c>
      <c r="G22" s="118"/>
      <c r="H22" s="118">
        <v>19391</v>
      </c>
      <c r="I22" s="118"/>
      <c r="J22" s="119"/>
      <c r="K22" s="117">
        <v>19392</v>
      </c>
      <c r="L22" s="118"/>
      <c r="M22" s="28">
        <v>21870</v>
      </c>
      <c r="N22" s="117">
        <v>21871</v>
      </c>
      <c r="O22" s="118"/>
      <c r="P22" s="118">
        <v>29159</v>
      </c>
      <c r="Q22" s="119"/>
      <c r="R22" s="31">
        <v>29160</v>
      </c>
    </row>
    <row r="23" spans="1:18" ht="15">
      <c r="A23" s="102">
        <v>2</v>
      </c>
      <c r="B23" s="103"/>
      <c r="C23" s="103"/>
      <c r="D23" s="99">
        <v>19720</v>
      </c>
      <c r="E23" s="100"/>
      <c r="F23" s="117">
        <v>19721</v>
      </c>
      <c r="G23" s="118"/>
      <c r="H23" s="118">
        <v>26228</v>
      </c>
      <c r="I23" s="118"/>
      <c r="J23" s="119"/>
      <c r="K23" s="117">
        <v>26229</v>
      </c>
      <c r="L23" s="118"/>
      <c r="M23" s="28">
        <v>29580</v>
      </c>
      <c r="N23" s="117">
        <v>29581</v>
      </c>
      <c r="O23" s="118"/>
      <c r="P23" s="118">
        <v>39439</v>
      </c>
      <c r="Q23" s="119"/>
      <c r="R23" s="31">
        <v>39440</v>
      </c>
    </row>
    <row r="24" spans="1:18" ht="15">
      <c r="A24" s="97">
        <v>3</v>
      </c>
      <c r="B24" s="98"/>
      <c r="C24" s="98"/>
      <c r="D24" s="99">
        <v>24860</v>
      </c>
      <c r="E24" s="100"/>
      <c r="F24" s="117">
        <v>24861</v>
      </c>
      <c r="G24" s="118"/>
      <c r="H24" s="118">
        <v>33064</v>
      </c>
      <c r="I24" s="118"/>
      <c r="J24" s="119"/>
      <c r="K24" s="117">
        <v>33065</v>
      </c>
      <c r="L24" s="118"/>
      <c r="M24" s="28">
        <v>37290</v>
      </c>
      <c r="N24" s="117">
        <v>37291</v>
      </c>
      <c r="O24" s="118"/>
      <c r="P24" s="118">
        <v>49719</v>
      </c>
      <c r="Q24" s="119"/>
      <c r="R24" s="31">
        <v>49720</v>
      </c>
    </row>
    <row r="25" spans="1:18" ht="15">
      <c r="A25" s="102">
        <v>4</v>
      </c>
      <c r="B25" s="103"/>
      <c r="C25" s="103"/>
      <c r="D25" s="99">
        <v>30000</v>
      </c>
      <c r="E25" s="100"/>
      <c r="F25" s="117">
        <v>30001</v>
      </c>
      <c r="G25" s="118"/>
      <c r="H25" s="118">
        <v>39900</v>
      </c>
      <c r="I25" s="118"/>
      <c r="J25" s="119"/>
      <c r="K25" s="117">
        <v>39901</v>
      </c>
      <c r="L25" s="118"/>
      <c r="M25" s="28">
        <v>45000</v>
      </c>
      <c r="N25" s="117">
        <v>45001</v>
      </c>
      <c r="O25" s="118"/>
      <c r="P25" s="118">
        <v>59999</v>
      </c>
      <c r="Q25" s="119"/>
      <c r="R25" s="31">
        <v>60000</v>
      </c>
    </row>
    <row r="26" spans="1:18" ht="15">
      <c r="A26" s="97">
        <v>5</v>
      </c>
      <c r="B26" s="98"/>
      <c r="C26" s="98"/>
      <c r="D26" s="99">
        <v>35140</v>
      </c>
      <c r="E26" s="100"/>
      <c r="F26" s="117">
        <v>35141</v>
      </c>
      <c r="G26" s="118"/>
      <c r="H26" s="118">
        <v>46736</v>
      </c>
      <c r="I26" s="118"/>
      <c r="J26" s="119"/>
      <c r="K26" s="117">
        <v>46737</v>
      </c>
      <c r="L26" s="118"/>
      <c r="M26" s="28">
        <v>52710</v>
      </c>
      <c r="N26" s="117">
        <v>52711</v>
      </c>
      <c r="O26" s="118"/>
      <c r="P26" s="118">
        <v>70279</v>
      </c>
      <c r="Q26" s="119"/>
      <c r="R26" s="31">
        <v>70280</v>
      </c>
    </row>
    <row r="27" spans="1:18" ht="15">
      <c r="A27" s="102">
        <v>6</v>
      </c>
      <c r="B27" s="103"/>
      <c r="C27" s="103"/>
      <c r="D27" s="99">
        <v>40280</v>
      </c>
      <c r="E27" s="100"/>
      <c r="F27" s="117">
        <v>40281</v>
      </c>
      <c r="G27" s="118"/>
      <c r="H27" s="118">
        <v>53572</v>
      </c>
      <c r="I27" s="118"/>
      <c r="J27" s="119"/>
      <c r="K27" s="117">
        <v>53573</v>
      </c>
      <c r="L27" s="118"/>
      <c r="M27" s="28">
        <v>60420</v>
      </c>
      <c r="N27" s="117">
        <v>60421</v>
      </c>
      <c r="O27" s="118"/>
      <c r="P27" s="118">
        <v>80559</v>
      </c>
      <c r="Q27" s="119"/>
      <c r="R27" s="31">
        <v>80560</v>
      </c>
    </row>
    <row r="28" spans="1:18" ht="15">
      <c r="A28" s="97">
        <v>7</v>
      </c>
      <c r="B28" s="98"/>
      <c r="C28" s="98"/>
      <c r="D28" s="99">
        <v>45420</v>
      </c>
      <c r="E28" s="100"/>
      <c r="F28" s="118">
        <v>45421</v>
      </c>
      <c r="G28" s="121"/>
      <c r="H28" s="118">
        <v>60409</v>
      </c>
      <c r="I28" s="121"/>
      <c r="J28" s="120"/>
      <c r="K28" s="118">
        <v>60410</v>
      </c>
      <c r="L28" s="121"/>
      <c r="M28" s="28">
        <v>68130</v>
      </c>
      <c r="N28" s="118">
        <v>68131</v>
      </c>
      <c r="O28" s="121"/>
      <c r="P28" s="118">
        <v>90839</v>
      </c>
      <c r="Q28" s="120"/>
      <c r="R28" s="31">
        <v>90840</v>
      </c>
    </row>
    <row r="29" spans="1:18" ht="15">
      <c r="A29" s="102">
        <v>8</v>
      </c>
      <c r="B29" s="103"/>
      <c r="C29" s="103"/>
      <c r="D29" s="99">
        <v>50560</v>
      </c>
      <c r="E29" s="100"/>
      <c r="F29" s="118">
        <v>50561</v>
      </c>
      <c r="G29" s="121"/>
      <c r="H29" s="118">
        <v>67245</v>
      </c>
      <c r="I29" s="121"/>
      <c r="J29" s="120"/>
      <c r="K29" s="118">
        <v>67246</v>
      </c>
      <c r="L29" s="121"/>
      <c r="M29" s="28">
        <v>75840</v>
      </c>
      <c r="N29" s="118">
        <v>75841</v>
      </c>
      <c r="O29" s="121"/>
      <c r="P29" s="118">
        <v>101119</v>
      </c>
      <c r="Q29" s="120"/>
      <c r="R29" s="31">
        <v>101120</v>
      </c>
    </row>
    <row r="30" spans="1:18" ht="15">
      <c r="A30" s="97">
        <v>9</v>
      </c>
      <c r="B30" s="98"/>
      <c r="C30" s="98"/>
      <c r="D30" s="99">
        <v>55700</v>
      </c>
      <c r="E30" s="100"/>
      <c r="F30" s="118">
        <v>55701</v>
      </c>
      <c r="G30" s="121"/>
      <c r="H30" s="118">
        <v>74081</v>
      </c>
      <c r="I30" s="121"/>
      <c r="J30" s="120"/>
      <c r="K30" s="118">
        <v>74082</v>
      </c>
      <c r="L30" s="121"/>
      <c r="M30" s="28">
        <v>83550</v>
      </c>
      <c r="N30" s="118">
        <v>83551</v>
      </c>
      <c r="O30" s="121"/>
      <c r="P30" s="118">
        <v>111399</v>
      </c>
      <c r="Q30" s="120"/>
      <c r="R30" s="31">
        <v>111400</v>
      </c>
    </row>
    <row r="31" spans="1:18" ht="15">
      <c r="A31" s="115" t="s">
        <v>13</v>
      </c>
      <c r="B31" s="92"/>
      <c r="C31" s="92"/>
      <c r="D31" s="99">
        <v>60840</v>
      </c>
      <c r="E31" s="100"/>
      <c r="F31" s="123">
        <v>60841</v>
      </c>
      <c r="G31" s="124"/>
      <c r="H31" s="123">
        <v>80917</v>
      </c>
      <c r="I31" s="124"/>
      <c r="J31" s="125"/>
      <c r="K31" s="123">
        <v>80918</v>
      </c>
      <c r="L31" s="124"/>
      <c r="M31" s="29">
        <v>91260</v>
      </c>
      <c r="N31" s="123">
        <v>91261</v>
      </c>
      <c r="O31" s="124"/>
      <c r="P31" s="126">
        <v>121679</v>
      </c>
      <c r="Q31" s="127"/>
      <c r="R31" s="31">
        <v>121680</v>
      </c>
    </row>
    <row r="32" spans="1:18">
      <c r="A32" s="38" t="s">
        <v>38</v>
      </c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40"/>
    </row>
    <row r="33" spans="1:18">
      <c r="A33" s="41" t="s">
        <v>39</v>
      </c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30" t="s">
        <v>18</v>
      </c>
      <c r="N33" s="42" t="s">
        <v>23</v>
      </c>
      <c r="O33" s="122"/>
      <c r="P33" s="122"/>
      <c r="Q33" s="122"/>
      <c r="R33" s="122"/>
    </row>
  </sheetData>
  <mergeCells count="170">
    <mergeCell ref="A32:R32"/>
    <mergeCell ref="A33:L33"/>
    <mergeCell ref="N33:R33"/>
    <mergeCell ref="P30:Q30"/>
    <mergeCell ref="A31:C31"/>
    <mergeCell ref="D31:E31"/>
    <mergeCell ref="F31:G31"/>
    <mergeCell ref="H31:J31"/>
    <mergeCell ref="K31:L31"/>
    <mergeCell ref="N31:O31"/>
    <mergeCell ref="P31:Q31"/>
    <mergeCell ref="A30:C30"/>
    <mergeCell ref="D30:E30"/>
    <mergeCell ref="F30:G30"/>
    <mergeCell ref="H30:J30"/>
    <mergeCell ref="K30:L30"/>
    <mergeCell ref="N30:O30"/>
    <mergeCell ref="P28:Q28"/>
    <mergeCell ref="A29:C29"/>
    <mergeCell ref="D29:E29"/>
    <mergeCell ref="F29:G29"/>
    <mergeCell ref="H29:J29"/>
    <mergeCell ref="K29:L29"/>
    <mergeCell ref="N29:O29"/>
    <mergeCell ref="P29:Q29"/>
    <mergeCell ref="A28:C28"/>
    <mergeCell ref="D28:E28"/>
    <mergeCell ref="F28:G28"/>
    <mergeCell ref="H28:J28"/>
    <mergeCell ref="K28:L28"/>
    <mergeCell ref="N28:O28"/>
    <mergeCell ref="P26:Q26"/>
    <mergeCell ref="A27:C27"/>
    <mergeCell ref="D27:E27"/>
    <mergeCell ref="F27:G27"/>
    <mergeCell ref="H27:J27"/>
    <mergeCell ref="K27:L27"/>
    <mergeCell ref="N27:O27"/>
    <mergeCell ref="P27:Q27"/>
    <mergeCell ref="A26:C26"/>
    <mergeCell ref="D26:E26"/>
    <mergeCell ref="F26:G26"/>
    <mergeCell ref="H26:J26"/>
    <mergeCell ref="K26:L26"/>
    <mergeCell ref="N26:O26"/>
    <mergeCell ref="P24:Q24"/>
    <mergeCell ref="A25:C25"/>
    <mergeCell ref="D25:E25"/>
    <mergeCell ref="F25:G25"/>
    <mergeCell ref="H25:J25"/>
    <mergeCell ref="K25:L25"/>
    <mergeCell ref="N25:O25"/>
    <mergeCell ref="P25:Q25"/>
    <mergeCell ref="A24:C24"/>
    <mergeCell ref="D24:E24"/>
    <mergeCell ref="F24:G24"/>
    <mergeCell ref="H24:J24"/>
    <mergeCell ref="K24:L24"/>
    <mergeCell ref="N24:O24"/>
    <mergeCell ref="A22:C22"/>
    <mergeCell ref="D22:E22"/>
    <mergeCell ref="F22:G22"/>
    <mergeCell ref="H22:J22"/>
    <mergeCell ref="K22:L22"/>
    <mergeCell ref="N22:O22"/>
    <mergeCell ref="P22:Q22"/>
    <mergeCell ref="A23:C23"/>
    <mergeCell ref="D23:E23"/>
    <mergeCell ref="F23:G23"/>
    <mergeCell ref="H23:J23"/>
    <mergeCell ref="K23:L23"/>
    <mergeCell ref="N23:O23"/>
    <mergeCell ref="P23:Q23"/>
    <mergeCell ref="P14:Q14"/>
    <mergeCell ref="A15:R15"/>
    <mergeCell ref="A18:R18"/>
    <mergeCell ref="A19:R19"/>
    <mergeCell ref="A20:C21"/>
    <mergeCell ref="D20:E20"/>
    <mergeCell ref="F20:J20"/>
    <mergeCell ref="K20:M20"/>
    <mergeCell ref="N20:P20"/>
    <mergeCell ref="D21:E21"/>
    <mergeCell ref="A14:C14"/>
    <mergeCell ref="D14:E14"/>
    <mergeCell ref="F14:G14"/>
    <mergeCell ref="H14:J14"/>
    <mergeCell ref="K14:L14"/>
    <mergeCell ref="N14:O14"/>
    <mergeCell ref="F21:G21"/>
    <mergeCell ref="H21:J21"/>
    <mergeCell ref="K21:L21"/>
    <mergeCell ref="N21:O21"/>
    <mergeCell ref="P21:Q21"/>
    <mergeCell ref="P12:Q12"/>
    <mergeCell ref="A13:C13"/>
    <mergeCell ref="D13:E13"/>
    <mergeCell ref="F13:G13"/>
    <mergeCell ref="H13:J13"/>
    <mergeCell ref="K13:L13"/>
    <mergeCell ref="N13:O13"/>
    <mergeCell ref="P13:Q13"/>
    <mergeCell ref="A12:C12"/>
    <mergeCell ref="D12:E12"/>
    <mergeCell ref="F12:G12"/>
    <mergeCell ref="H12:J12"/>
    <mergeCell ref="K12:L12"/>
    <mergeCell ref="N12:O12"/>
    <mergeCell ref="P10:Q10"/>
    <mergeCell ref="A11:C11"/>
    <mergeCell ref="D11:E11"/>
    <mergeCell ref="F11:G11"/>
    <mergeCell ref="H11:J11"/>
    <mergeCell ref="K11:L11"/>
    <mergeCell ref="N11:O11"/>
    <mergeCell ref="P11:Q11"/>
    <mergeCell ref="A10:C10"/>
    <mergeCell ref="D10:E10"/>
    <mergeCell ref="F10:G10"/>
    <mergeCell ref="H10:J10"/>
    <mergeCell ref="K10:L10"/>
    <mergeCell ref="N10:O10"/>
    <mergeCell ref="P8:Q8"/>
    <mergeCell ref="A9:C9"/>
    <mergeCell ref="D9:E9"/>
    <mergeCell ref="F9:G9"/>
    <mergeCell ref="H9:J9"/>
    <mergeCell ref="K9:L9"/>
    <mergeCell ref="N9:O9"/>
    <mergeCell ref="P9:Q9"/>
    <mergeCell ref="A8:C8"/>
    <mergeCell ref="D8:E8"/>
    <mergeCell ref="F8:G8"/>
    <mergeCell ref="H8:J8"/>
    <mergeCell ref="K8:L8"/>
    <mergeCell ref="N8:O8"/>
    <mergeCell ref="A5:C5"/>
    <mergeCell ref="D5:E5"/>
    <mergeCell ref="F5:G5"/>
    <mergeCell ref="H5:J5"/>
    <mergeCell ref="K5:L5"/>
    <mergeCell ref="N5:O5"/>
    <mergeCell ref="P5:Q5"/>
    <mergeCell ref="P6:Q6"/>
    <mergeCell ref="A7:C7"/>
    <mergeCell ref="D7:E7"/>
    <mergeCell ref="F7:G7"/>
    <mergeCell ref="H7:J7"/>
    <mergeCell ref="K7:L7"/>
    <mergeCell ref="N7:O7"/>
    <mergeCell ref="P7:Q7"/>
    <mergeCell ref="A6:C6"/>
    <mergeCell ref="D6:E6"/>
    <mergeCell ref="F6:G6"/>
    <mergeCell ref="H6:J6"/>
    <mergeCell ref="K6:L6"/>
    <mergeCell ref="N6:O6"/>
    <mergeCell ref="A1:R1"/>
    <mergeCell ref="A2:R2"/>
    <mergeCell ref="A3:C4"/>
    <mergeCell ref="D3:E3"/>
    <mergeCell ref="F3:J3"/>
    <mergeCell ref="K3:M3"/>
    <mergeCell ref="N3:Q3"/>
    <mergeCell ref="D4:E4"/>
    <mergeCell ref="F4:G4"/>
    <mergeCell ref="H4:J4"/>
    <mergeCell ref="K4:L4"/>
    <mergeCell ref="N4:O4"/>
    <mergeCell ref="P4:Q4"/>
  </mergeCells>
  <hyperlinks>
    <hyperlink ref="N33" r:id="rId1" xr:uid="{56C4CB43-E89A-485A-B543-3C0725BBA28E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C3D60-AE2D-4BD1-8244-6CB3A85D0682}">
  <dimension ref="A1:R33"/>
  <sheetViews>
    <sheetView topLeftCell="A14" workbookViewId="0">
      <selection sqref="A1:R33"/>
    </sheetView>
  </sheetViews>
  <sheetFormatPr defaultRowHeight="12.75"/>
  <cols>
    <col min="1" max="1" width="17.28515625" bestFit="1" customWidth="1"/>
    <col min="2" max="2" width="1.7109375" bestFit="1" customWidth="1"/>
    <col min="3" max="3" width="3.28515625" customWidth="1"/>
    <col min="4" max="4" width="21.85546875" customWidth="1"/>
    <col min="5" max="5" width="4.140625" customWidth="1"/>
    <col min="7" max="7" width="1.7109375" bestFit="1" customWidth="1"/>
    <col min="8" max="8" width="8.28515625" bestFit="1" customWidth="1"/>
    <col min="9" max="10" width="1.7109375" bestFit="1" customWidth="1"/>
    <col min="11" max="11" width="8.28515625" bestFit="1" customWidth="1"/>
    <col min="12" max="12" width="1.7109375" bestFit="1" customWidth="1"/>
    <col min="13" max="13" width="9.28515625" customWidth="1"/>
    <col min="15" max="15" width="1.7109375" bestFit="1" customWidth="1"/>
    <col min="16" max="16" width="9.42578125" bestFit="1" customWidth="1"/>
    <col min="17" max="17" width="1.7109375" bestFit="1" customWidth="1"/>
    <col min="18" max="18" width="14.85546875" customWidth="1"/>
  </cols>
  <sheetData>
    <row r="1" spans="1:18" ht="18" customHeight="1">
      <c r="A1" s="78" t="s">
        <v>40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80"/>
    </row>
    <row r="2" spans="1:18" ht="12.75" customHeight="1">
      <c r="A2" s="81" t="s">
        <v>41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3"/>
    </row>
    <row r="3" spans="1:18" ht="45.75" customHeight="1">
      <c r="A3" s="84" t="s">
        <v>2</v>
      </c>
      <c r="B3" s="85"/>
      <c r="C3" s="85"/>
      <c r="D3" s="86" t="s">
        <v>3</v>
      </c>
      <c r="E3" s="87"/>
      <c r="F3" s="88" t="s">
        <v>42</v>
      </c>
      <c r="G3" s="89"/>
      <c r="H3" s="89"/>
      <c r="I3" s="89"/>
      <c r="J3" s="90"/>
      <c r="K3" s="91" t="s">
        <v>5</v>
      </c>
      <c r="L3" s="89"/>
      <c r="M3" s="90"/>
      <c r="N3" s="88" t="s">
        <v>6</v>
      </c>
      <c r="O3" s="89"/>
      <c r="P3" s="89"/>
      <c r="Q3" s="90"/>
      <c r="R3" s="20" t="s">
        <v>33</v>
      </c>
    </row>
    <row r="4" spans="1:18" ht="14.25">
      <c r="A4" s="84" t="s">
        <v>18</v>
      </c>
      <c r="B4" s="85" t="s">
        <v>18</v>
      </c>
      <c r="C4" s="85" t="s">
        <v>18</v>
      </c>
      <c r="D4" s="92" t="s">
        <v>9</v>
      </c>
      <c r="E4" s="93" t="s">
        <v>18</v>
      </c>
      <c r="F4" s="94" t="s">
        <v>10</v>
      </c>
      <c r="G4" s="95" t="s">
        <v>18</v>
      </c>
      <c r="H4" s="95" t="s">
        <v>11</v>
      </c>
      <c r="I4" s="95" t="s">
        <v>18</v>
      </c>
      <c r="J4" s="96" t="s">
        <v>18</v>
      </c>
      <c r="K4" s="94" t="s">
        <v>10</v>
      </c>
      <c r="L4" s="95" t="s">
        <v>18</v>
      </c>
      <c r="M4" s="21" t="s">
        <v>11</v>
      </c>
      <c r="N4" s="94" t="s">
        <v>10</v>
      </c>
      <c r="O4" s="95" t="s">
        <v>18</v>
      </c>
      <c r="P4" s="95" t="s">
        <v>11</v>
      </c>
      <c r="Q4" s="96" t="s">
        <v>18</v>
      </c>
      <c r="R4" s="22" t="s">
        <v>12</v>
      </c>
    </row>
    <row r="5" spans="1:18" ht="15">
      <c r="A5" s="97">
        <v>1</v>
      </c>
      <c r="B5" s="98" t="s">
        <v>18</v>
      </c>
      <c r="C5" s="98" t="s">
        <v>18</v>
      </c>
      <c r="D5" s="99">
        <v>1215</v>
      </c>
      <c r="E5" s="100" t="s">
        <v>18</v>
      </c>
      <c r="F5" s="101">
        <v>1216</v>
      </c>
      <c r="G5" s="99" t="s">
        <v>18</v>
      </c>
      <c r="H5" s="99">
        <v>1616</v>
      </c>
      <c r="I5" s="99" t="s">
        <v>18</v>
      </c>
      <c r="J5" s="100" t="s">
        <v>18</v>
      </c>
      <c r="K5" s="101">
        <v>1617</v>
      </c>
      <c r="L5" s="99" t="s">
        <v>18</v>
      </c>
      <c r="M5" s="23">
        <v>1823</v>
      </c>
      <c r="N5" s="101">
        <v>1824</v>
      </c>
      <c r="O5" s="99" t="s">
        <v>18</v>
      </c>
      <c r="P5" s="99">
        <v>2429</v>
      </c>
      <c r="Q5" s="100" t="s">
        <v>18</v>
      </c>
      <c r="R5" s="24">
        <v>2430</v>
      </c>
    </row>
    <row r="6" spans="1:18" ht="15">
      <c r="A6" s="102">
        <v>2</v>
      </c>
      <c r="B6" s="103" t="s">
        <v>18</v>
      </c>
      <c r="C6" s="103" t="s">
        <v>18</v>
      </c>
      <c r="D6" s="99">
        <v>1643</v>
      </c>
      <c r="E6" s="100" t="s">
        <v>18</v>
      </c>
      <c r="F6" s="101">
        <v>1644</v>
      </c>
      <c r="G6" s="99" t="s">
        <v>18</v>
      </c>
      <c r="H6" s="99">
        <v>2186</v>
      </c>
      <c r="I6" s="99" t="s">
        <v>18</v>
      </c>
      <c r="J6" s="100" t="s">
        <v>18</v>
      </c>
      <c r="K6" s="101">
        <v>2187</v>
      </c>
      <c r="L6" s="99" t="s">
        <v>18</v>
      </c>
      <c r="M6" s="23">
        <v>2465</v>
      </c>
      <c r="N6" s="101">
        <v>2466</v>
      </c>
      <c r="O6" s="99" t="s">
        <v>18</v>
      </c>
      <c r="P6" s="99">
        <v>3286</v>
      </c>
      <c r="Q6" s="100" t="s">
        <v>18</v>
      </c>
      <c r="R6" s="24">
        <v>3287</v>
      </c>
    </row>
    <row r="7" spans="1:18" ht="15">
      <c r="A7" s="97">
        <v>3</v>
      </c>
      <c r="B7" s="98" t="s">
        <v>18</v>
      </c>
      <c r="C7" s="98" t="s">
        <v>18</v>
      </c>
      <c r="D7" s="99">
        <v>2072</v>
      </c>
      <c r="E7" s="100" t="s">
        <v>18</v>
      </c>
      <c r="F7" s="101">
        <v>2073</v>
      </c>
      <c r="G7" s="99" t="s">
        <v>18</v>
      </c>
      <c r="H7" s="99">
        <v>2755</v>
      </c>
      <c r="I7" s="99" t="s">
        <v>18</v>
      </c>
      <c r="J7" s="100" t="s">
        <v>18</v>
      </c>
      <c r="K7" s="101">
        <v>2756</v>
      </c>
      <c r="L7" s="99" t="s">
        <v>18</v>
      </c>
      <c r="M7" s="23">
        <v>3108</v>
      </c>
      <c r="N7" s="101">
        <v>3109</v>
      </c>
      <c r="O7" s="99" t="s">
        <v>18</v>
      </c>
      <c r="P7" s="99">
        <v>4142</v>
      </c>
      <c r="Q7" s="100" t="s">
        <v>18</v>
      </c>
      <c r="R7" s="24">
        <v>4143</v>
      </c>
    </row>
    <row r="8" spans="1:18" ht="15">
      <c r="A8" s="102">
        <v>4</v>
      </c>
      <c r="B8" s="103" t="s">
        <v>18</v>
      </c>
      <c r="C8" s="103" t="s">
        <v>18</v>
      </c>
      <c r="D8" s="99">
        <v>2500</v>
      </c>
      <c r="E8" s="100" t="s">
        <v>18</v>
      </c>
      <c r="F8" s="101">
        <v>2501</v>
      </c>
      <c r="G8" s="99" t="s">
        <v>18</v>
      </c>
      <c r="H8" s="99">
        <v>3325</v>
      </c>
      <c r="I8" s="99" t="s">
        <v>18</v>
      </c>
      <c r="J8" s="100" t="s">
        <v>18</v>
      </c>
      <c r="K8" s="101">
        <v>3326</v>
      </c>
      <c r="L8" s="99" t="s">
        <v>18</v>
      </c>
      <c r="M8" s="23">
        <v>3750</v>
      </c>
      <c r="N8" s="101">
        <v>3751</v>
      </c>
      <c r="O8" s="99" t="s">
        <v>18</v>
      </c>
      <c r="P8" s="99">
        <v>4999</v>
      </c>
      <c r="Q8" s="100" t="s">
        <v>18</v>
      </c>
      <c r="R8" s="24">
        <v>5000</v>
      </c>
    </row>
    <row r="9" spans="1:18" ht="15">
      <c r="A9" s="97">
        <v>5</v>
      </c>
      <c r="B9" s="98" t="s">
        <v>18</v>
      </c>
      <c r="C9" s="98" t="s">
        <v>18</v>
      </c>
      <c r="D9" s="99">
        <v>2928</v>
      </c>
      <c r="E9" s="100" t="s">
        <v>18</v>
      </c>
      <c r="F9" s="101">
        <v>2929</v>
      </c>
      <c r="G9" s="99" t="s">
        <v>18</v>
      </c>
      <c r="H9" s="99">
        <v>3895</v>
      </c>
      <c r="I9" s="99" t="s">
        <v>18</v>
      </c>
      <c r="J9" s="100" t="s">
        <v>18</v>
      </c>
      <c r="K9" s="101">
        <v>3896</v>
      </c>
      <c r="L9" s="99" t="s">
        <v>18</v>
      </c>
      <c r="M9" s="23">
        <v>4393</v>
      </c>
      <c r="N9" s="101">
        <v>4394</v>
      </c>
      <c r="O9" s="99" t="s">
        <v>18</v>
      </c>
      <c r="P9" s="99">
        <v>5856</v>
      </c>
      <c r="Q9" s="100" t="s">
        <v>18</v>
      </c>
      <c r="R9" s="24">
        <v>5857</v>
      </c>
    </row>
    <row r="10" spans="1:18" ht="15">
      <c r="A10" s="102">
        <v>6</v>
      </c>
      <c r="B10" s="103" t="s">
        <v>18</v>
      </c>
      <c r="C10" s="103" t="s">
        <v>18</v>
      </c>
      <c r="D10" s="99">
        <v>3357</v>
      </c>
      <c r="E10" s="100" t="s">
        <v>18</v>
      </c>
      <c r="F10" s="101">
        <v>3358</v>
      </c>
      <c r="G10" s="99" t="s">
        <v>18</v>
      </c>
      <c r="H10" s="99">
        <v>4464</v>
      </c>
      <c r="I10" s="99" t="s">
        <v>18</v>
      </c>
      <c r="J10" s="100" t="s">
        <v>18</v>
      </c>
      <c r="K10" s="101">
        <v>4465</v>
      </c>
      <c r="L10" s="99" t="s">
        <v>18</v>
      </c>
      <c r="M10" s="23">
        <v>5035</v>
      </c>
      <c r="N10" s="101">
        <v>5036</v>
      </c>
      <c r="O10" s="99" t="s">
        <v>18</v>
      </c>
      <c r="P10" s="99">
        <v>6712</v>
      </c>
      <c r="Q10" s="100" t="s">
        <v>18</v>
      </c>
      <c r="R10" s="24">
        <v>6713</v>
      </c>
    </row>
    <row r="11" spans="1:18" ht="15">
      <c r="A11" s="97">
        <v>7</v>
      </c>
      <c r="B11" s="98" t="s">
        <v>18</v>
      </c>
      <c r="C11" s="98" t="s">
        <v>18</v>
      </c>
      <c r="D11" s="99">
        <v>3785</v>
      </c>
      <c r="E11" s="100" t="s">
        <v>18</v>
      </c>
      <c r="F11" s="101">
        <v>3786</v>
      </c>
      <c r="G11" s="99" t="s">
        <v>18</v>
      </c>
      <c r="H11" s="99">
        <v>5034</v>
      </c>
      <c r="I11" s="99" t="s">
        <v>18</v>
      </c>
      <c r="J11" s="100" t="s">
        <v>18</v>
      </c>
      <c r="K11" s="101">
        <v>5035</v>
      </c>
      <c r="L11" s="99" t="s">
        <v>18</v>
      </c>
      <c r="M11" s="23">
        <v>5678</v>
      </c>
      <c r="N11" s="101">
        <v>5679</v>
      </c>
      <c r="O11" s="99" t="s">
        <v>18</v>
      </c>
      <c r="P11" s="99">
        <v>7569</v>
      </c>
      <c r="Q11" s="100" t="s">
        <v>18</v>
      </c>
      <c r="R11" s="24">
        <v>7570</v>
      </c>
    </row>
    <row r="12" spans="1:18" ht="15">
      <c r="A12" s="102">
        <v>8</v>
      </c>
      <c r="B12" s="103" t="s">
        <v>18</v>
      </c>
      <c r="C12" s="103" t="s">
        <v>18</v>
      </c>
      <c r="D12" s="99">
        <v>4213</v>
      </c>
      <c r="E12" s="100" t="s">
        <v>18</v>
      </c>
      <c r="F12" s="101">
        <v>4214</v>
      </c>
      <c r="G12" s="99" t="s">
        <v>18</v>
      </c>
      <c r="H12" s="99">
        <v>5604</v>
      </c>
      <c r="I12" s="99" t="s">
        <v>18</v>
      </c>
      <c r="J12" s="100" t="s">
        <v>18</v>
      </c>
      <c r="K12" s="101">
        <v>5605</v>
      </c>
      <c r="L12" s="99" t="s">
        <v>18</v>
      </c>
      <c r="M12" s="23">
        <v>6320</v>
      </c>
      <c r="N12" s="101">
        <v>6321</v>
      </c>
      <c r="O12" s="99" t="s">
        <v>18</v>
      </c>
      <c r="P12" s="99">
        <v>8426</v>
      </c>
      <c r="Q12" s="100" t="s">
        <v>18</v>
      </c>
      <c r="R12" s="24">
        <v>8427</v>
      </c>
    </row>
    <row r="13" spans="1:18" ht="15">
      <c r="A13" s="97">
        <v>9</v>
      </c>
      <c r="B13" s="98" t="s">
        <v>18</v>
      </c>
      <c r="C13" s="98" t="s">
        <v>18</v>
      </c>
      <c r="D13" s="99">
        <v>4642</v>
      </c>
      <c r="E13" s="100" t="s">
        <v>18</v>
      </c>
      <c r="F13" s="101">
        <v>4643</v>
      </c>
      <c r="G13" s="99" t="s">
        <v>18</v>
      </c>
      <c r="H13" s="99">
        <v>6173</v>
      </c>
      <c r="I13" s="99" t="s">
        <v>18</v>
      </c>
      <c r="J13" s="100" t="s">
        <v>18</v>
      </c>
      <c r="K13" s="101">
        <v>6174</v>
      </c>
      <c r="L13" s="99" t="s">
        <v>18</v>
      </c>
      <c r="M13" s="23">
        <v>6963</v>
      </c>
      <c r="N13" s="101">
        <v>6964</v>
      </c>
      <c r="O13" s="99" t="s">
        <v>18</v>
      </c>
      <c r="P13" s="99">
        <v>9282</v>
      </c>
      <c r="Q13" s="100" t="s">
        <v>18</v>
      </c>
      <c r="R13" s="24">
        <v>9283</v>
      </c>
    </row>
    <row r="14" spans="1:18" ht="14.25">
      <c r="A14" s="115" t="s">
        <v>13</v>
      </c>
      <c r="B14" s="92" t="s">
        <v>18</v>
      </c>
      <c r="C14" s="92" t="s">
        <v>18</v>
      </c>
      <c r="D14" s="99">
        <v>5070</v>
      </c>
      <c r="E14" s="100" t="s">
        <v>18</v>
      </c>
      <c r="F14" s="116">
        <v>5071</v>
      </c>
      <c r="G14" s="104" t="s">
        <v>18</v>
      </c>
      <c r="H14" s="104">
        <v>6743</v>
      </c>
      <c r="I14" s="104" t="s">
        <v>18</v>
      </c>
      <c r="J14" s="105" t="s">
        <v>18</v>
      </c>
      <c r="K14" s="116">
        <v>6744</v>
      </c>
      <c r="L14" s="104" t="s">
        <v>18</v>
      </c>
      <c r="M14" s="25">
        <v>7605</v>
      </c>
      <c r="N14" s="116">
        <v>7606</v>
      </c>
      <c r="O14" s="104" t="s">
        <v>18</v>
      </c>
      <c r="P14" s="104">
        <v>10139</v>
      </c>
      <c r="Q14" s="105" t="s">
        <v>18</v>
      </c>
      <c r="R14" s="24">
        <v>10140</v>
      </c>
    </row>
    <row r="15" spans="1:18">
      <c r="A15" s="106" t="s">
        <v>34</v>
      </c>
      <c r="B15" s="107"/>
      <c r="C15" s="107"/>
      <c r="D15" s="107"/>
      <c r="E15" s="107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8"/>
    </row>
    <row r="18" spans="1:18" ht="18">
      <c r="A18" s="78" t="s">
        <v>35</v>
      </c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80"/>
    </row>
    <row r="19" spans="1:18">
      <c r="A19" s="109" t="s">
        <v>43</v>
      </c>
      <c r="B19" s="110"/>
      <c r="C19" s="110"/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1"/>
    </row>
    <row r="20" spans="1:18" ht="45.75">
      <c r="A20" s="84" t="s">
        <v>2</v>
      </c>
      <c r="B20" s="85"/>
      <c r="C20" s="85"/>
      <c r="D20" s="86" t="s">
        <v>3</v>
      </c>
      <c r="E20" s="112"/>
      <c r="F20" s="128" t="s">
        <v>44</v>
      </c>
      <c r="G20" s="129"/>
      <c r="H20" s="129"/>
      <c r="I20" s="129"/>
      <c r="J20" s="130"/>
      <c r="K20" s="128" t="s">
        <v>5</v>
      </c>
      <c r="L20" s="129"/>
      <c r="M20" s="129"/>
      <c r="N20" s="128" t="s">
        <v>6</v>
      </c>
      <c r="O20" s="129"/>
      <c r="P20" s="129"/>
      <c r="Q20" s="27"/>
      <c r="R20" s="20" t="s">
        <v>33</v>
      </c>
    </row>
    <row r="21" spans="1:18" ht="15">
      <c r="A21" s="84"/>
      <c r="B21" s="85"/>
      <c r="C21" s="85"/>
      <c r="D21" s="92" t="s">
        <v>19</v>
      </c>
      <c r="E21" s="93"/>
      <c r="F21" s="94" t="s">
        <v>10</v>
      </c>
      <c r="G21" s="95"/>
      <c r="H21" s="95" t="s">
        <v>11</v>
      </c>
      <c r="I21" s="95"/>
      <c r="J21" s="96"/>
      <c r="K21" s="94" t="s">
        <v>10</v>
      </c>
      <c r="L21" s="95"/>
      <c r="M21" s="21" t="s">
        <v>11</v>
      </c>
      <c r="N21" s="94" t="s">
        <v>10</v>
      </c>
      <c r="O21" s="95"/>
      <c r="P21" s="95" t="s">
        <v>11</v>
      </c>
      <c r="Q21" s="96"/>
      <c r="R21" s="22" t="s">
        <v>20</v>
      </c>
    </row>
    <row r="22" spans="1:18" ht="12.75" customHeight="1">
      <c r="A22" s="97">
        <v>1</v>
      </c>
      <c r="B22" s="98"/>
      <c r="C22" s="98"/>
      <c r="D22" s="99">
        <v>14580</v>
      </c>
      <c r="E22" s="100"/>
      <c r="F22" s="148">
        <v>14581</v>
      </c>
      <c r="G22" s="138"/>
      <c r="H22" s="138">
        <v>19391</v>
      </c>
      <c r="I22" s="138"/>
      <c r="J22" s="149"/>
      <c r="K22" s="148">
        <v>19392</v>
      </c>
      <c r="L22" s="138"/>
      <c r="M22" s="28">
        <v>21870</v>
      </c>
      <c r="N22" s="148">
        <v>21871</v>
      </c>
      <c r="O22" s="138"/>
      <c r="P22" s="138">
        <v>29159</v>
      </c>
      <c r="Q22" s="149"/>
      <c r="R22" s="28">
        <v>29160</v>
      </c>
    </row>
    <row r="23" spans="1:18" ht="12.75" customHeight="1">
      <c r="A23" s="102">
        <v>2</v>
      </c>
      <c r="B23" s="103"/>
      <c r="C23" s="103"/>
      <c r="D23" s="99">
        <v>19720</v>
      </c>
      <c r="E23" s="100"/>
      <c r="F23" s="148">
        <v>19721</v>
      </c>
      <c r="G23" s="138"/>
      <c r="H23" s="138">
        <v>26228</v>
      </c>
      <c r="I23" s="138"/>
      <c r="J23" s="149"/>
      <c r="K23" s="148">
        <v>26229</v>
      </c>
      <c r="L23" s="138"/>
      <c r="M23" s="28">
        <v>29580</v>
      </c>
      <c r="N23" s="148">
        <v>29581</v>
      </c>
      <c r="O23" s="138"/>
      <c r="P23" s="138">
        <v>39439</v>
      </c>
      <c r="Q23" s="149"/>
      <c r="R23" s="28">
        <v>39440</v>
      </c>
    </row>
    <row r="24" spans="1:18" ht="12.75" customHeight="1">
      <c r="A24" s="97">
        <v>3</v>
      </c>
      <c r="B24" s="98"/>
      <c r="C24" s="98"/>
      <c r="D24" s="99">
        <v>24860</v>
      </c>
      <c r="E24" s="100"/>
      <c r="F24" s="148">
        <v>24861</v>
      </c>
      <c r="G24" s="138"/>
      <c r="H24" s="138">
        <v>33064</v>
      </c>
      <c r="I24" s="138"/>
      <c r="J24" s="149"/>
      <c r="K24" s="148">
        <v>33065</v>
      </c>
      <c r="L24" s="138"/>
      <c r="M24" s="28">
        <v>37290</v>
      </c>
      <c r="N24" s="148">
        <v>37291</v>
      </c>
      <c r="O24" s="138"/>
      <c r="P24" s="138">
        <v>49719</v>
      </c>
      <c r="Q24" s="149"/>
      <c r="R24" s="28">
        <v>49720</v>
      </c>
    </row>
    <row r="25" spans="1:18" ht="12.75" customHeight="1">
      <c r="A25" s="102">
        <v>4</v>
      </c>
      <c r="B25" s="103"/>
      <c r="C25" s="103"/>
      <c r="D25" s="99">
        <v>30000</v>
      </c>
      <c r="E25" s="100"/>
      <c r="F25" s="148">
        <v>30001</v>
      </c>
      <c r="G25" s="138"/>
      <c r="H25" s="138">
        <v>39900</v>
      </c>
      <c r="I25" s="138"/>
      <c r="J25" s="149"/>
      <c r="K25" s="148">
        <v>39901</v>
      </c>
      <c r="L25" s="138"/>
      <c r="M25" s="28">
        <v>45000</v>
      </c>
      <c r="N25" s="148">
        <v>45001</v>
      </c>
      <c r="O25" s="138"/>
      <c r="P25" s="138">
        <v>59999</v>
      </c>
      <c r="Q25" s="149"/>
      <c r="R25" s="28">
        <v>60000</v>
      </c>
    </row>
    <row r="26" spans="1:18" ht="12.75" customHeight="1">
      <c r="A26" s="97">
        <v>5</v>
      </c>
      <c r="B26" s="98"/>
      <c r="C26" s="98"/>
      <c r="D26" s="99">
        <v>35140</v>
      </c>
      <c r="E26" s="100"/>
      <c r="F26" s="148">
        <v>35141</v>
      </c>
      <c r="G26" s="138"/>
      <c r="H26" s="138">
        <v>46736</v>
      </c>
      <c r="I26" s="138"/>
      <c r="J26" s="149"/>
      <c r="K26" s="148">
        <v>46737</v>
      </c>
      <c r="L26" s="138"/>
      <c r="M26" s="28">
        <v>52710</v>
      </c>
      <c r="N26" s="148">
        <v>52711</v>
      </c>
      <c r="O26" s="138"/>
      <c r="P26" s="138">
        <v>70279</v>
      </c>
      <c r="Q26" s="149"/>
      <c r="R26" s="28">
        <v>70280</v>
      </c>
    </row>
    <row r="27" spans="1:18" ht="12.75" customHeight="1">
      <c r="A27" s="102">
        <v>6</v>
      </c>
      <c r="B27" s="103"/>
      <c r="C27" s="103"/>
      <c r="D27" s="99">
        <v>40280</v>
      </c>
      <c r="E27" s="100"/>
      <c r="F27" s="148">
        <v>40281</v>
      </c>
      <c r="G27" s="138"/>
      <c r="H27" s="138">
        <v>53572</v>
      </c>
      <c r="I27" s="138"/>
      <c r="J27" s="149"/>
      <c r="K27" s="148">
        <v>53573</v>
      </c>
      <c r="L27" s="138"/>
      <c r="M27" s="28">
        <v>60420</v>
      </c>
      <c r="N27" s="148">
        <v>60421</v>
      </c>
      <c r="O27" s="138"/>
      <c r="P27" s="138">
        <v>80559</v>
      </c>
      <c r="Q27" s="149"/>
      <c r="R27" s="28">
        <v>80560</v>
      </c>
    </row>
    <row r="28" spans="1:18" ht="12.75" customHeight="1">
      <c r="A28" s="97">
        <v>7</v>
      </c>
      <c r="B28" s="98"/>
      <c r="C28" s="98"/>
      <c r="D28" s="99">
        <v>45420</v>
      </c>
      <c r="E28" s="100"/>
      <c r="F28" s="138">
        <v>45421</v>
      </c>
      <c r="G28" s="139"/>
      <c r="H28" s="138">
        <v>60409</v>
      </c>
      <c r="I28" s="139"/>
      <c r="J28" s="140"/>
      <c r="K28" s="138">
        <v>60410</v>
      </c>
      <c r="L28" s="139"/>
      <c r="M28" s="28">
        <v>68130</v>
      </c>
      <c r="N28" s="138">
        <v>68131</v>
      </c>
      <c r="O28" s="139"/>
      <c r="P28" s="138">
        <v>90839</v>
      </c>
      <c r="Q28" s="140"/>
      <c r="R28" s="28">
        <v>90840</v>
      </c>
    </row>
    <row r="29" spans="1:18" ht="12.75" customHeight="1">
      <c r="A29" s="102">
        <v>8</v>
      </c>
      <c r="B29" s="103"/>
      <c r="C29" s="103"/>
      <c r="D29" s="99">
        <v>50560</v>
      </c>
      <c r="E29" s="100"/>
      <c r="F29" s="138">
        <v>50561</v>
      </c>
      <c r="G29" s="139"/>
      <c r="H29" s="138">
        <v>67245</v>
      </c>
      <c r="I29" s="139"/>
      <c r="J29" s="140"/>
      <c r="K29" s="138">
        <v>67246</v>
      </c>
      <c r="L29" s="139"/>
      <c r="M29" s="28">
        <v>75840</v>
      </c>
      <c r="N29" s="138">
        <v>75841</v>
      </c>
      <c r="O29" s="139"/>
      <c r="P29" s="138">
        <v>101119</v>
      </c>
      <c r="Q29" s="140"/>
      <c r="R29" s="28">
        <v>101120</v>
      </c>
    </row>
    <row r="30" spans="1:18" ht="12.75" customHeight="1">
      <c r="A30" s="97">
        <v>9</v>
      </c>
      <c r="B30" s="98"/>
      <c r="C30" s="98"/>
      <c r="D30" s="99">
        <v>55700</v>
      </c>
      <c r="E30" s="100"/>
      <c r="F30" s="138">
        <v>55701</v>
      </c>
      <c r="G30" s="139"/>
      <c r="H30" s="138">
        <v>74081</v>
      </c>
      <c r="I30" s="139"/>
      <c r="J30" s="140"/>
      <c r="K30" s="138">
        <v>74082</v>
      </c>
      <c r="L30" s="139"/>
      <c r="M30" s="28">
        <v>83550</v>
      </c>
      <c r="N30" s="138">
        <v>83551</v>
      </c>
      <c r="O30" s="139"/>
      <c r="P30" s="138">
        <v>111399</v>
      </c>
      <c r="Q30" s="140"/>
      <c r="R30" s="28">
        <v>111400</v>
      </c>
    </row>
    <row r="31" spans="1:18" ht="12.75" customHeight="1">
      <c r="A31" s="115" t="s">
        <v>13</v>
      </c>
      <c r="B31" s="92"/>
      <c r="C31" s="92"/>
      <c r="D31" s="99">
        <v>60840</v>
      </c>
      <c r="E31" s="100"/>
      <c r="F31" s="144">
        <v>60841</v>
      </c>
      <c r="G31" s="145"/>
      <c r="H31" s="144">
        <v>80917</v>
      </c>
      <c r="I31" s="145"/>
      <c r="J31" s="146"/>
      <c r="K31" s="144">
        <v>80918</v>
      </c>
      <c r="L31" s="145"/>
      <c r="M31" s="29">
        <v>91260</v>
      </c>
      <c r="N31" s="144">
        <v>91261</v>
      </c>
      <c r="O31" s="145"/>
      <c r="P31" s="150">
        <v>121679</v>
      </c>
      <c r="Q31" s="151"/>
      <c r="R31" s="28">
        <v>121680</v>
      </c>
    </row>
    <row r="32" spans="1:18">
      <c r="A32" s="38" t="s">
        <v>38</v>
      </c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40"/>
    </row>
    <row r="33" spans="1:18">
      <c r="A33" s="41" t="s">
        <v>39</v>
      </c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30" t="s">
        <v>18</v>
      </c>
      <c r="N33" s="42" t="s">
        <v>23</v>
      </c>
      <c r="O33" s="122"/>
      <c r="P33" s="122"/>
      <c r="Q33" s="122"/>
      <c r="R33" s="122"/>
    </row>
  </sheetData>
  <mergeCells count="170">
    <mergeCell ref="P31:Q31"/>
    <mergeCell ref="A32:R32"/>
    <mergeCell ref="A33:L33"/>
    <mergeCell ref="N33:R33"/>
    <mergeCell ref="A31:C31"/>
    <mergeCell ref="D31:E31"/>
    <mergeCell ref="F31:G31"/>
    <mergeCell ref="H31:J31"/>
    <mergeCell ref="K31:L31"/>
    <mergeCell ref="N31:O31"/>
    <mergeCell ref="P29:Q29"/>
    <mergeCell ref="A30:C30"/>
    <mergeCell ref="D30:E30"/>
    <mergeCell ref="F30:G30"/>
    <mergeCell ref="H30:J30"/>
    <mergeCell ref="K30:L30"/>
    <mergeCell ref="N30:O30"/>
    <mergeCell ref="P30:Q30"/>
    <mergeCell ref="A29:C29"/>
    <mergeCell ref="D29:E29"/>
    <mergeCell ref="F29:G29"/>
    <mergeCell ref="H29:J29"/>
    <mergeCell ref="K29:L29"/>
    <mergeCell ref="N29:O29"/>
    <mergeCell ref="P27:Q27"/>
    <mergeCell ref="A28:C28"/>
    <mergeCell ref="D28:E28"/>
    <mergeCell ref="F28:G28"/>
    <mergeCell ref="H28:J28"/>
    <mergeCell ref="K28:L28"/>
    <mergeCell ref="N28:O28"/>
    <mergeCell ref="P28:Q28"/>
    <mergeCell ref="A27:C27"/>
    <mergeCell ref="D27:E27"/>
    <mergeCell ref="F27:G27"/>
    <mergeCell ref="H27:J27"/>
    <mergeCell ref="K27:L27"/>
    <mergeCell ref="N27:O27"/>
    <mergeCell ref="P25:Q25"/>
    <mergeCell ref="A26:C26"/>
    <mergeCell ref="D26:E26"/>
    <mergeCell ref="F26:G26"/>
    <mergeCell ref="H26:J26"/>
    <mergeCell ref="K26:L26"/>
    <mergeCell ref="N26:O26"/>
    <mergeCell ref="P26:Q26"/>
    <mergeCell ref="A25:C25"/>
    <mergeCell ref="D25:E25"/>
    <mergeCell ref="F25:G25"/>
    <mergeCell ref="H25:J25"/>
    <mergeCell ref="K25:L25"/>
    <mergeCell ref="N25:O25"/>
    <mergeCell ref="A22:C22"/>
    <mergeCell ref="D22:E22"/>
    <mergeCell ref="F22:G22"/>
    <mergeCell ref="H22:J22"/>
    <mergeCell ref="K22:L22"/>
    <mergeCell ref="N22:O22"/>
    <mergeCell ref="P22:Q22"/>
    <mergeCell ref="P23:Q23"/>
    <mergeCell ref="A24:C24"/>
    <mergeCell ref="D24:E24"/>
    <mergeCell ref="F24:G24"/>
    <mergeCell ref="H24:J24"/>
    <mergeCell ref="K24:L24"/>
    <mergeCell ref="N24:O24"/>
    <mergeCell ref="P24:Q24"/>
    <mergeCell ref="A23:C23"/>
    <mergeCell ref="D23:E23"/>
    <mergeCell ref="F23:G23"/>
    <mergeCell ref="H23:J23"/>
    <mergeCell ref="K23:L23"/>
    <mergeCell ref="N23:O23"/>
    <mergeCell ref="A18:R18"/>
    <mergeCell ref="A19:R19"/>
    <mergeCell ref="A20:C21"/>
    <mergeCell ref="D20:E20"/>
    <mergeCell ref="F20:J20"/>
    <mergeCell ref="K20:M20"/>
    <mergeCell ref="N20:P20"/>
    <mergeCell ref="D21:E21"/>
    <mergeCell ref="F21:G21"/>
    <mergeCell ref="H21:J21"/>
    <mergeCell ref="K21:L21"/>
    <mergeCell ref="N21:O21"/>
    <mergeCell ref="P21:Q21"/>
    <mergeCell ref="P13:Q13"/>
    <mergeCell ref="A14:C14"/>
    <mergeCell ref="D14:E14"/>
    <mergeCell ref="F14:G14"/>
    <mergeCell ref="H14:J14"/>
    <mergeCell ref="K14:L14"/>
    <mergeCell ref="N14:O14"/>
    <mergeCell ref="P14:Q14"/>
    <mergeCell ref="A13:C13"/>
    <mergeCell ref="D13:E13"/>
    <mergeCell ref="F13:G13"/>
    <mergeCell ref="H13:J13"/>
    <mergeCell ref="K13:L13"/>
    <mergeCell ref="N13:O13"/>
    <mergeCell ref="P11:Q11"/>
    <mergeCell ref="A12:C12"/>
    <mergeCell ref="D12:E12"/>
    <mergeCell ref="F12:G12"/>
    <mergeCell ref="H12:J12"/>
    <mergeCell ref="K12:L12"/>
    <mergeCell ref="N12:O12"/>
    <mergeCell ref="P12:Q12"/>
    <mergeCell ref="A11:C11"/>
    <mergeCell ref="D11:E11"/>
    <mergeCell ref="F11:G11"/>
    <mergeCell ref="H11:J11"/>
    <mergeCell ref="K11:L11"/>
    <mergeCell ref="N11:O11"/>
    <mergeCell ref="P9:Q9"/>
    <mergeCell ref="A10:C10"/>
    <mergeCell ref="D10:E10"/>
    <mergeCell ref="F10:G10"/>
    <mergeCell ref="H10:J10"/>
    <mergeCell ref="K10:L10"/>
    <mergeCell ref="N10:O10"/>
    <mergeCell ref="P10:Q10"/>
    <mergeCell ref="A9:C9"/>
    <mergeCell ref="D9:E9"/>
    <mergeCell ref="F9:G9"/>
    <mergeCell ref="H9:J9"/>
    <mergeCell ref="K9:L9"/>
    <mergeCell ref="N9:O9"/>
    <mergeCell ref="H6:J6"/>
    <mergeCell ref="K6:L6"/>
    <mergeCell ref="N6:O6"/>
    <mergeCell ref="P6:Q6"/>
    <mergeCell ref="P7:Q7"/>
    <mergeCell ref="A8:C8"/>
    <mergeCell ref="D8:E8"/>
    <mergeCell ref="F8:G8"/>
    <mergeCell ref="H8:J8"/>
    <mergeCell ref="K8:L8"/>
    <mergeCell ref="N8:O8"/>
    <mergeCell ref="P8:Q8"/>
    <mergeCell ref="A7:C7"/>
    <mergeCell ref="D7:E7"/>
    <mergeCell ref="F7:G7"/>
    <mergeCell ref="H7:J7"/>
    <mergeCell ref="K7:L7"/>
    <mergeCell ref="N7:O7"/>
    <mergeCell ref="A2:R2"/>
    <mergeCell ref="A1:R1"/>
    <mergeCell ref="D3:E3"/>
    <mergeCell ref="F3:J3"/>
    <mergeCell ref="A15:R15"/>
    <mergeCell ref="K3:M3"/>
    <mergeCell ref="N3:Q3"/>
    <mergeCell ref="A3:C4"/>
    <mergeCell ref="D4:E4"/>
    <mergeCell ref="F4:G4"/>
    <mergeCell ref="H4:J4"/>
    <mergeCell ref="K4:L4"/>
    <mergeCell ref="N4:O4"/>
    <mergeCell ref="P4:Q4"/>
    <mergeCell ref="A5:C5"/>
    <mergeCell ref="D5:E5"/>
    <mergeCell ref="F5:G5"/>
    <mergeCell ref="H5:J5"/>
    <mergeCell ref="K5:L5"/>
    <mergeCell ref="N5:O5"/>
    <mergeCell ref="P5:Q5"/>
    <mergeCell ref="A6:C6"/>
    <mergeCell ref="D6:E6"/>
    <mergeCell ref="F6:G6"/>
  </mergeCells>
  <hyperlinks>
    <hyperlink ref="N33" r:id="rId1" xr:uid="{7B14EFDE-CD47-4A64-A25D-5068FBF00F69}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7"/>
  <sheetViews>
    <sheetView view="pageBreakPreview" topLeftCell="A3" zoomScale="85" zoomScaleNormal="75" workbookViewId="0">
      <selection activeCell="D20" sqref="D20:E20"/>
    </sheetView>
  </sheetViews>
  <sheetFormatPr defaultRowHeight="13.15"/>
  <cols>
    <col min="1" max="1" width="3.28515625" customWidth="1"/>
    <col min="2" max="2" width="6" customWidth="1"/>
    <col min="3" max="3" width="10.28515625" customWidth="1"/>
    <col min="4" max="4" width="9.140625" customWidth="1"/>
    <col min="5" max="5" width="13.42578125" customWidth="1"/>
    <col min="6" max="6" width="4.42578125" customWidth="1"/>
    <col min="7" max="7" width="8" customWidth="1"/>
    <col min="8" max="8" width="11.140625" customWidth="1"/>
    <col min="9" max="9" width="3.85546875" customWidth="1"/>
    <col min="10" max="10" width="1.140625" customWidth="1"/>
    <col min="12" max="12" width="7.7109375" customWidth="1"/>
    <col min="13" max="13" width="12" customWidth="1"/>
    <col min="14" max="14" width="8.7109375" customWidth="1"/>
    <col min="15" max="15" width="9.85546875" customWidth="1"/>
    <col min="16" max="16" width="16.7109375" customWidth="1"/>
    <col min="17" max="17" width="13.7109375" hidden="1" customWidth="1"/>
    <col min="18" max="18" width="22.5703125" customWidth="1"/>
    <col min="19" max="19" width="9.85546875" bestFit="1" customWidth="1"/>
    <col min="20" max="20" width="8.5703125" customWidth="1"/>
    <col min="21" max="21" width="9.85546875" bestFit="1" customWidth="1"/>
  </cols>
  <sheetData>
    <row r="1" spans="1:18" s="19" customFormat="1" ht="16.899999999999999" customHeight="1">
      <c r="A1" s="78" t="s">
        <v>45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80"/>
    </row>
    <row r="2" spans="1:18" s="19" customFormat="1" ht="12" customHeight="1">
      <c r="A2" s="109" t="s">
        <v>46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1"/>
    </row>
    <row r="3" spans="1:18" s="19" customFormat="1" ht="54.75" customHeight="1">
      <c r="A3" s="84" t="s">
        <v>2</v>
      </c>
      <c r="B3" s="85"/>
      <c r="C3" s="85"/>
      <c r="D3" s="86" t="s">
        <v>3</v>
      </c>
      <c r="E3" s="112"/>
      <c r="F3" s="128" t="s">
        <v>44</v>
      </c>
      <c r="G3" s="129"/>
      <c r="H3" s="129"/>
      <c r="I3" s="129"/>
      <c r="J3" s="130"/>
      <c r="K3" s="128" t="s">
        <v>47</v>
      </c>
      <c r="L3" s="129"/>
      <c r="M3" s="129"/>
      <c r="N3" s="128" t="s">
        <v>48</v>
      </c>
      <c r="O3" s="129"/>
      <c r="P3" s="129"/>
      <c r="Q3" s="27"/>
      <c r="R3" s="20" t="s">
        <v>33</v>
      </c>
    </row>
    <row r="4" spans="1:18" s="19" customFormat="1" ht="15" customHeight="1">
      <c r="A4" s="84"/>
      <c r="B4" s="85"/>
      <c r="C4" s="85"/>
      <c r="D4" s="92" t="s">
        <v>19</v>
      </c>
      <c r="E4" s="93"/>
      <c r="F4" s="94" t="s">
        <v>10</v>
      </c>
      <c r="G4" s="95"/>
      <c r="H4" s="95" t="s">
        <v>11</v>
      </c>
      <c r="I4" s="95"/>
      <c r="J4" s="96"/>
      <c r="K4" s="94" t="s">
        <v>10</v>
      </c>
      <c r="L4" s="95"/>
      <c r="M4" s="21" t="s">
        <v>11</v>
      </c>
      <c r="N4" s="94" t="s">
        <v>10</v>
      </c>
      <c r="O4" s="95"/>
      <c r="P4" s="95" t="s">
        <v>11</v>
      </c>
      <c r="Q4" s="96"/>
      <c r="R4" s="22" t="s">
        <v>20</v>
      </c>
    </row>
    <row r="5" spans="1:18" s="19" customFormat="1" ht="12" customHeight="1">
      <c r="A5" s="97">
        <v>1</v>
      </c>
      <c r="B5" s="98"/>
      <c r="C5" s="98"/>
      <c r="D5" s="99">
        <v>13590</v>
      </c>
      <c r="E5" s="100"/>
      <c r="F5" s="101">
        <v>13591</v>
      </c>
      <c r="G5" s="99"/>
      <c r="H5" s="99">
        <v>18075</v>
      </c>
      <c r="I5" s="99"/>
      <c r="J5" s="100"/>
      <c r="K5" s="101">
        <v>18076</v>
      </c>
      <c r="L5" s="99"/>
      <c r="M5" s="23">
        <v>22695</v>
      </c>
      <c r="N5" s="101">
        <v>22696</v>
      </c>
      <c r="O5" s="99"/>
      <c r="P5" s="99">
        <v>27179</v>
      </c>
      <c r="Q5" s="100"/>
      <c r="R5" s="24">
        <v>27180</v>
      </c>
    </row>
    <row r="6" spans="1:18" s="19" customFormat="1" ht="12" customHeight="1">
      <c r="A6" s="102">
        <v>2</v>
      </c>
      <c r="B6" s="103"/>
      <c r="C6" s="103"/>
      <c r="D6" s="99">
        <v>18310</v>
      </c>
      <c r="E6" s="100"/>
      <c r="F6" s="101">
        <v>18311</v>
      </c>
      <c r="G6" s="99"/>
      <c r="H6" s="99">
        <v>24352</v>
      </c>
      <c r="I6" s="99"/>
      <c r="J6" s="100"/>
      <c r="K6" s="101">
        <v>24353</v>
      </c>
      <c r="L6" s="99"/>
      <c r="M6" s="23">
        <v>30578</v>
      </c>
      <c r="N6" s="101">
        <v>30579</v>
      </c>
      <c r="O6" s="99"/>
      <c r="P6" s="99">
        <v>36619</v>
      </c>
      <c r="Q6" s="100"/>
      <c r="R6" s="24">
        <v>36620</v>
      </c>
    </row>
    <row r="7" spans="1:18" s="19" customFormat="1" ht="12" customHeight="1">
      <c r="A7" s="97">
        <v>3</v>
      </c>
      <c r="B7" s="98"/>
      <c r="C7" s="98"/>
      <c r="D7" s="99">
        <v>23030</v>
      </c>
      <c r="E7" s="100"/>
      <c r="F7" s="101">
        <v>23031</v>
      </c>
      <c r="G7" s="99"/>
      <c r="H7" s="99">
        <v>30630</v>
      </c>
      <c r="I7" s="99"/>
      <c r="J7" s="100"/>
      <c r="K7" s="101">
        <v>30631</v>
      </c>
      <c r="L7" s="99"/>
      <c r="M7" s="23">
        <v>38460</v>
      </c>
      <c r="N7" s="101">
        <v>38461</v>
      </c>
      <c r="O7" s="99"/>
      <c r="P7" s="99">
        <v>46059</v>
      </c>
      <c r="Q7" s="100"/>
      <c r="R7" s="24">
        <v>46060</v>
      </c>
    </row>
    <row r="8" spans="1:18" s="19" customFormat="1" ht="12" customHeight="1">
      <c r="A8" s="102">
        <v>4</v>
      </c>
      <c r="B8" s="103"/>
      <c r="C8" s="103"/>
      <c r="D8" s="99">
        <v>27750</v>
      </c>
      <c r="E8" s="100"/>
      <c r="F8" s="101">
        <v>27751</v>
      </c>
      <c r="G8" s="99"/>
      <c r="H8" s="99">
        <v>36908</v>
      </c>
      <c r="I8" s="99"/>
      <c r="J8" s="100"/>
      <c r="K8" s="101">
        <v>36909</v>
      </c>
      <c r="L8" s="99"/>
      <c r="M8" s="23">
        <v>46343</v>
      </c>
      <c r="N8" s="101">
        <v>46344</v>
      </c>
      <c r="O8" s="99"/>
      <c r="P8" s="99">
        <v>55499</v>
      </c>
      <c r="Q8" s="100"/>
      <c r="R8" s="24">
        <v>55500</v>
      </c>
    </row>
    <row r="9" spans="1:18" s="19" customFormat="1" ht="12" customHeight="1">
      <c r="A9" s="97">
        <v>5</v>
      </c>
      <c r="B9" s="98"/>
      <c r="C9" s="98"/>
      <c r="D9" s="99">
        <v>32470</v>
      </c>
      <c r="E9" s="100"/>
      <c r="F9" s="101">
        <v>32471</v>
      </c>
      <c r="G9" s="99"/>
      <c r="H9" s="99">
        <v>43185</v>
      </c>
      <c r="I9" s="99"/>
      <c r="J9" s="100"/>
      <c r="K9" s="101">
        <v>43186</v>
      </c>
      <c r="L9" s="99"/>
      <c r="M9" s="23">
        <v>54225</v>
      </c>
      <c r="N9" s="101">
        <v>54226</v>
      </c>
      <c r="O9" s="99"/>
      <c r="P9" s="99">
        <v>64939</v>
      </c>
      <c r="Q9" s="100"/>
      <c r="R9" s="24">
        <v>64940</v>
      </c>
    </row>
    <row r="10" spans="1:18" s="19" customFormat="1" ht="12" customHeight="1">
      <c r="A10" s="102">
        <v>6</v>
      </c>
      <c r="B10" s="103"/>
      <c r="C10" s="103"/>
      <c r="D10" s="99">
        <v>37190</v>
      </c>
      <c r="E10" s="100"/>
      <c r="F10" s="101">
        <v>37191</v>
      </c>
      <c r="G10" s="99"/>
      <c r="H10" s="99">
        <v>49463</v>
      </c>
      <c r="I10" s="99"/>
      <c r="J10" s="100"/>
      <c r="K10" s="101">
        <v>49464</v>
      </c>
      <c r="L10" s="99"/>
      <c r="M10" s="23">
        <v>62107</v>
      </c>
      <c r="N10" s="101">
        <v>62108</v>
      </c>
      <c r="O10" s="99"/>
      <c r="P10" s="99">
        <v>74379</v>
      </c>
      <c r="Q10" s="100"/>
      <c r="R10" s="24">
        <v>74380</v>
      </c>
    </row>
    <row r="11" spans="1:18" s="19" customFormat="1" ht="12" customHeight="1">
      <c r="A11" s="97">
        <v>7</v>
      </c>
      <c r="B11" s="98"/>
      <c r="C11" s="98"/>
      <c r="D11" s="99">
        <v>41910</v>
      </c>
      <c r="E11" s="100"/>
      <c r="F11" s="101">
        <v>41911</v>
      </c>
      <c r="G11" s="99"/>
      <c r="H11" s="99">
        <v>55740</v>
      </c>
      <c r="I11" s="99"/>
      <c r="J11" s="100"/>
      <c r="K11" s="101">
        <v>55741</v>
      </c>
      <c r="L11" s="99"/>
      <c r="M11" s="23">
        <v>69990</v>
      </c>
      <c r="N11" s="101">
        <v>69991</v>
      </c>
      <c r="O11" s="99"/>
      <c r="P11" s="99">
        <v>83819</v>
      </c>
      <c r="Q11" s="100"/>
      <c r="R11" s="24">
        <v>83820</v>
      </c>
    </row>
    <row r="12" spans="1:18" s="19" customFormat="1" ht="12" customHeight="1">
      <c r="A12" s="102">
        <v>8</v>
      </c>
      <c r="B12" s="103"/>
      <c r="C12" s="103"/>
      <c r="D12" s="99">
        <v>46630</v>
      </c>
      <c r="E12" s="100"/>
      <c r="F12" s="101">
        <v>46631</v>
      </c>
      <c r="G12" s="99"/>
      <c r="H12" s="99">
        <v>62018</v>
      </c>
      <c r="I12" s="99"/>
      <c r="J12" s="100"/>
      <c r="K12" s="101">
        <v>62019</v>
      </c>
      <c r="L12" s="99"/>
      <c r="M12" s="23">
        <v>77872</v>
      </c>
      <c r="N12" s="101">
        <v>77873</v>
      </c>
      <c r="O12" s="99"/>
      <c r="P12" s="99">
        <v>93259</v>
      </c>
      <c r="Q12" s="100"/>
      <c r="R12" s="24">
        <v>93260</v>
      </c>
    </row>
    <row r="13" spans="1:18" s="19" customFormat="1" ht="12" customHeight="1">
      <c r="A13" s="97">
        <v>9</v>
      </c>
      <c r="B13" s="98"/>
      <c r="C13" s="98"/>
      <c r="D13" s="99">
        <v>51350</v>
      </c>
      <c r="E13" s="100"/>
      <c r="F13" s="101">
        <v>51351</v>
      </c>
      <c r="G13" s="99"/>
      <c r="H13" s="99">
        <v>68296</v>
      </c>
      <c r="I13" s="99"/>
      <c r="J13" s="100"/>
      <c r="K13" s="101">
        <v>68297</v>
      </c>
      <c r="L13" s="99"/>
      <c r="M13" s="23">
        <v>85755</v>
      </c>
      <c r="N13" s="101">
        <v>85756</v>
      </c>
      <c r="O13" s="99"/>
      <c r="P13" s="99">
        <v>102699</v>
      </c>
      <c r="Q13" s="100"/>
      <c r="R13" s="24">
        <v>102700</v>
      </c>
    </row>
    <row r="14" spans="1:18" s="19" customFormat="1" ht="15">
      <c r="A14" s="115" t="s">
        <v>13</v>
      </c>
      <c r="B14" s="92"/>
      <c r="C14" s="92"/>
      <c r="D14" s="99">
        <v>56070</v>
      </c>
      <c r="E14" s="100"/>
      <c r="F14" s="116">
        <v>56071</v>
      </c>
      <c r="G14" s="104"/>
      <c r="H14" s="104">
        <v>74573</v>
      </c>
      <c r="I14" s="104"/>
      <c r="J14" s="105"/>
      <c r="K14" s="116">
        <v>74574</v>
      </c>
      <c r="L14" s="104"/>
      <c r="M14" s="25">
        <v>93637</v>
      </c>
      <c r="N14" s="116">
        <v>93638</v>
      </c>
      <c r="O14" s="104"/>
      <c r="P14" s="104">
        <v>112139</v>
      </c>
      <c r="Q14" s="105"/>
      <c r="R14" s="24">
        <v>112140</v>
      </c>
    </row>
    <row r="15" spans="1:18" s="19" customFormat="1" ht="12.75">
      <c r="A15" s="131" t="s">
        <v>49</v>
      </c>
      <c r="B15" s="132"/>
      <c r="C15" s="132"/>
      <c r="D15" s="132"/>
      <c r="E15" s="132"/>
      <c r="F15" s="132"/>
      <c r="G15" s="132"/>
      <c r="H15" s="132"/>
      <c r="I15" s="132"/>
      <c r="J15" s="132"/>
      <c r="K15" s="132"/>
      <c r="L15" s="132"/>
      <c r="M15" s="132"/>
      <c r="N15" s="132"/>
      <c r="O15" s="132"/>
      <c r="P15" s="132"/>
      <c r="Q15" s="132"/>
      <c r="R15" s="133"/>
    </row>
    <row r="16" spans="1:18" s="19" customFormat="1" ht="37.5" customHeight="1">
      <c r="A16" s="135"/>
      <c r="B16" s="135"/>
      <c r="C16" s="135"/>
      <c r="D16" s="135"/>
      <c r="E16" s="135"/>
      <c r="F16" s="135"/>
      <c r="G16" s="135"/>
      <c r="H16" s="135"/>
      <c r="I16" s="135"/>
      <c r="J16" s="135"/>
      <c r="K16" s="135"/>
      <c r="L16" s="135"/>
      <c r="M16" s="135"/>
      <c r="N16" s="135"/>
      <c r="O16" s="135"/>
      <c r="P16" s="135"/>
      <c r="Q16" s="135"/>
      <c r="R16" s="135"/>
    </row>
    <row r="17" spans="1:18" s="19" customFormat="1" ht="18">
      <c r="A17" s="78" t="s">
        <v>45</v>
      </c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80"/>
    </row>
    <row r="18" spans="1:18" s="19" customFormat="1" ht="12.75">
      <c r="A18" s="81" t="s">
        <v>50</v>
      </c>
      <c r="B18" s="82"/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3"/>
    </row>
    <row r="19" spans="1:18" s="19" customFormat="1" ht="37.5" customHeight="1">
      <c r="A19" s="84" t="s">
        <v>2</v>
      </c>
      <c r="B19" s="85"/>
      <c r="C19" s="85"/>
      <c r="D19" s="86" t="s">
        <v>3</v>
      </c>
      <c r="E19" s="87"/>
      <c r="F19" s="88" t="s">
        <v>42</v>
      </c>
      <c r="G19" s="89"/>
      <c r="H19" s="89"/>
      <c r="I19" s="89"/>
      <c r="J19" s="90"/>
      <c r="K19" s="91" t="s">
        <v>47</v>
      </c>
      <c r="L19" s="89"/>
      <c r="M19" s="90"/>
      <c r="N19" s="88" t="s">
        <v>48</v>
      </c>
      <c r="O19" s="89"/>
      <c r="P19" s="89"/>
      <c r="Q19" s="90"/>
      <c r="R19" s="20" t="s">
        <v>33</v>
      </c>
    </row>
    <row r="20" spans="1:18" s="19" customFormat="1" ht="15" customHeight="1">
      <c r="A20" s="84"/>
      <c r="B20" s="85"/>
      <c r="C20" s="85"/>
      <c r="D20" s="92" t="s">
        <v>19</v>
      </c>
      <c r="E20" s="93"/>
      <c r="F20" s="94" t="s">
        <v>10</v>
      </c>
      <c r="G20" s="95"/>
      <c r="H20" s="95" t="s">
        <v>11</v>
      </c>
      <c r="I20" s="95"/>
      <c r="J20" s="96"/>
      <c r="K20" s="94" t="s">
        <v>10</v>
      </c>
      <c r="L20" s="95"/>
      <c r="M20" s="21" t="s">
        <v>11</v>
      </c>
      <c r="N20" s="94" t="s">
        <v>10</v>
      </c>
      <c r="O20" s="95"/>
      <c r="P20" s="95" t="s">
        <v>11</v>
      </c>
      <c r="Q20" s="96"/>
      <c r="R20" s="22" t="s">
        <v>12</v>
      </c>
    </row>
    <row r="21" spans="1:18" s="19" customFormat="1" ht="15">
      <c r="A21" s="97">
        <v>1</v>
      </c>
      <c r="B21" s="98"/>
      <c r="C21" s="98"/>
      <c r="D21" s="99">
        <v>1133</v>
      </c>
      <c r="E21" s="100"/>
      <c r="F21" s="101">
        <v>1134</v>
      </c>
      <c r="G21" s="99"/>
      <c r="H21" s="99">
        <v>1506</v>
      </c>
      <c r="I21" s="99"/>
      <c r="J21" s="100"/>
      <c r="K21" s="101">
        <v>1507</v>
      </c>
      <c r="L21" s="99"/>
      <c r="M21" s="23">
        <v>1891</v>
      </c>
      <c r="N21" s="101">
        <v>1892</v>
      </c>
      <c r="O21" s="99"/>
      <c r="P21" s="99">
        <v>2264</v>
      </c>
      <c r="Q21" s="100"/>
      <c r="R21" s="24">
        <v>2265</v>
      </c>
    </row>
    <row r="22" spans="1:18" s="19" customFormat="1" ht="15">
      <c r="A22" s="102">
        <v>2</v>
      </c>
      <c r="B22" s="103"/>
      <c r="C22" s="103"/>
      <c r="D22" s="99">
        <v>1526</v>
      </c>
      <c r="E22" s="100"/>
      <c r="F22" s="101">
        <v>1527</v>
      </c>
      <c r="G22" s="99"/>
      <c r="H22" s="99">
        <v>2029</v>
      </c>
      <c r="I22" s="99"/>
      <c r="J22" s="100"/>
      <c r="K22" s="101">
        <v>2030</v>
      </c>
      <c r="L22" s="99"/>
      <c r="M22" s="23">
        <v>2548</v>
      </c>
      <c r="N22" s="101">
        <v>2549</v>
      </c>
      <c r="O22" s="99"/>
      <c r="P22" s="99">
        <v>3051</v>
      </c>
      <c r="Q22" s="100"/>
      <c r="R22" s="24">
        <v>3052</v>
      </c>
    </row>
    <row r="23" spans="1:18" s="19" customFormat="1" ht="15">
      <c r="A23" s="97">
        <v>3</v>
      </c>
      <c r="B23" s="98"/>
      <c r="C23" s="98"/>
      <c r="D23" s="99">
        <v>1919</v>
      </c>
      <c r="E23" s="100"/>
      <c r="F23" s="101">
        <v>1920</v>
      </c>
      <c r="G23" s="99"/>
      <c r="H23" s="99">
        <v>2552</v>
      </c>
      <c r="I23" s="99"/>
      <c r="J23" s="100"/>
      <c r="K23" s="101">
        <v>2553</v>
      </c>
      <c r="L23" s="99"/>
      <c r="M23" s="23">
        <v>3205</v>
      </c>
      <c r="N23" s="101">
        <v>3206</v>
      </c>
      <c r="O23" s="99"/>
      <c r="P23" s="99">
        <v>3837</v>
      </c>
      <c r="Q23" s="100"/>
      <c r="R23" s="24">
        <v>3838</v>
      </c>
    </row>
    <row r="24" spans="1:18" s="19" customFormat="1" ht="15">
      <c r="A24" s="102">
        <v>4</v>
      </c>
      <c r="B24" s="103"/>
      <c r="C24" s="103"/>
      <c r="D24" s="99">
        <v>2313</v>
      </c>
      <c r="E24" s="100"/>
      <c r="F24" s="101">
        <v>2314</v>
      </c>
      <c r="G24" s="99"/>
      <c r="H24" s="99">
        <v>3076</v>
      </c>
      <c r="I24" s="99"/>
      <c r="J24" s="100"/>
      <c r="K24" s="101">
        <v>3077</v>
      </c>
      <c r="L24" s="99"/>
      <c r="M24" s="23">
        <v>3862</v>
      </c>
      <c r="N24" s="101">
        <v>3863</v>
      </c>
      <c r="O24" s="99"/>
      <c r="P24" s="99">
        <v>4624</v>
      </c>
      <c r="Q24" s="100"/>
      <c r="R24" s="24">
        <v>4625</v>
      </c>
    </row>
    <row r="25" spans="1:18" s="19" customFormat="1" ht="15">
      <c r="A25" s="97">
        <v>5</v>
      </c>
      <c r="B25" s="98"/>
      <c r="C25" s="98"/>
      <c r="D25" s="99">
        <v>2706</v>
      </c>
      <c r="E25" s="100"/>
      <c r="F25" s="101">
        <v>2707</v>
      </c>
      <c r="G25" s="99"/>
      <c r="H25" s="99">
        <v>3599</v>
      </c>
      <c r="I25" s="99"/>
      <c r="J25" s="100"/>
      <c r="K25" s="101">
        <v>3600</v>
      </c>
      <c r="L25" s="99"/>
      <c r="M25" s="23">
        <v>4519</v>
      </c>
      <c r="N25" s="101">
        <v>4520</v>
      </c>
      <c r="O25" s="99"/>
      <c r="P25" s="99">
        <v>5411</v>
      </c>
      <c r="Q25" s="100"/>
      <c r="R25" s="24">
        <v>5412</v>
      </c>
    </row>
    <row r="26" spans="1:18" s="19" customFormat="1" ht="15">
      <c r="A26" s="102">
        <v>6</v>
      </c>
      <c r="B26" s="103"/>
      <c r="C26" s="103"/>
      <c r="D26" s="99">
        <v>3099</v>
      </c>
      <c r="E26" s="100"/>
      <c r="F26" s="101">
        <v>3100</v>
      </c>
      <c r="G26" s="99"/>
      <c r="H26" s="99">
        <v>4122</v>
      </c>
      <c r="I26" s="99"/>
      <c r="J26" s="100"/>
      <c r="K26" s="101">
        <v>4123</v>
      </c>
      <c r="L26" s="99"/>
      <c r="M26" s="23">
        <v>5176</v>
      </c>
      <c r="N26" s="101">
        <v>5177</v>
      </c>
      <c r="O26" s="99"/>
      <c r="P26" s="99">
        <v>6197</v>
      </c>
      <c r="Q26" s="100"/>
      <c r="R26" s="24">
        <v>6198</v>
      </c>
    </row>
    <row r="27" spans="1:18" s="19" customFormat="1" ht="15">
      <c r="A27" s="97">
        <v>7</v>
      </c>
      <c r="B27" s="98"/>
      <c r="C27" s="98"/>
      <c r="D27" s="99">
        <v>3493</v>
      </c>
      <c r="E27" s="100"/>
      <c r="F27" s="101">
        <v>3494</v>
      </c>
      <c r="G27" s="99"/>
      <c r="H27" s="99">
        <v>4645</v>
      </c>
      <c r="I27" s="99"/>
      <c r="J27" s="100"/>
      <c r="K27" s="101">
        <v>4646</v>
      </c>
      <c r="L27" s="99"/>
      <c r="M27" s="23">
        <v>5832</v>
      </c>
      <c r="N27" s="101">
        <v>5833</v>
      </c>
      <c r="O27" s="99"/>
      <c r="P27" s="99">
        <v>6984</v>
      </c>
      <c r="Q27" s="100"/>
      <c r="R27" s="24">
        <v>6985</v>
      </c>
    </row>
    <row r="28" spans="1:18" s="19" customFormat="1" ht="15">
      <c r="A28" s="102">
        <v>8</v>
      </c>
      <c r="B28" s="103"/>
      <c r="C28" s="103"/>
      <c r="D28" s="99">
        <v>3886</v>
      </c>
      <c r="E28" s="100"/>
      <c r="F28" s="101">
        <v>3887</v>
      </c>
      <c r="G28" s="99"/>
      <c r="H28" s="99">
        <v>5168</v>
      </c>
      <c r="I28" s="99"/>
      <c r="J28" s="100"/>
      <c r="K28" s="101">
        <v>5169</v>
      </c>
      <c r="L28" s="99"/>
      <c r="M28" s="23">
        <v>6489</v>
      </c>
      <c r="N28" s="101">
        <v>6490</v>
      </c>
      <c r="O28" s="99"/>
      <c r="P28" s="99">
        <v>7771</v>
      </c>
      <c r="Q28" s="100"/>
      <c r="R28" s="24">
        <v>7772</v>
      </c>
    </row>
    <row r="29" spans="1:18" s="19" customFormat="1" ht="15">
      <c r="A29" s="97">
        <v>9</v>
      </c>
      <c r="B29" s="98"/>
      <c r="C29" s="98"/>
      <c r="D29" s="99">
        <v>4279</v>
      </c>
      <c r="E29" s="100"/>
      <c r="F29" s="101">
        <v>4280</v>
      </c>
      <c r="G29" s="99"/>
      <c r="H29" s="99">
        <v>5691</v>
      </c>
      <c r="I29" s="99"/>
      <c r="J29" s="100"/>
      <c r="K29" s="101">
        <v>5692</v>
      </c>
      <c r="L29" s="99"/>
      <c r="M29" s="23">
        <v>7146</v>
      </c>
      <c r="N29" s="101">
        <v>7147</v>
      </c>
      <c r="O29" s="99"/>
      <c r="P29" s="99">
        <v>8557</v>
      </c>
      <c r="Q29" s="100"/>
      <c r="R29" s="24">
        <v>8558</v>
      </c>
    </row>
    <row r="30" spans="1:18" s="19" customFormat="1" ht="15">
      <c r="A30" s="115" t="s">
        <v>13</v>
      </c>
      <c r="B30" s="92"/>
      <c r="C30" s="92"/>
      <c r="D30" s="99">
        <v>4673</v>
      </c>
      <c r="E30" s="100"/>
      <c r="F30" s="116">
        <v>4674</v>
      </c>
      <c r="G30" s="104"/>
      <c r="H30" s="104">
        <v>6214</v>
      </c>
      <c r="I30" s="104"/>
      <c r="J30" s="105"/>
      <c r="K30" s="116">
        <v>6215</v>
      </c>
      <c r="L30" s="104"/>
      <c r="M30" s="25">
        <v>7803</v>
      </c>
      <c r="N30" s="116">
        <v>7804</v>
      </c>
      <c r="O30" s="104"/>
      <c r="P30" s="104">
        <v>9344</v>
      </c>
      <c r="Q30" s="105"/>
      <c r="R30" s="24">
        <v>9345</v>
      </c>
    </row>
    <row r="31" spans="1:18" s="19" customFormat="1" ht="12.75">
      <c r="A31" s="131" t="s">
        <v>51</v>
      </c>
      <c r="B31" s="132"/>
      <c r="C31" s="132"/>
      <c r="D31" s="132"/>
      <c r="E31" s="132"/>
      <c r="F31" s="132"/>
      <c r="G31" s="132"/>
      <c r="H31" s="132"/>
      <c r="I31" s="132"/>
      <c r="J31" s="132"/>
      <c r="K31" s="132"/>
      <c r="L31" s="132"/>
      <c r="M31" s="132"/>
      <c r="N31" s="132"/>
      <c r="O31" s="132"/>
      <c r="P31" s="132"/>
      <c r="Q31" s="132"/>
      <c r="R31" s="133"/>
    </row>
    <row r="32" spans="1:18" s="19" customFormat="1" ht="12.75">
      <c r="A32" s="134" t="s">
        <v>52</v>
      </c>
      <c r="B32" s="134"/>
      <c r="C32" s="134"/>
      <c r="D32" s="134"/>
      <c r="E32" s="134"/>
      <c r="F32" s="134"/>
      <c r="G32" s="134"/>
      <c r="H32" s="134"/>
      <c r="I32" s="134"/>
      <c r="J32" s="134"/>
      <c r="K32" s="134"/>
      <c r="L32" s="134"/>
      <c r="M32" s="26"/>
      <c r="N32" s="134" t="s">
        <v>23</v>
      </c>
      <c r="O32" s="134"/>
      <c r="P32" s="134"/>
      <c r="Q32" s="134"/>
      <c r="R32" s="134"/>
    </row>
    <row r="33" spans="1:23" ht="15.75">
      <c r="A33" s="13"/>
      <c r="B33" s="14"/>
      <c r="C33" s="14"/>
      <c r="D33" s="14"/>
      <c r="E33" s="17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</row>
    <row r="34" spans="1:23" ht="15.6">
      <c r="A34" s="13"/>
      <c r="B34" s="14"/>
      <c r="C34" s="14"/>
      <c r="D34" s="14"/>
      <c r="E34" s="17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</row>
    <row r="35" spans="1:23" ht="15.6">
      <c r="A35" s="13"/>
      <c r="B35" s="14"/>
      <c r="C35" s="14"/>
      <c r="D35" s="14"/>
      <c r="E35" s="17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</row>
    <row r="36" spans="1:23" ht="15.6">
      <c r="A36" s="13"/>
      <c r="B36" s="14"/>
      <c r="C36" s="14"/>
      <c r="D36" s="14"/>
      <c r="E36" s="17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</row>
    <row r="37" spans="1:23" ht="15.6">
      <c r="A37" s="13"/>
      <c r="B37" s="14"/>
      <c r="C37" s="14"/>
      <c r="D37" s="14"/>
      <c r="E37" s="17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</row>
    <row r="38" spans="1:23" ht="15.6">
      <c r="A38" s="15"/>
      <c r="B38" s="16"/>
      <c r="C38" s="16"/>
      <c r="D38" s="16"/>
      <c r="E38" s="18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</row>
    <row r="41" spans="1:23" ht="15.6">
      <c r="A41" s="5"/>
      <c r="B41" s="1"/>
      <c r="C41" s="1"/>
      <c r="D41" s="1"/>
      <c r="E41" s="1"/>
      <c r="F41" s="2"/>
      <c r="G41" s="2"/>
      <c r="H41" s="1"/>
      <c r="I41" s="1"/>
      <c r="J41" s="1"/>
      <c r="K41" s="1"/>
      <c r="L41" s="1"/>
      <c r="M41" s="1"/>
      <c r="N41" s="1"/>
      <c r="O41" s="1"/>
      <c r="P41" s="1"/>
    </row>
    <row r="42" spans="1:23" ht="18">
      <c r="A42" s="3"/>
      <c r="B42" s="1"/>
      <c r="C42" s="1"/>
      <c r="D42" s="1"/>
      <c r="E42" s="1"/>
      <c r="F42" s="1"/>
      <c r="G42" s="2"/>
      <c r="H42" s="4"/>
      <c r="I42" s="1"/>
      <c r="J42" s="1"/>
      <c r="K42" s="2"/>
      <c r="L42" s="2"/>
      <c r="M42" s="1"/>
      <c r="N42" s="1"/>
      <c r="O42" s="1"/>
      <c r="P42" s="1"/>
      <c r="Q42" s="1"/>
      <c r="R42" s="1"/>
      <c r="S42" s="1"/>
      <c r="T42" s="1"/>
      <c r="U42" s="1"/>
    </row>
    <row r="43" spans="1:23" ht="15.6">
      <c r="A43" s="6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8"/>
    </row>
    <row r="44" spans="1:23" ht="15.6">
      <c r="A44" s="9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8"/>
    </row>
    <row r="45" spans="1:23" ht="15.6">
      <c r="A45" s="9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8"/>
    </row>
    <row r="46" spans="1:23" ht="15.6">
      <c r="A46" s="9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8"/>
    </row>
    <row r="47" spans="1:23" ht="15.6">
      <c r="A47" s="9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8"/>
    </row>
    <row r="48" spans="1:23" ht="15.6">
      <c r="A48" s="9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8"/>
    </row>
    <row r="49" spans="1:23" ht="15.6">
      <c r="A49" s="9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8"/>
    </row>
    <row r="50" spans="1:23" ht="15.6">
      <c r="A50" s="9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8"/>
    </row>
    <row r="51" spans="1:23" ht="15.6">
      <c r="A51" s="9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8"/>
    </row>
    <row r="52" spans="1:23" ht="15.6">
      <c r="A52" s="9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8"/>
    </row>
    <row r="53" spans="1:23" ht="15.6">
      <c r="A53" s="9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8"/>
    </row>
    <row r="54" spans="1:23" ht="15.6">
      <c r="A54" s="9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8"/>
    </row>
    <row r="55" spans="1:23" ht="15.6">
      <c r="A55" s="9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8"/>
    </row>
    <row r="56" spans="1:23" ht="15.6">
      <c r="A56" s="9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8"/>
    </row>
    <row r="57" spans="1:23" ht="15.6">
      <c r="A57" s="9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8"/>
    </row>
    <row r="58" spans="1:23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8"/>
    </row>
    <row r="59" spans="1:23" ht="18">
      <c r="A59" s="9"/>
      <c r="B59" s="11"/>
      <c r="C59" s="11"/>
      <c r="D59" s="11"/>
      <c r="E59" s="11"/>
      <c r="F59" s="11"/>
      <c r="G59" s="11"/>
      <c r="H59" s="12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8"/>
      <c r="W59" s="8"/>
    </row>
    <row r="60" spans="1:23" ht="15.6">
      <c r="A60" s="6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8"/>
    </row>
    <row r="61" spans="1:23" ht="15.6">
      <c r="A61" s="9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8"/>
    </row>
    <row r="62" spans="1:23" ht="15.6">
      <c r="A62" s="9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8"/>
    </row>
    <row r="63" spans="1:23" ht="15.6">
      <c r="A63" s="9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8"/>
    </row>
    <row r="64" spans="1:23" ht="15.6">
      <c r="A64" s="9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8"/>
    </row>
    <row r="65" spans="1:23" ht="15.6">
      <c r="A65" s="9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8"/>
    </row>
    <row r="66" spans="1:23" ht="15.6">
      <c r="A66" s="9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8"/>
    </row>
    <row r="67" spans="1:23" ht="15.6">
      <c r="A67" s="9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8"/>
    </row>
    <row r="68" spans="1:23" ht="15.6">
      <c r="A68" s="9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8"/>
    </row>
    <row r="69" spans="1:23" ht="15.6">
      <c r="A69" s="9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8"/>
    </row>
    <row r="70" spans="1:23" ht="15.6">
      <c r="A70" s="9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8"/>
    </row>
    <row r="71" spans="1:23" ht="15.6">
      <c r="A71" s="9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8"/>
    </row>
    <row r="72" spans="1:23" ht="15.6">
      <c r="A72" s="9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8"/>
    </row>
    <row r="73" spans="1:23" ht="15.6">
      <c r="A73" s="9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8"/>
    </row>
    <row r="74" spans="1:23" ht="15.6">
      <c r="A74" s="9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8"/>
    </row>
    <row r="75" spans="1:23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</row>
    <row r="76" spans="1:23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</row>
    <row r="77" spans="1:23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</row>
    <row r="78" spans="1:23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</row>
    <row r="79" spans="1:23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</row>
    <row r="80" spans="1:23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</row>
    <row r="81" spans="1:23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</row>
    <row r="82" spans="1:23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</row>
    <row r="83" spans="1:2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</row>
    <row r="84" spans="1:23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</row>
    <row r="85" spans="1:23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</row>
    <row r="86" spans="1:23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</row>
    <row r="87" spans="1:23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</row>
  </sheetData>
  <mergeCells count="171">
    <mergeCell ref="A1:R1"/>
    <mergeCell ref="A2:R2"/>
    <mergeCell ref="A3:C4"/>
    <mergeCell ref="D3:E3"/>
    <mergeCell ref="F3:J3"/>
    <mergeCell ref="K3:M3"/>
    <mergeCell ref="D4:E4"/>
    <mergeCell ref="F4:G4"/>
    <mergeCell ref="H4:J4"/>
    <mergeCell ref="N3:P3"/>
    <mergeCell ref="K4:L4"/>
    <mergeCell ref="N4:O4"/>
    <mergeCell ref="P4:Q4"/>
    <mergeCell ref="A5:C5"/>
    <mergeCell ref="D5:E5"/>
    <mergeCell ref="F5:G5"/>
    <mergeCell ref="H5:J5"/>
    <mergeCell ref="K5:L5"/>
    <mergeCell ref="N5:O5"/>
    <mergeCell ref="P5:Q5"/>
    <mergeCell ref="P6:Q6"/>
    <mergeCell ref="A7:C7"/>
    <mergeCell ref="D7:E7"/>
    <mergeCell ref="F7:G7"/>
    <mergeCell ref="H7:J7"/>
    <mergeCell ref="K7:L7"/>
    <mergeCell ref="N7:O7"/>
    <mergeCell ref="P7:Q7"/>
    <mergeCell ref="A6:C6"/>
    <mergeCell ref="D6:E6"/>
    <mergeCell ref="F6:G6"/>
    <mergeCell ref="H6:J6"/>
    <mergeCell ref="K6:L6"/>
    <mergeCell ref="N6:O6"/>
    <mergeCell ref="P8:Q8"/>
    <mergeCell ref="A9:C9"/>
    <mergeCell ref="D9:E9"/>
    <mergeCell ref="F9:G9"/>
    <mergeCell ref="H9:J9"/>
    <mergeCell ref="K9:L9"/>
    <mergeCell ref="N9:O9"/>
    <mergeCell ref="P9:Q9"/>
    <mergeCell ref="A8:C8"/>
    <mergeCell ref="D8:E8"/>
    <mergeCell ref="F8:G8"/>
    <mergeCell ref="H8:J8"/>
    <mergeCell ref="K8:L8"/>
    <mergeCell ref="N8:O8"/>
    <mergeCell ref="P10:Q10"/>
    <mergeCell ref="A11:C11"/>
    <mergeCell ref="D11:E11"/>
    <mergeCell ref="F11:G11"/>
    <mergeCell ref="H11:J11"/>
    <mergeCell ref="K11:L11"/>
    <mergeCell ref="N11:O11"/>
    <mergeCell ref="P11:Q11"/>
    <mergeCell ref="A10:C10"/>
    <mergeCell ref="D10:E10"/>
    <mergeCell ref="F10:G10"/>
    <mergeCell ref="H10:J10"/>
    <mergeCell ref="K10:L10"/>
    <mergeCell ref="N10:O10"/>
    <mergeCell ref="P12:Q12"/>
    <mergeCell ref="A13:C13"/>
    <mergeCell ref="D13:E13"/>
    <mergeCell ref="F13:G13"/>
    <mergeCell ref="H13:J13"/>
    <mergeCell ref="K13:L13"/>
    <mergeCell ref="N13:O13"/>
    <mergeCell ref="P13:Q13"/>
    <mergeCell ref="A12:C12"/>
    <mergeCell ref="D12:E12"/>
    <mergeCell ref="F12:G12"/>
    <mergeCell ref="H12:J12"/>
    <mergeCell ref="K12:L12"/>
    <mergeCell ref="N12:O12"/>
    <mergeCell ref="D20:E20"/>
    <mergeCell ref="F20:G20"/>
    <mergeCell ref="H20:J20"/>
    <mergeCell ref="K20:L20"/>
    <mergeCell ref="N20:O20"/>
    <mergeCell ref="P20:Q20"/>
    <mergeCell ref="P14:Q14"/>
    <mergeCell ref="A15:R15"/>
    <mergeCell ref="A16:R16"/>
    <mergeCell ref="A17:R17"/>
    <mergeCell ref="A18:R18"/>
    <mergeCell ref="A19:C20"/>
    <mergeCell ref="D19:E19"/>
    <mergeCell ref="F19:J19"/>
    <mergeCell ref="K19:M19"/>
    <mergeCell ref="N19:Q19"/>
    <mergeCell ref="A14:C14"/>
    <mergeCell ref="D14:E14"/>
    <mergeCell ref="F14:G14"/>
    <mergeCell ref="H14:J14"/>
    <mergeCell ref="K14:L14"/>
    <mergeCell ref="N14:O14"/>
    <mergeCell ref="P21:Q21"/>
    <mergeCell ref="A22:C22"/>
    <mergeCell ref="D22:E22"/>
    <mergeCell ref="F22:G22"/>
    <mergeCell ref="H22:J22"/>
    <mergeCell ref="K22:L22"/>
    <mergeCell ref="N22:O22"/>
    <mergeCell ref="P22:Q22"/>
    <mergeCell ref="A21:C21"/>
    <mergeCell ref="D21:E21"/>
    <mergeCell ref="F21:G21"/>
    <mergeCell ref="H21:J21"/>
    <mergeCell ref="K21:L21"/>
    <mergeCell ref="N21:O21"/>
    <mergeCell ref="P23:Q23"/>
    <mergeCell ref="A24:C24"/>
    <mergeCell ref="D24:E24"/>
    <mergeCell ref="F24:G24"/>
    <mergeCell ref="H24:J24"/>
    <mergeCell ref="K24:L24"/>
    <mergeCell ref="N24:O24"/>
    <mergeCell ref="P24:Q24"/>
    <mergeCell ref="A23:C23"/>
    <mergeCell ref="D23:E23"/>
    <mergeCell ref="F23:G23"/>
    <mergeCell ref="H23:J23"/>
    <mergeCell ref="K23:L23"/>
    <mergeCell ref="N23:O23"/>
    <mergeCell ref="P25:Q25"/>
    <mergeCell ref="A26:C26"/>
    <mergeCell ref="D26:E26"/>
    <mergeCell ref="F26:G26"/>
    <mergeCell ref="H26:J26"/>
    <mergeCell ref="K26:L26"/>
    <mergeCell ref="N26:O26"/>
    <mergeCell ref="P26:Q26"/>
    <mergeCell ref="A25:C25"/>
    <mergeCell ref="D25:E25"/>
    <mergeCell ref="F25:G25"/>
    <mergeCell ref="H25:J25"/>
    <mergeCell ref="K25:L25"/>
    <mergeCell ref="N25:O25"/>
    <mergeCell ref="P27:Q27"/>
    <mergeCell ref="A28:C28"/>
    <mergeCell ref="D28:E28"/>
    <mergeCell ref="F28:G28"/>
    <mergeCell ref="H28:J28"/>
    <mergeCell ref="K28:L28"/>
    <mergeCell ref="N28:O28"/>
    <mergeCell ref="P28:Q28"/>
    <mergeCell ref="A27:C27"/>
    <mergeCell ref="D27:E27"/>
    <mergeCell ref="F27:G27"/>
    <mergeCell ref="H27:J27"/>
    <mergeCell ref="K27:L27"/>
    <mergeCell ref="N27:O27"/>
    <mergeCell ref="A31:R31"/>
    <mergeCell ref="A32:L32"/>
    <mergeCell ref="N32:R32"/>
    <mergeCell ref="P29:Q29"/>
    <mergeCell ref="A30:C30"/>
    <mergeCell ref="D30:E30"/>
    <mergeCell ref="F30:G30"/>
    <mergeCell ref="H30:J30"/>
    <mergeCell ref="K30:L30"/>
    <mergeCell ref="N30:O30"/>
    <mergeCell ref="P30:Q30"/>
    <mergeCell ref="A29:C29"/>
    <mergeCell ref="D29:E29"/>
    <mergeCell ref="F29:G29"/>
    <mergeCell ref="H29:J29"/>
    <mergeCell ref="K29:L29"/>
    <mergeCell ref="N29:O29"/>
  </mergeCells>
  <phoneticPr fontId="0" type="noConversion"/>
  <hyperlinks>
    <hyperlink ref="N32" r:id="rId1" display="https://aspe.hhs.gov/topics/poverty-economic-mobility/poverty-guidelines" xr:uid="{00000000-0004-0000-0000-000000000000}"/>
  </hyperlinks>
  <pageMargins left="0.75" right="0.75" top="1" bottom="1" header="0.5" footer="0.5"/>
  <pageSetup scale="52" orientation="portrait" horizontalDpi="300" verticalDpi="300" r:id="rId2"/>
  <headerFooter alignWithMargins="0"/>
  <colBreaks count="1" manualBreakCount="1">
    <brk id="18" max="1048575" man="1"/>
  </colBreaks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21bda533-2916-4607-8f50-9d267141cfdf">
      <UserInfo>
        <DisplayName>Alexa D. Brochis</DisplayName>
        <AccountId>24</AccountId>
        <AccountType/>
      </UserInfo>
      <UserInfo>
        <DisplayName>Meridith Goldsby</DisplayName>
        <AccountId>2370</AccountId>
        <AccountType/>
      </UserInfo>
    </SharedWithUsers>
  </documentManagement>
</p:properti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BF569A279EEA419A9D755EF19A9253" ma:contentTypeVersion="8" ma:contentTypeDescription="Create a new document." ma:contentTypeScope="" ma:versionID="d7d33ad6439748224b80b5959b54c86d">
  <xsd:schema xmlns:xsd="http://www.w3.org/2001/XMLSchema" xmlns:xs="http://www.w3.org/2001/XMLSchema" xmlns:p="http://schemas.microsoft.com/office/2006/metadata/properties" xmlns:ns2="f56fb03b-639e-43b2-957d-20eec20bd70b" xmlns:ns3="21bda533-2916-4607-8f50-9d267141cfdf" targetNamespace="http://schemas.microsoft.com/office/2006/metadata/properties" ma:root="true" ma:fieldsID="621c9f6041c9274dbafcb1d3776d7c9d" ns2:_="" ns3:_="">
    <xsd:import namespace="f56fb03b-639e-43b2-957d-20eec20bd70b"/>
    <xsd:import namespace="21bda533-2916-4607-8f50-9d267141cf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6fb03b-639e-43b2-957d-20eec20bd7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bda533-2916-4607-8f50-9d267141cfd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7AAC27C-528D-41CE-9B31-565B18796A9D}"/>
</file>

<file path=customXml/itemProps2.xml><?xml version="1.0" encoding="utf-8"?>
<ds:datastoreItem xmlns:ds="http://schemas.openxmlformats.org/officeDocument/2006/customXml" ds:itemID="{F762044F-6CA0-443D-9924-9AF09BEE3107}"/>
</file>

<file path=customXml/itemProps3.xml><?xml version="1.0" encoding="utf-8"?>
<ds:datastoreItem xmlns:ds="http://schemas.openxmlformats.org/officeDocument/2006/customXml" ds:itemID="{094EDC9C-6B23-4290-AB5A-5F7A760B64BC}"/>
</file>

<file path=customXml/itemProps4.xml><?xml version="1.0" encoding="utf-8"?>
<ds:datastoreItem xmlns:ds="http://schemas.openxmlformats.org/officeDocument/2006/customXml" ds:itemID="{65A0DC2A-E40C-4418-A6AC-A0AD52333C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Sliding Fee Scale</dc:title>
  <dc:subject/>
  <dc:creator>gpawson</dc:creator>
  <cp:keywords/>
  <dc:description/>
  <cp:lastModifiedBy>Kiera Evans</cp:lastModifiedBy>
  <cp:revision/>
  <dcterms:created xsi:type="dcterms:W3CDTF">2004-08-04T18:11:05Z</dcterms:created>
  <dcterms:modified xsi:type="dcterms:W3CDTF">2026-08-21T15:51:58Z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  <property fmtid="{D5CDD505-2E9C-101B-9397-08002B2CF9AE}" pid="3" name="_dlc_DocId">
    <vt:lpwstr>THH5RWHRFDPS-115-9</vt:lpwstr>
  </property>
  <property fmtid="{D5CDD505-2E9C-101B-9397-08002B2CF9AE}" pid="4" name="_dlc_DocIdItemGuid">
    <vt:lpwstr>c03a3248-3dca-4b67-baf4-7145c78a02ff</vt:lpwstr>
  </property>
  <property fmtid="{D5CDD505-2E9C-101B-9397-08002B2CF9AE}" pid="5" name="_dlc_DocIdUrl">
    <vt:lpwstr>http://whaiis01/PSA/_layouts/DocIdRedir.aspx?ID=THH5RWHRFDPS-115-9, THH5RWHRFDPS-115-9</vt:lpwstr>
  </property>
  <property fmtid="{D5CDD505-2E9C-101B-9397-08002B2CF9AE}" pid="6" name="ContentTypeId">
    <vt:lpwstr>0x010100E8BF569A279EEA419A9D755EF19A9253</vt:lpwstr>
  </property>
  <property fmtid="{D5CDD505-2E9C-101B-9397-08002B2CF9AE}" pid="7" name="IconOverlay">
    <vt:lpwstr/>
  </property>
  <property fmtid="{D5CDD505-2E9C-101B-9397-08002B2CF9AE}" pid="8" name="AuthorIds_UIVersion_4096">
    <vt:lpwstr>62</vt:lpwstr>
  </property>
</Properties>
</file>