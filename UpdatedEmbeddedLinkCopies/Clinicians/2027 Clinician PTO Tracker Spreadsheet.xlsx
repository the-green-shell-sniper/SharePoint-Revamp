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hallc.sharepoint.com/Clinicians/Clinician PTO/"/>
    </mc:Choice>
  </mc:AlternateContent>
  <xr:revisionPtr revIDLastSave="318" documentId="13_ncr:1_{F3BDD6FC-D3DF-46C9-9F3A-B23068EB0C85}" xr6:coauthVersionLast="47" xr6:coauthVersionMax="47" xr10:uidLastSave="{B9FC4607-FD14-475C-A8D0-504A1FC9A5B8}"/>
  <bookViews>
    <workbookView xWindow="-100" yWindow="-100" windowWidth="21467" windowHeight="12772" firstSheet="11" activeTab="11" xr2:uid="{00000000-000D-0000-FFFF-FFFF00000000}"/>
  </bookViews>
  <sheets>
    <sheet name="PTO SUMMARY 2027" sheetId="2" r:id="rId1"/>
    <sheet name="December 2027" sheetId="3" r:id="rId2"/>
    <sheet name="November 2027" sheetId="28" r:id="rId3"/>
    <sheet name="October 2027" sheetId="27" r:id="rId4"/>
    <sheet name="September 2027" sheetId="26" r:id="rId5"/>
    <sheet name="August 2027" sheetId="25" r:id="rId6"/>
    <sheet name="July 2027" sheetId="24" r:id="rId7"/>
    <sheet name="June 2027" sheetId="23" r:id="rId8"/>
    <sheet name="May 2027" sheetId="22" r:id="rId9"/>
    <sheet name="April 2027" sheetId="21" r:id="rId10"/>
    <sheet name="March 2027" sheetId="20" r:id="rId11"/>
    <sheet name="February 2027" sheetId="19" r:id="rId12"/>
    <sheet name="January 2027" sheetId="18" r:id="rId13"/>
    <sheet name="Paycom Upload Template" sheetId="15" r:id="rId14"/>
    <sheet name="Accrual Rates" sheetId="16" r:id="rId15"/>
  </sheets>
  <definedNames>
    <definedName name="_xlnm._FilterDatabase" localSheetId="14" hidden="1">'Accrual Rates'!$A$1:$G$121</definedName>
    <definedName name="_xlnm._FilterDatabase" localSheetId="9" hidden="1">'April 2027'!$A$2:$AL$2</definedName>
    <definedName name="_xlnm._FilterDatabase" localSheetId="5" hidden="1">'August 2027'!$A$2:$AL$2</definedName>
    <definedName name="_xlnm._FilterDatabase" localSheetId="1" hidden="1">'December 2027'!$A$2:$AL$2</definedName>
    <definedName name="_xlnm._FilterDatabase" localSheetId="11" hidden="1">'February 2027'!$A$2:$AL$2</definedName>
    <definedName name="_xlnm._FilterDatabase" localSheetId="12" hidden="1">'January 2027'!$A$2:$AL$2</definedName>
    <definedName name="_xlnm._FilterDatabase" localSheetId="6" hidden="1">'July 2027'!$A$2:$AL$2</definedName>
    <definedName name="_xlnm._FilterDatabase" localSheetId="7" hidden="1">'June 2027'!$A$2:$AL$2</definedName>
    <definedName name="_xlnm._FilterDatabase" localSheetId="10" hidden="1">'March 2027'!$A$2:$AL$2</definedName>
    <definedName name="_xlnm._FilterDatabase" localSheetId="8" hidden="1">'May 2027'!$A$2:$AL$2</definedName>
    <definedName name="_xlnm._FilterDatabase" localSheetId="2" hidden="1">'November 2027'!$A$2:$AL$2</definedName>
    <definedName name="_xlnm._FilterDatabase" localSheetId="3" hidden="1">'October 2027'!$A$2:$AL$2</definedName>
    <definedName name="_xlnm._FilterDatabase" localSheetId="13" hidden="1">'Paycom Upload Template'!$A$10:$F$10</definedName>
    <definedName name="_xlnm._FilterDatabase" localSheetId="0" hidden="1">'PTO SUMMARY 2027'!$A$2:$CN$125</definedName>
    <definedName name="_xlnm._FilterDatabase" localSheetId="4" hidden="1">'September 2027'!$A$2:$AL$2</definedName>
    <definedName name="Z_0363999C_A586_4C5E_9805_BE3DC3FAC311_.wvu.FilterData" localSheetId="9" hidden="1">'April 2027'!$D$1:$D$37</definedName>
    <definedName name="Z_0363999C_A586_4C5E_9805_BE3DC3FAC311_.wvu.FilterData" localSheetId="5" hidden="1">'August 2027'!$D$1:$D$37</definedName>
    <definedName name="Z_0363999C_A586_4C5E_9805_BE3DC3FAC311_.wvu.FilterData" localSheetId="1" hidden="1">'December 2027'!$D$1:$D$37</definedName>
    <definedName name="Z_0363999C_A586_4C5E_9805_BE3DC3FAC311_.wvu.FilterData" localSheetId="11" hidden="1">'February 2027'!$D$1:$D$37</definedName>
    <definedName name="Z_0363999C_A586_4C5E_9805_BE3DC3FAC311_.wvu.FilterData" localSheetId="12" hidden="1">'January 2027'!$D$1:$D$37</definedName>
    <definedName name="Z_0363999C_A586_4C5E_9805_BE3DC3FAC311_.wvu.FilterData" localSheetId="6" hidden="1">'July 2027'!$D$1:$D$37</definedName>
    <definedName name="Z_0363999C_A586_4C5E_9805_BE3DC3FAC311_.wvu.FilterData" localSheetId="7" hidden="1">'June 2027'!$D$1:$D$37</definedName>
    <definedName name="Z_0363999C_A586_4C5E_9805_BE3DC3FAC311_.wvu.FilterData" localSheetId="10" hidden="1">'March 2027'!$D$1:$D$37</definedName>
    <definedName name="Z_0363999C_A586_4C5E_9805_BE3DC3FAC311_.wvu.FilterData" localSheetId="8" hidden="1">'May 2027'!$D$1:$D$37</definedName>
    <definedName name="Z_0363999C_A586_4C5E_9805_BE3DC3FAC311_.wvu.FilterData" localSheetId="2" hidden="1">'November 2027'!$D$1:$D$37</definedName>
    <definedName name="Z_0363999C_A586_4C5E_9805_BE3DC3FAC311_.wvu.FilterData" localSheetId="3" hidden="1">'October 2027'!$D$1:$D$37</definedName>
    <definedName name="Z_0363999C_A586_4C5E_9805_BE3DC3FAC311_.wvu.FilterData" localSheetId="4" hidden="1">'September 2027'!$D$1:$D$37</definedName>
    <definedName name="Z_03907682_A7C5_4712_BF92_D6D05FBE4F52_.wvu.FilterData" localSheetId="9" hidden="1">'April 2027'!$D$1:$D$88</definedName>
    <definedName name="Z_03907682_A7C5_4712_BF92_D6D05FBE4F52_.wvu.FilterData" localSheetId="5" hidden="1">'August 2027'!$D$1:$D$88</definedName>
    <definedName name="Z_03907682_A7C5_4712_BF92_D6D05FBE4F52_.wvu.FilterData" localSheetId="1" hidden="1">'December 2027'!$D$1:$D$88</definedName>
    <definedName name="Z_03907682_A7C5_4712_BF92_D6D05FBE4F52_.wvu.FilterData" localSheetId="11" hidden="1">'February 2027'!$D$1:$D$88</definedName>
    <definedName name="Z_03907682_A7C5_4712_BF92_D6D05FBE4F52_.wvu.FilterData" localSheetId="12" hidden="1">'January 2027'!$D$1:$D$88</definedName>
    <definedName name="Z_03907682_A7C5_4712_BF92_D6D05FBE4F52_.wvu.FilterData" localSheetId="6" hidden="1">'July 2027'!$D$1:$D$88</definedName>
    <definedName name="Z_03907682_A7C5_4712_BF92_D6D05FBE4F52_.wvu.FilterData" localSheetId="7" hidden="1">'June 2027'!$D$1:$D$88</definedName>
    <definedName name="Z_03907682_A7C5_4712_BF92_D6D05FBE4F52_.wvu.FilterData" localSheetId="10" hidden="1">'March 2027'!$D$1:$D$88</definedName>
    <definedName name="Z_03907682_A7C5_4712_BF92_D6D05FBE4F52_.wvu.FilterData" localSheetId="8" hidden="1">'May 2027'!$D$1:$D$88</definedName>
    <definedName name="Z_03907682_A7C5_4712_BF92_D6D05FBE4F52_.wvu.FilterData" localSheetId="2" hidden="1">'November 2027'!$D$1:$D$88</definedName>
    <definedName name="Z_03907682_A7C5_4712_BF92_D6D05FBE4F52_.wvu.FilterData" localSheetId="3" hidden="1">'October 2027'!$D$1:$D$88</definedName>
    <definedName name="Z_03907682_A7C5_4712_BF92_D6D05FBE4F52_.wvu.FilterData" localSheetId="4" hidden="1">'September 2027'!$D$1:$D$88</definedName>
    <definedName name="Z_06D107DE_2E7E_4F43_A85B_FDC32896D5D1_.wvu.FilterData" localSheetId="0" hidden="1">'PTO SUMMARY 2027'!$A$2:$BH$122</definedName>
    <definedName name="Z_0BD62A12_98A7_410D_B54E_07AA6B74B7AF_.wvu.FilterData" localSheetId="9" hidden="1">'April 2027'!$D$1:$D$88</definedName>
    <definedName name="Z_0BD62A12_98A7_410D_B54E_07AA6B74B7AF_.wvu.FilterData" localSheetId="5" hidden="1">'August 2027'!$D$1:$D$88</definedName>
    <definedName name="Z_0BD62A12_98A7_410D_B54E_07AA6B74B7AF_.wvu.FilterData" localSheetId="1" hidden="1">'December 2027'!$D$1:$D$88</definedName>
    <definedName name="Z_0BD62A12_98A7_410D_B54E_07AA6B74B7AF_.wvu.FilterData" localSheetId="11" hidden="1">'February 2027'!$D$1:$D$88</definedName>
    <definedName name="Z_0BD62A12_98A7_410D_B54E_07AA6B74B7AF_.wvu.FilterData" localSheetId="12" hidden="1">'January 2027'!$D$1:$D$88</definedName>
    <definedName name="Z_0BD62A12_98A7_410D_B54E_07AA6B74B7AF_.wvu.FilterData" localSheetId="6" hidden="1">'July 2027'!$D$1:$D$88</definedName>
    <definedName name="Z_0BD62A12_98A7_410D_B54E_07AA6B74B7AF_.wvu.FilterData" localSheetId="7" hidden="1">'June 2027'!$D$1:$D$88</definedName>
    <definedName name="Z_0BD62A12_98A7_410D_B54E_07AA6B74B7AF_.wvu.FilterData" localSheetId="10" hidden="1">'March 2027'!$D$1:$D$88</definedName>
    <definedName name="Z_0BD62A12_98A7_410D_B54E_07AA6B74B7AF_.wvu.FilterData" localSheetId="8" hidden="1">'May 2027'!$D$1:$D$88</definedName>
    <definedName name="Z_0BD62A12_98A7_410D_B54E_07AA6B74B7AF_.wvu.FilterData" localSheetId="2" hidden="1">'November 2027'!$D$1:$D$88</definedName>
    <definedName name="Z_0BD62A12_98A7_410D_B54E_07AA6B74B7AF_.wvu.FilterData" localSheetId="3" hidden="1">'October 2027'!$D$1:$D$88</definedName>
    <definedName name="Z_0BD62A12_98A7_410D_B54E_07AA6B74B7AF_.wvu.FilterData" localSheetId="4" hidden="1">'September 2027'!$D$1:$D$88</definedName>
    <definedName name="Z_1136AF98_E039_45B8_8F22_6563C8C3653D_.wvu.FilterData" localSheetId="9" hidden="1">'April 2027'!$D$1:$D$88</definedName>
    <definedName name="Z_1136AF98_E039_45B8_8F22_6563C8C3653D_.wvu.FilterData" localSheetId="5" hidden="1">'August 2027'!$D$1:$D$88</definedName>
    <definedName name="Z_1136AF98_E039_45B8_8F22_6563C8C3653D_.wvu.FilterData" localSheetId="1" hidden="1">'December 2027'!$D$1:$D$88</definedName>
    <definedName name="Z_1136AF98_E039_45B8_8F22_6563C8C3653D_.wvu.FilterData" localSheetId="11" hidden="1">'February 2027'!$D$1:$D$88</definedName>
    <definedName name="Z_1136AF98_E039_45B8_8F22_6563C8C3653D_.wvu.FilterData" localSheetId="12" hidden="1">'January 2027'!$D$1:$D$88</definedName>
    <definedName name="Z_1136AF98_E039_45B8_8F22_6563C8C3653D_.wvu.FilterData" localSheetId="6" hidden="1">'July 2027'!$D$1:$D$88</definedName>
    <definedName name="Z_1136AF98_E039_45B8_8F22_6563C8C3653D_.wvu.FilterData" localSheetId="7" hidden="1">'June 2027'!$D$1:$D$88</definedName>
    <definedName name="Z_1136AF98_E039_45B8_8F22_6563C8C3653D_.wvu.FilterData" localSheetId="10" hidden="1">'March 2027'!$D$1:$D$88</definedName>
    <definedName name="Z_1136AF98_E039_45B8_8F22_6563C8C3653D_.wvu.FilterData" localSheetId="8" hidden="1">'May 2027'!$D$1:$D$88</definedName>
    <definedName name="Z_1136AF98_E039_45B8_8F22_6563C8C3653D_.wvu.FilterData" localSheetId="2" hidden="1">'November 2027'!$D$1:$D$88</definedName>
    <definedName name="Z_1136AF98_E039_45B8_8F22_6563C8C3653D_.wvu.FilterData" localSheetId="3" hidden="1">'October 2027'!$D$1:$D$88</definedName>
    <definedName name="Z_1136AF98_E039_45B8_8F22_6563C8C3653D_.wvu.FilterData" localSheetId="4" hidden="1">'September 2027'!$D$1:$D$88</definedName>
    <definedName name="Z_1248E61F_8F6B_4448_A782_5B64C374F7C4_.wvu.FilterData" localSheetId="0" hidden="1">'PTO SUMMARY 2027'!$A$2:$BH$122</definedName>
    <definedName name="Z_1D79330E_847E_4E42_9306_5E8C5176C14F_.wvu.FilterData" localSheetId="9" hidden="1">'April 2027'!$D$1:$D$37</definedName>
    <definedName name="Z_1D79330E_847E_4E42_9306_5E8C5176C14F_.wvu.FilterData" localSheetId="5" hidden="1">'August 2027'!$D$1:$D$37</definedName>
    <definedName name="Z_1D79330E_847E_4E42_9306_5E8C5176C14F_.wvu.FilterData" localSheetId="1" hidden="1">'December 2027'!$D$1:$D$37</definedName>
    <definedName name="Z_1D79330E_847E_4E42_9306_5E8C5176C14F_.wvu.FilterData" localSheetId="11" hidden="1">'February 2027'!$D$1:$D$37</definedName>
    <definedName name="Z_1D79330E_847E_4E42_9306_5E8C5176C14F_.wvu.FilterData" localSheetId="12" hidden="1">'January 2027'!$D$1:$D$37</definedName>
    <definedName name="Z_1D79330E_847E_4E42_9306_5E8C5176C14F_.wvu.FilterData" localSheetId="6" hidden="1">'July 2027'!$D$1:$D$37</definedName>
    <definedName name="Z_1D79330E_847E_4E42_9306_5E8C5176C14F_.wvu.FilterData" localSheetId="7" hidden="1">'June 2027'!$D$1:$D$37</definedName>
    <definedName name="Z_1D79330E_847E_4E42_9306_5E8C5176C14F_.wvu.FilterData" localSheetId="10" hidden="1">'March 2027'!$D$1:$D$37</definedName>
    <definedName name="Z_1D79330E_847E_4E42_9306_5E8C5176C14F_.wvu.FilterData" localSheetId="8" hidden="1">'May 2027'!$D$1:$D$37</definedName>
    <definedName name="Z_1D79330E_847E_4E42_9306_5E8C5176C14F_.wvu.FilterData" localSheetId="2" hidden="1">'November 2027'!$D$1:$D$37</definedName>
    <definedName name="Z_1D79330E_847E_4E42_9306_5E8C5176C14F_.wvu.FilterData" localSheetId="3" hidden="1">'October 2027'!$D$1:$D$37</definedName>
    <definedName name="Z_1D79330E_847E_4E42_9306_5E8C5176C14F_.wvu.FilterData" localSheetId="4" hidden="1">'September 2027'!$D$1:$D$37</definedName>
    <definedName name="Z_21F6CDF8_EFBF_42CE_8895_591CC7F7A670_.wvu.FilterData" localSheetId="0" hidden="1">'PTO SUMMARY 2027'!$A$2:$BH$122</definedName>
    <definedName name="Z_2D613FBA_E6E4_4F89_AC4A_288B50CDE2B2_.wvu.FilterData" localSheetId="9" hidden="1">'April 2027'!$D$1:$D$88</definedName>
    <definedName name="Z_2D613FBA_E6E4_4F89_AC4A_288B50CDE2B2_.wvu.FilterData" localSheetId="5" hidden="1">'August 2027'!$D$1:$D$88</definedName>
    <definedName name="Z_2D613FBA_E6E4_4F89_AC4A_288B50CDE2B2_.wvu.FilterData" localSheetId="1" hidden="1">'December 2027'!$D$1:$D$88</definedName>
    <definedName name="Z_2D613FBA_E6E4_4F89_AC4A_288B50CDE2B2_.wvu.FilterData" localSheetId="11" hidden="1">'February 2027'!$D$1:$D$88</definedName>
    <definedName name="Z_2D613FBA_E6E4_4F89_AC4A_288B50CDE2B2_.wvu.FilterData" localSheetId="12" hidden="1">'January 2027'!$D$1:$D$88</definedName>
    <definedName name="Z_2D613FBA_E6E4_4F89_AC4A_288B50CDE2B2_.wvu.FilterData" localSheetId="6" hidden="1">'July 2027'!$D$1:$D$88</definedName>
    <definedName name="Z_2D613FBA_E6E4_4F89_AC4A_288B50CDE2B2_.wvu.FilterData" localSheetId="7" hidden="1">'June 2027'!$D$1:$D$88</definedName>
    <definedName name="Z_2D613FBA_E6E4_4F89_AC4A_288B50CDE2B2_.wvu.FilterData" localSheetId="10" hidden="1">'March 2027'!$D$1:$D$88</definedName>
    <definedName name="Z_2D613FBA_E6E4_4F89_AC4A_288B50CDE2B2_.wvu.FilterData" localSheetId="8" hidden="1">'May 2027'!$D$1:$D$88</definedName>
    <definedName name="Z_2D613FBA_E6E4_4F89_AC4A_288B50CDE2B2_.wvu.FilterData" localSheetId="2" hidden="1">'November 2027'!$D$1:$D$88</definedName>
    <definedName name="Z_2D613FBA_E6E4_4F89_AC4A_288B50CDE2B2_.wvu.FilterData" localSheetId="3" hidden="1">'October 2027'!$D$1:$D$88</definedName>
    <definedName name="Z_2D613FBA_E6E4_4F89_AC4A_288B50CDE2B2_.wvu.FilterData" localSheetId="4" hidden="1">'September 2027'!$D$1:$D$88</definedName>
    <definedName name="Z_35E35AF4_8351_418D_9460_1D4D0534C818_.wvu.FilterData" localSheetId="9" hidden="1">'April 2027'!$D$1:$D$88</definedName>
    <definedName name="Z_35E35AF4_8351_418D_9460_1D4D0534C818_.wvu.FilterData" localSheetId="5" hidden="1">'August 2027'!$D$1:$D$88</definedName>
    <definedName name="Z_35E35AF4_8351_418D_9460_1D4D0534C818_.wvu.FilterData" localSheetId="1" hidden="1">'December 2027'!$D$1:$D$88</definedName>
    <definedName name="Z_35E35AF4_8351_418D_9460_1D4D0534C818_.wvu.FilterData" localSheetId="11" hidden="1">'February 2027'!$D$1:$D$88</definedName>
    <definedName name="Z_35E35AF4_8351_418D_9460_1D4D0534C818_.wvu.FilterData" localSheetId="12" hidden="1">'January 2027'!$D$1:$D$88</definedName>
    <definedName name="Z_35E35AF4_8351_418D_9460_1D4D0534C818_.wvu.FilterData" localSheetId="6" hidden="1">'July 2027'!$D$1:$D$88</definedName>
    <definedName name="Z_35E35AF4_8351_418D_9460_1D4D0534C818_.wvu.FilterData" localSheetId="7" hidden="1">'June 2027'!$D$1:$D$88</definedName>
    <definedName name="Z_35E35AF4_8351_418D_9460_1D4D0534C818_.wvu.FilterData" localSheetId="10" hidden="1">'March 2027'!$D$1:$D$88</definedName>
    <definedName name="Z_35E35AF4_8351_418D_9460_1D4D0534C818_.wvu.FilterData" localSheetId="8" hidden="1">'May 2027'!$D$1:$D$88</definedName>
    <definedName name="Z_35E35AF4_8351_418D_9460_1D4D0534C818_.wvu.FilterData" localSheetId="2" hidden="1">'November 2027'!$D$1:$D$88</definedName>
    <definedName name="Z_35E35AF4_8351_418D_9460_1D4D0534C818_.wvu.FilterData" localSheetId="3" hidden="1">'October 2027'!$D$1:$D$88</definedName>
    <definedName name="Z_35E35AF4_8351_418D_9460_1D4D0534C818_.wvu.FilterData" localSheetId="4" hidden="1">'September 2027'!$D$1:$D$88</definedName>
    <definedName name="Z_3CECFFC2_4944_4D2F_A517_416CC9564CA4_.wvu.FilterData" localSheetId="0" hidden="1">'PTO SUMMARY 2027'!$A$2:$BH$122</definedName>
    <definedName name="Z_5281E72E_57EF_4EC4_959B_EB8180FFBFF0_.wvu.FilterData" localSheetId="0" hidden="1">'PTO SUMMARY 2027'!$A$2:$BH$122</definedName>
    <definedName name="Z_5FB2D615_5E43_49A6_9B9E_08254DF7FAC5_.wvu.FilterData" localSheetId="0" hidden="1">'PTO SUMMARY 2027'!$A$2:$BH$122</definedName>
    <definedName name="Z_6AAFAE3B_3202_4580_85F4_177077329186_.wvu.FilterData" localSheetId="0" hidden="1">'PTO SUMMARY 2027'!$A$2:$BH$122</definedName>
    <definedName name="Z_6DF64659_5D77_494E_8EDA_92E71FB93594_.wvu.FilterData" localSheetId="0" hidden="1">'PTO SUMMARY 2027'!$A$2:$BH$122</definedName>
    <definedName name="Z_6F6524A9_BAB6_4E65_83A3_F96F89264E71_.wvu.FilterData" localSheetId="0" hidden="1">'PTO SUMMARY 2027'!$A$2:$BH$122</definedName>
    <definedName name="Z_787FB63A_F11E_433C_9170_3FA11F42E2CD_.wvu.FilterData" localSheetId="9" hidden="1">'April 2027'!$D$1:$D$88</definedName>
    <definedName name="Z_787FB63A_F11E_433C_9170_3FA11F42E2CD_.wvu.FilterData" localSheetId="5" hidden="1">'August 2027'!$D$1:$D$88</definedName>
    <definedName name="Z_787FB63A_F11E_433C_9170_3FA11F42E2CD_.wvu.FilterData" localSheetId="1" hidden="1">'December 2027'!$D$1:$D$88</definedName>
    <definedName name="Z_787FB63A_F11E_433C_9170_3FA11F42E2CD_.wvu.FilterData" localSheetId="11" hidden="1">'February 2027'!$D$1:$D$88</definedName>
    <definedName name="Z_787FB63A_F11E_433C_9170_3FA11F42E2CD_.wvu.FilterData" localSheetId="12" hidden="1">'January 2027'!$D$1:$D$88</definedName>
    <definedName name="Z_787FB63A_F11E_433C_9170_3FA11F42E2CD_.wvu.FilterData" localSheetId="6" hidden="1">'July 2027'!$D$1:$D$88</definedName>
    <definedName name="Z_787FB63A_F11E_433C_9170_3FA11F42E2CD_.wvu.FilterData" localSheetId="7" hidden="1">'June 2027'!$D$1:$D$88</definedName>
    <definedName name="Z_787FB63A_F11E_433C_9170_3FA11F42E2CD_.wvu.FilterData" localSheetId="10" hidden="1">'March 2027'!$D$1:$D$88</definedName>
    <definedName name="Z_787FB63A_F11E_433C_9170_3FA11F42E2CD_.wvu.FilterData" localSheetId="8" hidden="1">'May 2027'!$D$1:$D$88</definedName>
    <definedName name="Z_787FB63A_F11E_433C_9170_3FA11F42E2CD_.wvu.FilterData" localSheetId="2" hidden="1">'November 2027'!$D$1:$D$88</definedName>
    <definedName name="Z_787FB63A_F11E_433C_9170_3FA11F42E2CD_.wvu.FilterData" localSheetId="3" hidden="1">'October 2027'!$D$1:$D$88</definedName>
    <definedName name="Z_787FB63A_F11E_433C_9170_3FA11F42E2CD_.wvu.FilterData" localSheetId="4" hidden="1">'September 2027'!$D$1:$D$88</definedName>
    <definedName name="Z_8BB6988F_9AFC_438B_B32D_6A725A8E8974_.wvu.FilterData" localSheetId="0" hidden="1">'PTO SUMMARY 2027'!$A$2:$BH$122</definedName>
    <definedName name="Z_907A1321_7F30_4F3C_86D9_2817CF5988E3_.wvu.FilterData" localSheetId="0" hidden="1">'PTO SUMMARY 2027'!$A$2:$BH$122</definedName>
    <definedName name="Z_91C6A7B8_0AD6_454F_B036_EBB29DA4B4D6_.wvu.FilterData" localSheetId="9" hidden="1">'April 2027'!$D$1:$D$88</definedName>
    <definedName name="Z_91C6A7B8_0AD6_454F_B036_EBB29DA4B4D6_.wvu.FilterData" localSheetId="5" hidden="1">'August 2027'!$D$1:$D$88</definedName>
    <definedName name="Z_91C6A7B8_0AD6_454F_B036_EBB29DA4B4D6_.wvu.FilterData" localSheetId="1" hidden="1">'December 2027'!$D$1:$D$88</definedName>
    <definedName name="Z_91C6A7B8_0AD6_454F_B036_EBB29DA4B4D6_.wvu.FilterData" localSheetId="11" hidden="1">'February 2027'!$D$1:$D$88</definedName>
    <definedName name="Z_91C6A7B8_0AD6_454F_B036_EBB29DA4B4D6_.wvu.FilterData" localSheetId="12" hidden="1">'January 2027'!$D$1:$D$88</definedName>
    <definedName name="Z_91C6A7B8_0AD6_454F_B036_EBB29DA4B4D6_.wvu.FilterData" localSheetId="6" hidden="1">'July 2027'!$D$1:$D$88</definedName>
    <definedName name="Z_91C6A7B8_0AD6_454F_B036_EBB29DA4B4D6_.wvu.FilterData" localSheetId="7" hidden="1">'June 2027'!$D$1:$D$88</definedName>
    <definedName name="Z_91C6A7B8_0AD6_454F_B036_EBB29DA4B4D6_.wvu.FilterData" localSheetId="10" hidden="1">'March 2027'!$D$1:$D$88</definedName>
    <definedName name="Z_91C6A7B8_0AD6_454F_B036_EBB29DA4B4D6_.wvu.FilterData" localSheetId="8" hidden="1">'May 2027'!$D$1:$D$88</definedName>
    <definedName name="Z_91C6A7B8_0AD6_454F_B036_EBB29DA4B4D6_.wvu.FilterData" localSheetId="2" hidden="1">'November 2027'!$D$1:$D$88</definedName>
    <definedName name="Z_91C6A7B8_0AD6_454F_B036_EBB29DA4B4D6_.wvu.FilterData" localSheetId="3" hidden="1">'October 2027'!$D$1:$D$88</definedName>
    <definedName name="Z_91C6A7B8_0AD6_454F_B036_EBB29DA4B4D6_.wvu.FilterData" localSheetId="4" hidden="1">'September 2027'!$D$1:$D$88</definedName>
    <definedName name="Z_9F5B1014_AAE8_4990_96DE_F6BA7386FC0E_.wvu.Cols" localSheetId="0" hidden="1">'PTO SUMMARY 2027'!$G:$G</definedName>
    <definedName name="Z_9F5B1014_AAE8_4990_96DE_F6BA7386FC0E_.wvu.FilterData" localSheetId="0" hidden="1">'PTO SUMMARY 2027'!$A$2:$BH$122</definedName>
    <definedName name="Z_A2FFCE41_C167_4FA9_A092_56538BE0B917_.wvu.FilterData" localSheetId="0" hidden="1">'PTO SUMMARY 2027'!$A$2:$BH$122</definedName>
    <definedName name="Z_A8ED126A_1668_446D_8282_FACDBB46530F_.wvu.FilterData" localSheetId="0" hidden="1">'PTO SUMMARY 2027'!$A$2:$BH$122</definedName>
    <definedName name="Z_AD2D6B11_BA68_4516_AB93_16ED01B852AE_.wvu.FilterData" localSheetId="9" hidden="1">'April 2027'!$D$1:$D$88</definedName>
    <definedName name="Z_AD2D6B11_BA68_4516_AB93_16ED01B852AE_.wvu.FilterData" localSheetId="5" hidden="1">'August 2027'!$D$1:$D$88</definedName>
    <definedName name="Z_AD2D6B11_BA68_4516_AB93_16ED01B852AE_.wvu.FilterData" localSheetId="1" hidden="1">'December 2027'!$D$1:$D$88</definedName>
    <definedName name="Z_AD2D6B11_BA68_4516_AB93_16ED01B852AE_.wvu.FilterData" localSheetId="11" hidden="1">'February 2027'!$D$1:$D$88</definedName>
    <definedName name="Z_AD2D6B11_BA68_4516_AB93_16ED01B852AE_.wvu.FilterData" localSheetId="12" hidden="1">'January 2027'!$D$1:$D$88</definedName>
    <definedName name="Z_AD2D6B11_BA68_4516_AB93_16ED01B852AE_.wvu.FilterData" localSheetId="6" hidden="1">'July 2027'!$D$1:$D$88</definedName>
    <definedName name="Z_AD2D6B11_BA68_4516_AB93_16ED01B852AE_.wvu.FilterData" localSheetId="7" hidden="1">'June 2027'!$D$1:$D$88</definedName>
    <definedName name="Z_AD2D6B11_BA68_4516_AB93_16ED01B852AE_.wvu.FilterData" localSheetId="10" hidden="1">'March 2027'!$D$1:$D$88</definedName>
    <definedName name="Z_AD2D6B11_BA68_4516_AB93_16ED01B852AE_.wvu.FilterData" localSheetId="8" hidden="1">'May 2027'!$D$1:$D$88</definedName>
    <definedName name="Z_AD2D6B11_BA68_4516_AB93_16ED01B852AE_.wvu.FilterData" localSheetId="2" hidden="1">'November 2027'!$D$1:$D$88</definedName>
    <definedName name="Z_AD2D6B11_BA68_4516_AB93_16ED01B852AE_.wvu.FilterData" localSheetId="3" hidden="1">'October 2027'!$D$1:$D$88</definedName>
    <definedName name="Z_AD2D6B11_BA68_4516_AB93_16ED01B852AE_.wvu.FilterData" localSheetId="4" hidden="1">'September 2027'!$D$1:$D$88</definedName>
    <definedName name="Z_B329F9A2_E9EA_4821_BE0A_110861FED45B_.wvu.Cols" localSheetId="0" hidden="1">'PTO SUMMARY 2027'!$G:$G,'PTO SUMMARY 2027'!$P:$AA</definedName>
    <definedName name="Z_B329F9A2_E9EA_4821_BE0A_110861FED45B_.wvu.FilterData" localSheetId="0" hidden="1">'PTO SUMMARY 2027'!$A$2:$BH$122</definedName>
    <definedName name="Z_B4466A82_2583_415E_A640_F8B69CAD3F92_.wvu.FilterData" localSheetId="0" hidden="1">'PTO SUMMARY 2027'!$A$2:$BH$122</definedName>
    <definedName name="Z_B95369FA_9EC1_4C14_9044_C862C8F05DE7_.wvu.FilterData" localSheetId="9" hidden="1">'April 2027'!$D$1:$D$88</definedName>
    <definedName name="Z_B95369FA_9EC1_4C14_9044_C862C8F05DE7_.wvu.FilterData" localSheetId="5" hidden="1">'August 2027'!$D$1:$D$88</definedName>
    <definedName name="Z_B95369FA_9EC1_4C14_9044_C862C8F05DE7_.wvu.FilterData" localSheetId="1" hidden="1">'December 2027'!$D$1:$D$88</definedName>
    <definedName name="Z_B95369FA_9EC1_4C14_9044_C862C8F05DE7_.wvu.FilterData" localSheetId="11" hidden="1">'February 2027'!$D$1:$D$88</definedName>
    <definedName name="Z_B95369FA_9EC1_4C14_9044_C862C8F05DE7_.wvu.FilterData" localSheetId="12" hidden="1">'January 2027'!$D$1:$D$88</definedName>
    <definedName name="Z_B95369FA_9EC1_4C14_9044_C862C8F05DE7_.wvu.FilterData" localSheetId="6" hidden="1">'July 2027'!$D$1:$D$88</definedName>
    <definedName name="Z_B95369FA_9EC1_4C14_9044_C862C8F05DE7_.wvu.FilterData" localSheetId="7" hidden="1">'June 2027'!$D$1:$D$88</definedName>
    <definedName name="Z_B95369FA_9EC1_4C14_9044_C862C8F05DE7_.wvu.FilterData" localSheetId="10" hidden="1">'March 2027'!$D$1:$D$88</definedName>
    <definedName name="Z_B95369FA_9EC1_4C14_9044_C862C8F05DE7_.wvu.FilterData" localSheetId="8" hidden="1">'May 2027'!$D$1:$D$88</definedName>
    <definedName name="Z_B95369FA_9EC1_4C14_9044_C862C8F05DE7_.wvu.FilterData" localSheetId="2" hidden="1">'November 2027'!$D$1:$D$88</definedName>
    <definedName name="Z_B95369FA_9EC1_4C14_9044_C862C8F05DE7_.wvu.FilterData" localSheetId="3" hidden="1">'October 2027'!$D$1:$D$88</definedName>
    <definedName name="Z_B95369FA_9EC1_4C14_9044_C862C8F05DE7_.wvu.FilterData" localSheetId="4" hidden="1">'September 2027'!$D$1:$D$88</definedName>
    <definedName name="Z_C51B9FE6_634F_4131_8AEF_6CC1D2A0130D_.wvu.FilterData" localSheetId="9" hidden="1">'April 2027'!$D$1:$D$88</definedName>
    <definedName name="Z_C51B9FE6_634F_4131_8AEF_6CC1D2A0130D_.wvu.FilterData" localSheetId="5" hidden="1">'August 2027'!$D$1:$D$88</definedName>
    <definedName name="Z_C51B9FE6_634F_4131_8AEF_6CC1D2A0130D_.wvu.FilterData" localSheetId="1" hidden="1">'December 2027'!$D$1:$D$88</definedName>
    <definedName name="Z_C51B9FE6_634F_4131_8AEF_6CC1D2A0130D_.wvu.FilterData" localSheetId="11" hidden="1">'February 2027'!$D$1:$D$88</definedName>
    <definedName name="Z_C51B9FE6_634F_4131_8AEF_6CC1D2A0130D_.wvu.FilterData" localSheetId="12" hidden="1">'January 2027'!$D$1:$D$88</definedName>
    <definedName name="Z_C51B9FE6_634F_4131_8AEF_6CC1D2A0130D_.wvu.FilterData" localSheetId="6" hidden="1">'July 2027'!$D$1:$D$88</definedName>
    <definedName name="Z_C51B9FE6_634F_4131_8AEF_6CC1D2A0130D_.wvu.FilterData" localSheetId="7" hidden="1">'June 2027'!$D$1:$D$88</definedName>
    <definedName name="Z_C51B9FE6_634F_4131_8AEF_6CC1D2A0130D_.wvu.FilterData" localSheetId="10" hidden="1">'March 2027'!$D$1:$D$88</definedName>
    <definedName name="Z_C51B9FE6_634F_4131_8AEF_6CC1D2A0130D_.wvu.FilterData" localSheetId="8" hidden="1">'May 2027'!$D$1:$D$88</definedName>
    <definedName name="Z_C51B9FE6_634F_4131_8AEF_6CC1D2A0130D_.wvu.FilterData" localSheetId="2" hidden="1">'November 2027'!$D$1:$D$88</definedName>
    <definedName name="Z_C51B9FE6_634F_4131_8AEF_6CC1D2A0130D_.wvu.FilterData" localSheetId="3" hidden="1">'October 2027'!$D$1:$D$88</definedName>
    <definedName name="Z_C51B9FE6_634F_4131_8AEF_6CC1D2A0130D_.wvu.FilterData" localSheetId="4" hidden="1">'September 2027'!$D$1:$D$88</definedName>
    <definedName name="Z_CDC2C630_7835_422E_9D4C_A6B6A6B55273_.wvu.FilterData" localSheetId="9" hidden="1">'April 2027'!$D$1:$D$88</definedName>
    <definedName name="Z_CDC2C630_7835_422E_9D4C_A6B6A6B55273_.wvu.FilterData" localSheetId="5" hidden="1">'August 2027'!$D$1:$D$88</definedName>
    <definedName name="Z_CDC2C630_7835_422E_9D4C_A6B6A6B55273_.wvu.FilterData" localSheetId="1" hidden="1">'December 2027'!$D$1:$D$88</definedName>
    <definedName name="Z_CDC2C630_7835_422E_9D4C_A6B6A6B55273_.wvu.FilterData" localSheetId="11" hidden="1">'February 2027'!$D$1:$D$88</definedName>
    <definedName name="Z_CDC2C630_7835_422E_9D4C_A6B6A6B55273_.wvu.FilterData" localSheetId="12" hidden="1">'January 2027'!$D$1:$D$88</definedName>
    <definedName name="Z_CDC2C630_7835_422E_9D4C_A6B6A6B55273_.wvu.FilterData" localSheetId="6" hidden="1">'July 2027'!$D$1:$D$88</definedName>
    <definedName name="Z_CDC2C630_7835_422E_9D4C_A6B6A6B55273_.wvu.FilterData" localSheetId="7" hidden="1">'June 2027'!$D$1:$D$88</definedName>
    <definedName name="Z_CDC2C630_7835_422E_9D4C_A6B6A6B55273_.wvu.FilterData" localSheetId="10" hidden="1">'March 2027'!$D$1:$D$88</definedName>
    <definedName name="Z_CDC2C630_7835_422E_9D4C_A6B6A6B55273_.wvu.FilterData" localSheetId="8" hidden="1">'May 2027'!$D$1:$D$88</definedName>
    <definedName name="Z_CDC2C630_7835_422E_9D4C_A6B6A6B55273_.wvu.FilterData" localSheetId="2" hidden="1">'November 2027'!$D$1:$D$88</definedName>
    <definedName name="Z_CDC2C630_7835_422E_9D4C_A6B6A6B55273_.wvu.FilterData" localSheetId="3" hidden="1">'October 2027'!$D$1:$D$88</definedName>
    <definedName name="Z_CDC2C630_7835_422E_9D4C_A6B6A6B55273_.wvu.FilterData" localSheetId="4" hidden="1">'September 2027'!$D$1:$D$88</definedName>
    <definedName name="Z_CF31001B_C664_4663_90EB_F01112275A78_.wvu.FilterData" localSheetId="9" hidden="1">'April 2027'!$D$1:$D$88</definedName>
    <definedName name="Z_CF31001B_C664_4663_90EB_F01112275A78_.wvu.FilterData" localSheetId="5" hidden="1">'August 2027'!$D$1:$D$88</definedName>
    <definedName name="Z_CF31001B_C664_4663_90EB_F01112275A78_.wvu.FilterData" localSheetId="1" hidden="1">'December 2027'!$D$1:$D$88</definedName>
    <definedName name="Z_CF31001B_C664_4663_90EB_F01112275A78_.wvu.FilterData" localSheetId="11" hidden="1">'February 2027'!$D$1:$D$88</definedName>
    <definedName name="Z_CF31001B_C664_4663_90EB_F01112275A78_.wvu.FilterData" localSheetId="12" hidden="1">'January 2027'!$D$1:$D$88</definedName>
    <definedName name="Z_CF31001B_C664_4663_90EB_F01112275A78_.wvu.FilterData" localSheetId="6" hidden="1">'July 2027'!$D$1:$D$88</definedName>
    <definedName name="Z_CF31001B_C664_4663_90EB_F01112275A78_.wvu.FilterData" localSheetId="7" hidden="1">'June 2027'!$D$1:$D$88</definedName>
    <definedName name="Z_CF31001B_C664_4663_90EB_F01112275A78_.wvu.FilterData" localSheetId="10" hidden="1">'March 2027'!$D$1:$D$88</definedName>
    <definedName name="Z_CF31001B_C664_4663_90EB_F01112275A78_.wvu.FilterData" localSheetId="8" hidden="1">'May 2027'!$D$1:$D$88</definedName>
    <definedName name="Z_CF31001B_C664_4663_90EB_F01112275A78_.wvu.FilterData" localSheetId="2" hidden="1">'November 2027'!$D$1:$D$88</definedName>
    <definedName name="Z_CF31001B_C664_4663_90EB_F01112275A78_.wvu.FilterData" localSheetId="3" hidden="1">'October 2027'!$D$1:$D$88</definedName>
    <definedName name="Z_CF31001B_C664_4663_90EB_F01112275A78_.wvu.FilterData" localSheetId="4" hidden="1">'September 2027'!$D$1:$D$88</definedName>
    <definedName name="Z_DC201A39_E949_44C8_92D9_FD9B1AA0FAF4_.wvu.FilterData" localSheetId="0" hidden="1">'PTO SUMMARY 2027'!$A$2:$BH$122</definedName>
    <definedName name="Z_E27B2CD1_703C_450B_892C_CC24D1256EC4_.wvu.FilterData" localSheetId="9" hidden="1">'April 2027'!$D$1:$D$37</definedName>
    <definedName name="Z_E27B2CD1_703C_450B_892C_CC24D1256EC4_.wvu.FilterData" localSheetId="5" hidden="1">'August 2027'!$D$1:$D$37</definedName>
    <definedName name="Z_E27B2CD1_703C_450B_892C_CC24D1256EC4_.wvu.FilterData" localSheetId="1" hidden="1">'December 2027'!$D$1:$D$37</definedName>
    <definedName name="Z_E27B2CD1_703C_450B_892C_CC24D1256EC4_.wvu.FilterData" localSheetId="11" hidden="1">'February 2027'!$D$1:$D$37</definedName>
    <definedName name="Z_E27B2CD1_703C_450B_892C_CC24D1256EC4_.wvu.FilterData" localSheetId="12" hidden="1">'January 2027'!$D$1:$D$37</definedName>
    <definedName name="Z_E27B2CD1_703C_450B_892C_CC24D1256EC4_.wvu.FilterData" localSheetId="6" hidden="1">'July 2027'!$D$1:$D$37</definedName>
    <definedName name="Z_E27B2CD1_703C_450B_892C_CC24D1256EC4_.wvu.FilterData" localSheetId="7" hidden="1">'June 2027'!$D$1:$D$37</definedName>
    <definedName name="Z_E27B2CD1_703C_450B_892C_CC24D1256EC4_.wvu.FilterData" localSheetId="10" hidden="1">'March 2027'!$D$1:$D$37</definedName>
    <definedName name="Z_E27B2CD1_703C_450B_892C_CC24D1256EC4_.wvu.FilterData" localSheetId="8" hidden="1">'May 2027'!$D$1:$D$37</definedName>
    <definedName name="Z_E27B2CD1_703C_450B_892C_CC24D1256EC4_.wvu.FilterData" localSheetId="2" hidden="1">'November 2027'!$D$1:$D$37</definedName>
    <definedName name="Z_E27B2CD1_703C_450B_892C_CC24D1256EC4_.wvu.FilterData" localSheetId="3" hidden="1">'October 2027'!$D$1:$D$37</definedName>
    <definedName name="Z_E27B2CD1_703C_450B_892C_CC24D1256EC4_.wvu.FilterData" localSheetId="4" hidden="1">'September 2027'!$D$1:$D$37</definedName>
    <definedName name="Z_F84CF7F4_7AD0_4BFE_93A2_D7BA7DDC2F4D_.wvu.FilterData" localSheetId="9" hidden="1">'April 2027'!$D$1:$D$88</definedName>
    <definedName name="Z_F84CF7F4_7AD0_4BFE_93A2_D7BA7DDC2F4D_.wvu.FilterData" localSheetId="5" hidden="1">'August 2027'!$D$1:$D$88</definedName>
    <definedName name="Z_F84CF7F4_7AD0_4BFE_93A2_D7BA7DDC2F4D_.wvu.FilterData" localSheetId="1" hidden="1">'December 2027'!$D$1:$D$88</definedName>
    <definedName name="Z_F84CF7F4_7AD0_4BFE_93A2_D7BA7DDC2F4D_.wvu.FilterData" localSheetId="11" hidden="1">'February 2027'!$D$1:$D$88</definedName>
    <definedName name="Z_F84CF7F4_7AD0_4BFE_93A2_D7BA7DDC2F4D_.wvu.FilterData" localSheetId="12" hidden="1">'January 2027'!$D$1:$D$88</definedName>
    <definedName name="Z_F84CF7F4_7AD0_4BFE_93A2_D7BA7DDC2F4D_.wvu.FilterData" localSheetId="6" hidden="1">'July 2027'!$D$1:$D$88</definedName>
    <definedName name="Z_F84CF7F4_7AD0_4BFE_93A2_D7BA7DDC2F4D_.wvu.FilterData" localSheetId="7" hidden="1">'June 2027'!$D$1:$D$88</definedName>
    <definedName name="Z_F84CF7F4_7AD0_4BFE_93A2_D7BA7DDC2F4D_.wvu.FilterData" localSheetId="10" hidden="1">'March 2027'!$D$1:$D$88</definedName>
    <definedName name="Z_F84CF7F4_7AD0_4BFE_93A2_D7BA7DDC2F4D_.wvu.FilterData" localSheetId="8" hidden="1">'May 2027'!$D$1:$D$88</definedName>
    <definedName name="Z_F84CF7F4_7AD0_4BFE_93A2_D7BA7DDC2F4D_.wvu.FilterData" localSheetId="2" hidden="1">'November 2027'!$D$1:$D$88</definedName>
    <definedName name="Z_F84CF7F4_7AD0_4BFE_93A2_D7BA7DDC2F4D_.wvu.FilterData" localSheetId="3" hidden="1">'October 2027'!$D$1:$D$88</definedName>
    <definedName name="Z_F84CF7F4_7AD0_4BFE_93A2_D7BA7DDC2F4D_.wvu.FilterData" localSheetId="4" hidden="1">'September 2027'!$D$1:$D$88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0" i="3" l="1"/>
  <c r="AK29" i="3"/>
  <c r="AK30" i="28"/>
  <c r="AK29" i="28"/>
  <c r="AK30" i="27"/>
  <c r="AK29" i="27"/>
  <c r="AK30" i="26"/>
  <c r="AK29" i="26"/>
  <c r="AK30" i="25"/>
  <c r="AK29" i="25"/>
  <c r="AK30" i="24"/>
  <c r="AK29" i="24"/>
  <c r="AK30" i="23"/>
  <c r="AK29" i="23"/>
  <c r="AK30" i="22"/>
  <c r="AK29" i="22"/>
  <c r="AK30" i="21"/>
  <c r="AK29" i="21"/>
  <c r="AK30" i="20"/>
  <c r="AK29" i="20"/>
  <c r="AK30" i="19"/>
  <c r="AK29" i="19"/>
  <c r="AK30" i="18"/>
  <c r="O116" i="2" s="1"/>
  <c r="AK29" i="18"/>
  <c r="CN117" i="2"/>
  <c r="CE117" i="2"/>
  <c r="BS117" i="2"/>
  <c r="BL117" i="2"/>
  <c r="BG117" i="2"/>
  <c r="F130" i="15" s="1"/>
  <c r="BB117" i="2"/>
  <c r="AZ117" i="2"/>
  <c r="AS117" i="2"/>
  <c r="AE117" i="2"/>
  <c r="AG117" i="2" s="1"/>
  <c r="Z117" i="2"/>
  <c r="T117" i="2"/>
  <c r="O117" i="2"/>
  <c r="H117" i="2"/>
  <c r="CD117" i="2" s="1"/>
  <c r="CN116" i="2"/>
  <c r="CE116" i="2"/>
  <c r="BS116" i="2"/>
  <c r="BL116" i="2"/>
  <c r="BG116" i="2"/>
  <c r="F129" i="15" s="1"/>
  <c r="BB116" i="2"/>
  <c r="AZ116" i="2"/>
  <c r="AS116" i="2"/>
  <c r="AE116" i="2"/>
  <c r="AG116" i="2" s="1"/>
  <c r="Z116" i="2"/>
  <c r="T116" i="2"/>
  <c r="H116" i="2"/>
  <c r="BK116" i="2" s="1"/>
  <c r="C129" i="15"/>
  <c r="C130" i="15"/>
  <c r="T95" i="2"/>
  <c r="Z95" i="2"/>
  <c r="AE95" i="2"/>
  <c r="AG95" i="2"/>
  <c r="AS95" i="2"/>
  <c r="AZ95" i="2"/>
  <c r="BB95" i="2"/>
  <c r="BG95" i="2"/>
  <c r="BL95" i="2"/>
  <c r="BS95" i="2"/>
  <c r="CE95" i="2"/>
  <c r="CN95" i="2"/>
  <c r="T94" i="2"/>
  <c r="S94" i="2"/>
  <c r="S96" i="2"/>
  <c r="N96" i="2"/>
  <c r="N97" i="2"/>
  <c r="H95" i="2"/>
  <c r="BK95" i="2" s="1"/>
  <c r="AK52" i="3"/>
  <c r="AK53" i="3"/>
  <c r="AK54" i="3"/>
  <c r="AK55" i="3"/>
  <c r="AK50" i="28"/>
  <c r="AK51" i="28"/>
  <c r="AK52" i="28"/>
  <c r="AK53" i="28"/>
  <c r="AK54" i="28"/>
  <c r="AK55" i="28"/>
  <c r="AK56" i="28"/>
  <c r="AK52" i="27"/>
  <c r="AK53" i="27"/>
  <c r="AK54" i="27"/>
  <c r="AK55" i="27"/>
  <c r="AK56" i="27"/>
  <c r="AK57" i="27"/>
  <c r="AK51" i="26"/>
  <c r="AK52" i="26"/>
  <c r="AK53" i="26"/>
  <c r="AK54" i="26"/>
  <c r="AK51" i="25"/>
  <c r="AK52" i="25"/>
  <c r="AK53" i="25"/>
  <c r="AK54" i="25"/>
  <c r="AK51" i="24"/>
  <c r="AK52" i="24"/>
  <c r="AK53" i="24"/>
  <c r="AK54" i="24"/>
  <c r="AK55" i="24"/>
  <c r="AK51" i="23"/>
  <c r="AK52" i="23"/>
  <c r="AK53" i="23"/>
  <c r="AK54" i="23"/>
  <c r="AK55" i="23"/>
  <c r="AK56" i="23"/>
  <c r="AK52" i="22"/>
  <c r="AK53" i="22"/>
  <c r="AK54" i="22"/>
  <c r="AK55" i="22"/>
  <c r="AK51" i="21"/>
  <c r="AK52" i="21"/>
  <c r="AK53" i="21"/>
  <c r="AK54" i="21"/>
  <c r="AK51" i="20"/>
  <c r="AK52" i="20"/>
  <c r="AK53" i="20"/>
  <c r="AK54" i="20"/>
  <c r="AK55" i="20"/>
  <c r="AK51" i="19"/>
  <c r="AK52" i="19"/>
  <c r="AK53" i="19"/>
  <c r="AK54" i="19"/>
  <c r="AK52" i="18"/>
  <c r="AK53" i="18"/>
  <c r="O95" i="2" s="1"/>
  <c r="BA117" i="2" l="1"/>
  <c r="S117" i="2"/>
  <c r="BK117" i="2"/>
  <c r="Y117" i="2"/>
  <c r="BT117" i="2"/>
  <c r="BY117" i="2"/>
  <c r="AM117" i="2"/>
  <c r="AR117" i="2"/>
  <c r="AH117" i="2"/>
  <c r="N117" i="2"/>
  <c r="P117" i="2" s="1"/>
  <c r="V117" i="2" s="1"/>
  <c r="BF117" i="2"/>
  <c r="AM116" i="2"/>
  <c r="AR116" i="2"/>
  <c r="BA116" i="2"/>
  <c r="D130" i="15"/>
  <c r="Y116" i="2"/>
  <c r="BT116" i="2"/>
  <c r="BY116" i="2"/>
  <c r="AH116" i="2"/>
  <c r="N116" i="2"/>
  <c r="P116" i="2" s="1"/>
  <c r="BF116" i="2"/>
  <c r="CD116" i="2"/>
  <c r="S116" i="2"/>
  <c r="D129" i="15"/>
  <c r="Y95" i="2"/>
  <c r="BF95" i="2"/>
  <c r="S95" i="2"/>
  <c r="BA95" i="2"/>
  <c r="CD95" i="2"/>
  <c r="AR95" i="2"/>
  <c r="BY95" i="2"/>
  <c r="AM95" i="2"/>
  <c r="BT95" i="2"/>
  <c r="AH95" i="2"/>
  <c r="N95" i="2"/>
  <c r="P95" i="2" s="1"/>
  <c r="AI117" i="2" l="1"/>
  <c r="AA117" i="2"/>
  <c r="V95" i="2"/>
  <c r="AA95" i="2" s="1"/>
  <c r="AN95" i="2" s="1"/>
  <c r="V116" i="2"/>
  <c r="AN117" i="2" l="1"/>
  <c r="AJ117" i="2"/>
  <c r="AI95" i="2"/>
  <c r="AJ95" i="2" s="1"/>
  <c r="AO95" i="2" s="1"/>
  <c r="AT95" i="2" s="1"/>
  <c r="BC95" i="2" s="1"/>
  <c r="BH95" i="2" s="1"/>
  <c r="AA116" i="2"/>
  <c r="AI116" i="2"/>
  <c r="AO117" i="2" l="1"/>
  <c r="AT117" i="2" s="1"/>
  <c r="BC117" i="2" s="1"/>
  <c r="BH117" i="2" s="1"/>
  <c r="AN116" i="2"/>
  <c r="AJ116" i="2"/>
  <c r="BM95" i="2"/>
  <c r="BU95" i="2"/>
  <c r="BM117" i="2" l="1"/>
  <c r="BU117" i="2"/>
  <c r="AO116" i="2"/>
  <c r="AT116" i="2" s="1"/>
  <c r="BC116" i="2" s="1"/>
  <c r="BH116" i="2" s="1"/>
  <c r="BZ95" i="2"/>
  <c r="BV95" i="2"/>
  <c r="BV117" i="2" l="1"/>
  <c r="BZ117" i="2"/>
  <c r="BU116" i="2"/>
  <c r="BM116" i="2"/>
  <c r="CA95" i="2"/>
  <c r="CF95" i="2" s="1"/>
  <c r="CA117" i="2" l="1"/>
  <c r="CF117" i="2" s="1"/>
  <c r="BZ116" i="2"/>
  <c r="BV116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8" i="2"/>
  <c r="CN119" i="2"/>
  <c r="CN120" i="2"/>
  <c r="CN121" i="2"/>
  <c r="CN122" i="2"/>
  <c r="CN123" i="2"/>
  <c r="CN124" i="2"/>
  <c r="CN3" i="2"/>
  <c r="CJ125" i="2"/>
  <c r="AW125" i="2"/>
  <c r="AZ124" i="2"/>
  <c r="AZ123" i="2"/>
  <c r="AZ122" i="2"/>
  <c r="AZ121" i="2"/>
  <c r="AZ120" i="2"/>
  <c r="AZ119" i="2"/>
  <c r="AZ118" i="2"/>
  <c r="AZ115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Z99" i="2"/>
  <c r="AZ98" i="2"/>
  <c r="AZ97" i="2"/>
  <c r="AZ96" i="2"/>
  <c r="AZ94" i="2"/>
  <c r="AZ93" i="2"/>
  <c r="AZ92" i="2"/>
  <c r="AZ91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8" i="2"/>
  <c r="BL119" i="2"/>
  <c r="BL120" i="2"/>
  <c r="BL121" i="2"/>
  <c r="BL122" i="2"/>
  <c r="BL123" i="2"/>
  <c r="BL124" i="2"/>
  <c r="BL3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8" i="2"/>
  <c r="BG119" i="2"/>
  <c r="BG120" i="2"/>
  <c r="BG121" i="2"/>
  <c r="BG122" i="2"/>
  <c r="BG123" i="2"/>
  <c r="BG124" i="2"/>
  <c r="BG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8" i="2"/>
  <c r="BB119" i="2"/>
  <c r="BB120" i="2"/>
  <c r="BB121" i="2"/>
  <c r="BB122" i="2"/>
  <c r="BB123" i="2"/>
  <c r="BB124" i="2"/>
  <c r="BB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8" i="2"/>
  <c r="AS119" i="2"/>
  <c r="AS120" i="2"/>
  <c r="AS121" i="2"/>
  <c r="AS122" i="2"/>
  <c r="AS123" i="2"/>
  <c r="AS124" i="2"/>
  <c r="AS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8" i="2"/>
  <c r="Z119" i="2"/>
  <c r="Z120" i="2"/>
  <c r="Z121" i="2"/>
  <c r="Z122" i="2"/>
  <c r="Z123" i="2"/>
  <c r="Z124" i="2"/>
  <c r="Z3" i="2"/>
  <c r="Y3" i="2"/>
  <c r="Y7" i="2"/>
  <c r="Y9" i="2"/>
  <c r="Y10" i="2"/>
  <c r="Y12" i="2"/>
  <c r="Y16" i="2"/>
  <c r="Y17" i="2"/>
  <c r="Y18" i="2"/>
  <c r="Y20" i="2"/>
  <c r="Y24" i="2"/>
  <c r="Y26" i="2"/>
  <c r="Y29" i="2"/>
  <c r="Y30" i="2"/>
  <c r="Y34" i="2"/>
  <c r="Y36" i="2"/>
  <c r="Y38" i="2"/>
  <c r="Y39" i="2"/>
  <c r="Y40" i="2"/>
  <c r="Y42" i="2"/>
  <c r="Y44" i="2"/>
  <c r="Y45" i="2"/>
  <c r="Y46" i="2"/>
  <c r="Y49" i="2"/>
  <c r="Y50" i="2"/>
  <c r="Y51" i="2"/>
  <c r="Y54" i="2"/>
  <c r="Y56" i="2"/>
  <c r="Y59" i="2"/>
  <c r="Y60" i="2"/>
  <c r="Y61" i="2"/>
  <c r="Y62" i="2"/>
  <c r="Y64" i="2"/>
  <c r="Y67" i="2"/>
  <c r="Y68" i="2"/>
  <c r="Y70" i="2"/>
  <c r="Y71" i="2"/>
  <c r="Y73" i="2"/>
  <c r="Y74" i="2"/>
  <c r="Y75" i="2"/>
  <c r="Y78" i="2"/>
  <c r="Y84" i="2"/>
  <c r="Y87" i="2"/>
  <c r="Y88" i="2"/>
  <c r="Y90" i="2"/>
  <c r="Y91" i="2"/>
  <c r="Y94" i="2"/>
  <c r="Y96" i="2"/>
  <c r="Y97" i="2"/>
  <c r="Y98" i="2"/>
  <c r="Y99" i="2"/>
  <c r="Y104" i="2"/>
  <c r="Y108" i="2"/>
  <c r="Y109" i="2"/>
  <c r="Y110" i="2"/>
  <c r="Y113" i="2"/>
  <c r="Y118" i="2"/>
  <c r="Y120" i="2"/>
  <c r="Y122" i="2"/>
  <c r="Y12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8" i="2"/>
  <c r="T119" i="2"/>
  <c r="T120" i="2"/>
  <c r="T121" i="2"/>
  <c r="T122" i="2"/>
  <c r="T123" i="2"/>
  <c r="T124" i="2"/>
  <c r="T3" i="2"/>
  <c r="O12" i="2"/>
  <c r="O13" i="2"/>
  <c r="O31" i="2"/>
  <c r="U125" i="2"/>
  <c r="CD7" i="2"/>
  <c r="CD9" i="2"/>
  <c r="CD10" i="2"/>
  <c r="CD12" i="2"/>
  <c r="CD16" i="2"/>
  <c r="CD17" i="2"/>
  <c r="CD18" i="2"/>
  <c r="CD20" i="2"/>
  <c r="CD24" i="2"/>
  <c r="CD26" i="2"/>
  <c r="CD29" i="2"/>
  <c r="CD30" i="2"/>
  <c r="CD34" i="2"/>
  <c r="CD36" i="2"/>
  <c r="CD38" i="2"/>
  <c r="CD39" i="2"/>
  <c r="CD40" i="2"/>
  <c r="CD42" i="2"/>
  <c r="CD44" i="2"/>
  <c r="CD45" i="2"/>
  <c r="CD46" i="2"/>
  <c r="CD49" i="2"/>
  <c r="CD50" i="2"/>
  <c r="CD51" i="2"/>
  <c r="CD54" i="2"/>
  <c r="CD56" i="2"/>
  <c r="CD59" i="2"/>
  <c r="CD60" i="2"/>
  <c r="CD61" i="2"/>
  <c r="CD62" i="2"/>
  <c r="CD64" i="2"/>
  <c r="CD67" i="2"/>
  <c r="CD68" i="2"/>
  <c r="CD70" i="2"/>
  <c r="CD71" i="2"/>
  <c r="CD73" i="2"/>
  <c r="CD74" i="2"/>
  <c r="CD75" i="2"/>
  <c r="CD78" i="2"/>
  <c r="CD84" i="2"/>
  <c r="CD87" i="2"/>
  <c r="CD88" i="2"/>
  <c r="CD90" i="2"/>
  <c r="CD91" i="2"/>
  <c r="CD94" i="2"/>
  <c r="CD96" i="2"/>
  <c r="CD97" i="2"/>
  <c r="CD98" i="2"/>
  <c r="CD99" i="2"/>
  <c r="CD104" i="2"/>
  <c r="CD108" i="2"/>
  <c r="CD109" i="2"/>
  <c r="CD110" i="2"/>
  <c r="CD113" i="2"/>
  <c r="CD118" i="2"/>
  <c r="CD120" i="2"/>
  <c r="CD122" i="2"/>
  <c r="CD124" i="2"/>
  <c r="CD3" i="2"/>
  <c r="BY7" i="2"/>
  <c r="BY9" i="2"/>
  <c r="BY10" i="2"/>
  <c r="BY12" i="2"/>
  <c r="BY16" i="2"/>
  <c r="BY17" i="2"/>
  <c r="BY18" i="2"/>
  <c r="BY20" i="2"/>
  <c r="BY24" i="2"/>
  <c r="BY26" i="2"/>
  <c r="BY29" i="2"/>
  <c r="BY30" i="2"/>
  <c r="BY34" i="2"/>
  <c r="BY36" i="2"/>
  <c r="BY38" i="2"/>
  <c r="BY39" i="2"/>
  <c r="BY40" i="2"/>
  <c r="BY42" i="2"/>
  <c r="BY44" i="2"/>
  <c r="BY45" i="2"/>
  <c r="BY46" i="2"/>
  <c r="BY49" i="2"/>
  <c r="BY50" i="2"/>
  <c r="BY51" i="2"/>
  <c r="BY54" i="2"/>
  <c r="BY56" i="2"/>
  <c r="BY59" i="2"/>
  <c r="BY60" i="2"/>
  <c r="BY61" i="2"/>
  <c r="BY62" i="2"/>
  <c r="BY64" i="2"/>
  <c r="BY67" i="2"/>
  <c r="BY68" i="2"/>
  <c r="BY70" i="2"/>
  <c r="BY71" i="2"/>
  <c r="BY73" i="2"/>
  <c r="BY74" i="2"/>
  <c r="BY75" i="2"/>
  <c r="BY78" i="2"/>
  <c r="BY84" i="2"/>
  <c r="BY87" i="2"/>
  <c r="BY88" i="2"/>
  <c r="BY90" i="2"/>
  <c r="BY91" i="2"/>
  <c r="BY94" i="2"/>
  <c r="BY96" i="2"/>
  <c r="BY97" i="2"/>
  <c r="BY98" i="2"/>
  <c r="BY99" i="2"/>
  <c r="BY104" i="2"/>
  <c r="BY108" i="2"/>
  <c r="BY109" i="2"/>
  <c r="BY110" i="2"/>
  <c r="BY113" i="2"/>
  <c r="BY118" i="2"/>
  <c r="BY120" i="2"/>
  <c r="BY122" i="2"/>
  <c r="BY124" i="2"/>
  <c r="BY3" i="2"/>
  <c r="BT7" i="2"/>
  <c r="BT9" i="2"/>
  <c r="BT10" i="2"/>
  <c r="BT12" i="2"/>
  <c r="BT16" i="2"/>
  <c r="BT17" i="2"/>
  <c r="BT18" i="2"/>
  <c r="BT20" i="2"/>
  <c r="BT24" i="2"/>
  <c r="BT26" i="2"/>
  <c r="BT29" i="2"/>
  <c r="BT30" i="2"/>
  <c r="BT34" i="2"/>
  <c r="BT36" i="2"/>
  <c r="BT38" i="2"/>
  <c r="BT39" i="2"/>
  <c r="BT40" i="2"/>
  <c r="BT42" i="2"/>
  <c r="BT44" i="2"/>
  <c r="BT45" i="2"/>
  <c r="BT46" i="2"/>
  <c r="BT49" i="2"/>
  <c r="BT50" i="2"/>
  <c r="BT51" i="2"/>
  <c r="BT54" i="2"/>
  <c r="BT56" i="2"/>
  <c r="BT59" i="2"/>
  <c r="BT60" i="2"/>
  <c r="BT61" i="2"/>
  <c r="BT62" i="2"/>
  <c r="BT64" i="2"/>
  <c r="BT67" i="2"/>
  <c r="BT68" i="2"/>
  <c r="BT70" i="2"/>
  <c r="BT71" i="2"/>
  <c r="BT73" i="2"/>
  <c r="BT74" i="2"/>
  <c r="BT75" i="2"/>
  <c r="BT78" i="2"/>
  <c r="BT84" i="2"/>
  <c r="BT87" i="2"/>
  <c r="BT88" i="2"/>
  <c r="BT90" i="2"/>
  <c r="BT91" i="2"/>
  <c r="BT94" i="2"/>
  <c r="BT96" i="2"/>
  <c r="BT97" i="2"/>
  <c r="BT98" i="2"/>
  <c r="BT99" i="2"/>
  <c r="BT104" i="2"/>
  <c r="BT108" i="2"/>
  <c r="BT109" i="2"/>
  <c r="BT110" i="2"/>
  <c r="BT113" i="2"/>
  <c r="BT118" i="2"/>
  <c r="BT120" i="2"/>
  <c r="BT122" i="2"/>
  <c r="BT124" i="2"/>
  <c r="BT3" i="2"/>
  <c r="BK7" i="2"/>
  <c r="BK9" i="2"/>
  <c r="BK10" i="2"/>
  <c r="BK12" i="2"/>
  <c r="BK16" i="2"/>
  <c r="BK17" i="2"/>
  <c r="BK18" i="2"/>
  <c r="BK20" i="2"/>
  <c r="BK24" i="2"/>
  <c r="BK26" i="2"/>
  <c r="BK29" i="2"/>
  <c r="BK30" i="2"/>
  <c r="BK34" i="2"/>
  <c r="BK36" i="2"/>
  <c r="BK38" i="2"/>
  <c r="BK39" i="2"/>
  <c r="BK40" i="2"/>
  <c r="BK42" i="2"/>
  <c r="BK44" i="2"/>
  <c r="BK45" i="2"/>
  <c r="BK46" i="2"/>
  <c r="BK49" i="2"/>
  <c r="BK50" i="2"/>
  <c r="BK51" i="2"/>
  <c r="BK54" i="2"/>
  <c r="BK56" i="2"/>
  <c r="BK59" i="2"/>
  <c r="BK60" i="2"/>
  <c r="BK61" i="2"/>
  <c r="BK62" i="2"/>
  <c r="BK64" i="2"/>
  <c r="BK67" i="2"/>
  <c r="BK68" i="2"/>
  <c r="BK70" i="2"/>
  <c r="BK71" i="2"/>
  <c r="BK73" i="2"/>
  <c r="BK74" i="2"/>
  <c r="BK75" i="2"/>
  <c r="BK78" i="2"/>
  <c r="BK84" i="2"/>
  <c r="BK87" i="2"/>
  <c r="BK88" i="2"/>
  <c r="BK90" i="2"/>
  <c r="BK91" i="2"/>
  <c r="BK94" i="2"/>
  <c r="BK96" i="2"/>
  <c r="BK97" i="2"/>
  <c r="BK98" i="2"/>
  <c r="BK99" i="2"/>
  <c r="BK104" i="2"/>
  <c r="BK108" i="2"/>
  <c r="BK109" i="2"/>
  <c r="BK110" i="2"/>
  <c r="BK113" i="2"/>
  <c r="BK118" i="2"/>
  <c r="BK120" i="2"/>
  <c r="BK122" i="2"/>
  <c r="BK124" i="2"/>
  <c r="BK3" i="2"/>
  <c r="BF7" i="2"/>
  <c r="BF9" i="2"/>
  <c r="BF10" i="2"/>
  <c r="BF12" i="2"/>
  <c r="BF16" i="2"/>
  <c r="BF17" i="2"/>
  <c r="BF18" i="2"/>
  <c r="BF20" i="2"/>
  <c r="BF24" i="2"/>
  <c r="BF26" i="2"/>
  <c r="BF29" i="2"/>
  <c r="BF30" i="2"/>
  <c r="BF34" i="2"/>
  <c r="BF36" i="2"/>
  <c r="BF38" i="2"/>
  <c r="BF39" i="2"/>
  <c r="BF40" i="2"/>
  <c r="BF42" i="2"/>
  <c r="BF44" i="2"/>
  <c r="BF45" i="2"/>
  <c r="BF46" i="2"/>
  <c r="BF49" i="2"/>
  <c r="BF50" i="2"/>
  <c r="BF51" i="2"/>
  <c r="BF54" i="2"/>
  <c r="BF56" i="2"/>
  <c r="BF59" i="2"/>
  <c r="BF60" i="2"/>
  <c r="BF61" i="2"/>
  <c r="BF62" i="2"/>
  <c r="BF64" i="2"/>
  <c r="BF67" i="2"/>
  <c r="BF68" i="2"/>
  <c r="BF70" i="2"/>
  <c r="BF71" i="2"/>
  <c r="BF73" i="2"/>
  <c r="BF74" i="2"/>
  <c r="BF75" i="2"/>
  <c r="BF78" i="2"/>
  <c r="BF84" i="2"/>
  <c r="BF87" i="2"/>
  <c r="BF88" i="2"/>
  <c r="BF90" i="2"/>
  <c r="BF91" i="2"/>
  <c r="BF94" i="2"/>
  <c r="BF96" i="2"/>
  <c r="BF97" i="2"/>
  <c r="BF98" i="2"/>
  <c r="BF99" i="2"/>
  <c r="BF104" i="2"/>
  <c r="BF108" i="2"/>
  <c r="BF109" i="2"/>
  <c r="BF110" i="2"/>
  <c r="BF113" i="2"/>
  <c r="BF118" i="2"/>
  <c r="BF120" i="2"/>
  <c r="BF122" i="2"/>
  <c r="BF124" i="2"/>
  <c r="BF3" i="2"/>
  <c r="BA7" i="2"/>
  <c r="BA9" i="2"/>
  <c r="BA10" i="2"/>
  <c r="BA12" i="2"/>
  <c r="BA16" i="2"/>
  <c r="BA17" i="2"/>
  <c r="BA18" i="2"/>
  <c r="BA20" i="2"/>
  <c r="BA24" i="2"/>
  <c r="BA26" i="2"/>
  <c r="BA29" i="2"/>
  <c r="BA30" i="2"/>
  <c r="BA34" i="2"/>
  <c r="BA36" i="2"/>
  <c r="BA38" i="2"/>
  <c r="BA39" i="2"/>
  <c r="BA40" i="2"/>
  <c r="BA42" i="2"/>
  <c r="BA44" i="2"/>
  <c r="BA45" i="2"/>
  <c r="BA46" i="2"/>
  <c r="BA49" i="2"/>
  <c r="BA50" i="2"/>
  <c r="BA51" i="2"/>
  <c r="BA54" i="2"/>
  <c r="BA56" i="2"/>
  <c r="BA59" i="2"/>
  <c r="BA60" i="2"/>
  <c r="BA61" i="2"/>
  <c r="BA62" i="2"/>
  <c r="BA64" i="2"/>
  <c r="BA67" i="2"/>
  <c r="BA68" i="2"/>
  <c r="BA70" i="2"/>
  <c r="BA71" i="2"/>
  <c r="BA73" i="2"/>
  <c r="BA74" i="2"/>
  <c r="BA75" i="2"/>
  <c r="BA78" i="2"/>
  <c r="BA84" i="2"/>
  <c r="BA87" i="2"/>
  <c r="BA88" i="2"/>
  <c r="BA90" i="2"/>
  <c r="BA91" i="2"/>
  <c r="BA94" i="2"/>
  <c r="BA96" i="2"/>
  <c r="BA97" i="2"/>
  <c r="BA98" i="2"/>
  <c r="BA99" i="2"/>
  <c r="BA104" i="2"/>
  <c r="BA108" i="2"/>
  <c r="BA109" i="2"/>
  <c r="BA110" i="2"/>
  <c r="BA113" i="2"/>
  <c r="BA118" i="2"/>
  <c r="BA120" i="2"/>
  <c r="BA122" i="2"/>
  <c r="BA124" i="2"/>
  <c r="BA3" i="2"/>
  <c r="AR7" i="2"/>
  <c r="AR9" i="2"/>
  <c r="AR10" i="2"/>
  <c r="AR12" i="2"/>
  <c r="AR16" i="2"/>
  <c r="AR17" i="2"/>
  <c r="AR18" i="2"/>
  <c r="AR20" i="2"/>
  <c r="AR24" i="2"/>
  <c r="AR26" i="2"/>
  <c r="AR29" i="2"/>
  <c r="AR30" i="2"/>
  <c r="AR34" i="2"/>
  <c r="AR36" i="2"/>
  <c r="AR38" i="2"/>
  <c r="AR39" i="2"/>
  <c r="AR40" i="2"/>
  <c r="AR42" i="2"/>
  <c r="AR44" i="2"/>
  <c r="AR45" i="2"/>
  <c r="AR46" i="2"/>
  <c r="AR49" i="2"/>
  <c r="AR50" i="2"/>
  <c r="AR51" i="2"/>
  <c r="AR54" i="2"/>
  <c r="AR56" i="2"/>
  <c r="AR59" i="2"/>
  <c r="AR60" i="2"/>
  <c r="AR61" i="2"/>
  <c r="AR62" i="2"/>
  <c r="AR64" i="2"/>
  <c r="AR67" i="2"/>
  <c r="AR68" i="2"/>
  <c r="AR70" i="2"/>
  <c r="AR71" i="2"/>
  <c r="AR73" i="2"/>
  <c r="AR74" i="2"/>
  <c r="AR75" i="2"/>
  <c r="AR78" i="2"/>
  <c r="AR84" i="2"/>
  <c r="AR87" i="2"/>
  <c r="AR88" i="2"/>
  <c r="AR90" i="2"/>
  <c r="AR91" i="2"/>
  <c r="AR94" i="2"/>
  <c r="AR96" i="2"/>
  <c r="AR97" i="2"/>
  <c r="AR98" i="2"/>
  <c r="AR99" i="2"/>
  <c r="AR104" i="2"/>
  <c r="AR108" i="2"/>
  <c r="AR109" i="2"/>
  <c r="AR110" i="2"/>
  <c r="AR113" i="2"/>
  <c r="AR118" i="2"/>
  <c r="AR120" i="2"/>
  <c r="AR122" i="2"/>
  <c r="AR124" i="2"/>
  <c r="AR3" i="2"/>
  <c r="AM7" i="2"/>
  <c r="AM9" i="2"/>
  <c r="AM10" i="2"/>
  <c r="AM12" i="2"/>
  <c r="AM16" i="2"/>
  <c r="AM17" i="2"/>
  <c r="AM18" i="2"/>
  <c r="AM20" i="2"/>
  <c r="AM24" i="2"/>
  <c r="AM26" i="2"/>
  <c r="AM29" i="2"/>
  <c r="AM30" i="2"/>
  <c r="AM34" i="2"/>
  <c r="AM36" i="2"/>
  <c r="AM38" i="2"/>
  <c r="AM39" i="2"/>
  <c r="AM40" i="2"/>
  <c r="AM42" i="2"/>
  <c r="AM44" i="2"/>
  <c r="AM45" i="2"/>
  <c r="AM46" i="2"/>
  <c r="AM49" i="2"/>
  <c r="AM50" i="2"/>
  <c r="AM51" i="2"/>
  <c r="AM54" i="2"/>
  <c r="AM56" i="2"/>
  <c r="AM59" i="2"/>
  <c r="AM60" i="2"/>
  <c r="AM61" i="2"/>
  <c r="AM62" i="2"/>
  <c r="AM64" i="2"/>
  <c r="AM67" i="2"/>
  <c r="AM68" i="2"/>
  <c r="AM70" i="2"/>
  <c r="AM71" i="2"/>
  <c r="AM73" i="2"/>
  <c r="AM74" i="2"/>
  <c r="AM75" i="2"/>
  <c r="AM78" i="2"/>
  <c r="AM84" i="2"/>
  <c r="AM87" i="2"/>
  <c r="AM88" i="2"/>
  <c r="AM90" i="2"/>
  <c r="AM91" i="2"/>
  <c r="AM94" i="2"/>
  <c r="AM96" i="2"/>
  <c r="AM97" i="2"/>
  <c r="AM98" i="2"/>
  <c r="AM99" i="2"/>
  <c r="AM104" i="2"/>
  <c r="AM108" i="2"/>
  <c r="AM109" i="2"/>
  <c r="AM110" i="2"/>
  <c r="AM113" i="2"/>
  <c r="AM118" i="2"/>
  <c r="AM120" i="2"/>
  <c r="AM122" i="2"/>
  <c r="AM124" i="2"/>
  <c r="AM3" i="2"/>
  <c r="AH7" i="2"/>
  <c r="AH9" i="2"/>
  <c r="AH10" i="2"/>
  <c r="AH12" i="2"/>
  <c r="AH16" i="2"/>
  <c r="AH17" i="2"/>
  <c r="AH18" i="2"/>
  <c r="AH20" i="2"/>
  <c r="AH24" i="2"/>
  <c r="AH26" i="2"/>
  <c r="AH29" i="2"/>
  <c r="AH30" i="2"/>
  <c r="AH34" i="2"/>
  <c r="AH36" i="2"/>
  <c r="AH38" i="2"/>
  <c r="AH39" i="2"/>
  <c r="AH40" i="2"/>
  <c r="AH42" i="2"/>
  <c r="AH44" i="2"/>
  <c r="AH45" i="2"/>
  <c r="AH46" i="2"/>
  <c r="AH49" i="2"/>
  <c r="AH50" i="2"/>
  <c r="AH51" i="2"/>
  <c r="AH54" i="2"/>
  <c r="AH56" i="2"/>
  <c r="AH59" i="2"/>
  <c r="AH60" i="2"/>
  <c r="AH61" i="2"/>
  <c r="AH62" i="2"/>
  <c r="AH64" i="2"/>
  <c r="AH67" i="2"/>
  <c r="AH68" i="2"/>
  <c r="AH70" i="2"/>
  <c r="AH71" i="2"/>
  <c r="AH73" i="2"/>
  <c r="AH74" i="2"/>
  <c r="AH75" i="2"/>
  <c r="AH78" i="2"/>
  <c r="AH84" i="2"/>
  <c r="AH87" i="2"/>
  <c r="AH88" i="2"/>
  <c r="AH90" i="2"/>
  <c r="AH91" i="2"/>
  <c r="AH94" i="2"/>
  <c r="AH96" i="2"/>
  <c r="AH97" i="2"/>
  <c r="AH98" i="2"/>
  <c r="AH99" i="2"/>
  <c r="AH104" i="2"/>
  <c r="AH108" i="2"/>
  <c r="AH109" i="2"/>
  <c r="AH110" i="2"/>
  <c r="AH113" i="2"/>
  <c r="AH118" i="2"/>
  <c r="AH120" i="2"/>
  <c r="AH122" i="2"/>
  <c r="AH124" i="2"/>
  <c r="AH3" i="2"/>
  <c r="S7" i="2"/>
  <c r="S9" i="2"/>
  <c r="S10" i="2"/>
  <c r="S12" i="2"/>
  <c r="S16" i="2"/>
  <c r="S17" i="2"/>
  <c r="S18" i="2"/>
  <c r="S20" i="2"/>
  <c r="S24" i="2"/>
  <c r="S26" i="2"/>
  <c r="S29" i="2"/>
  <c r="S30" i="2"/>
  <c r="S34" i="2"/>
  <c r="S36" i="2"/>
  <c r="S38" i="2"/>
  <c r="S39" i="2"/>
  <c r="S40" i="2"/>
  <c r="S42" i="2"/>
  <c r="S44" i="2"/>
  <c r="S45" i="2"/>
  <c r="S46" i="2"/>
  <c r="S49" i="2"/>
  <c r="S50" i="2"/>
  <c r="S51" i="2"/>
  <c r="S54" i="2"/>
  <c r="S56" i="2"/>
  <c r="S59" i="2"/>
  <c r="S60" i="2"/>
  <c r="S61" i="2"/>
  <c r="S62" i="2"/>
  <c r="S64" i="2"/>
  <c r="S67" i="2"/>
  <c r="S68" i="2"/>
  <c r="S70" i="2"/>
  <c r="S71" i="2"/>
  <c r="S73" i="2"/>
  <c r="S74" i="2"/>
  <c r="S75" i="2"/>
  <c r="S78" i="2"/>
  <c r="S84" i="2"/>
  <c r="S87" i="2"/>
  <c r="S88" i="2"/>
  <c r="S90" i="2"/>
  <c r="S91" i="2"/>
  <c r="S97" i="2"/>
  <c r="S98" i="2"/>
  <c r="S99" i="2"/>
  <c r="S104" i="2"/>
  <c r="S108" i="2"/>
  <c r="S109" i="2"/>
  <c r="S110" i="2"/>
  <c r="S113" i="2"/>
  <c r="S118" i="2"/>
  <c r="S120" i="2"/>
  <c r="S122" i="2"/>
  <c r="S124" i="2"/>
  <c r="S3" i="2"/>
  <c r="AK135" i="28"/>
  <c r="AK134" i="28"/>
  <c r="AK133" i="28"/>
  <c r="AK132" i="28"/>
  <c r="AK131" i="28"/>
  <c r="AK130" i="28"/>
  <c r="AK129" i="28"/>
  <c r="AK128" i="28"/>
  <c r="AK127" i="28"/>
  <c r="AK126" i="28"/>
  <c r="AK125" i="28"/>
  <c r="AK124" i="28"/>
  <c r="AK123" i="28"/>
  <c r="AK122" i="28"/>
  <c r="AK121" i="28"/>
  <c r="AK120" i="28"/>
  <c r="AK119" i="28"/>
  <c r="AK118" i="28"/>
  <c r="AK117" i="28"/>
  <c r="AK116" i="28"/>
  <c r="AK115" i="28"/>
  <c r="AK114" i="28"/>
  <c r="AK113" i="28"/>
  <c r="AK112" i="28"/>
  <c r="AK111" i="28"/>
  <c r="AK110" i="28"/>
  <c r="AK109" i="28"/>
  <c r="AK108" i="28"/>
  <c r="AK107" i="28"/>
  <c r="AK106" i="28"/>
  <c r="AK105" i="28"/>
  <c r="AK104" i="28"/>
  <c r="AK103" i="28"/>
  <c r="AK102" i="28"/>
  <c r="AK101" i="28"/>
  <c r="AK100" i="28"/>
  <c r="AK99" i="28"/>
  <c r="AK98" i="28"/>
  <c r="AK97" i="28"/>
  <c r="AK96" i="28"/>
  <c r="AK95" i="28"/>
  <c r="AK94" i="28"/>
  <c r="AK93" i="28"/>
  <c r="AK92" i="28"/>
  <c r="AK91" i="28"/>
  <c r="AK90" i="28"/>
  <c r="AK89" i="28"/>
  <c r="AK88" i="28"/>
  <c r="AK86" i="28"/>
  <c r="AK85" i="28"/>
  <c r="AK84" i="28"/>
  <c r="AK83" i="28"/>
  <c r="AK82" i="28"/>
  <c r="AK81" i="28"/>
  <c r="AK80" i="28"/>
  <c r="AK79" i="28"/>
  <c r="AK78" i="28"/>
  <c r="AK77" i="28"/>
  <c r="AK75" i="28"/>
  <c r="AK74" i="28"/>
  <c r="AK73" i="28"/>
  <c r="AK72" i="28"/>
  <c r="AK71" i="28"/>
  <c r="AK70" i="28"/>
  <c r="AK69" i="28"/>
  <c r="AK68" i="28"/>
  <c r="AK67" i="28"/>
  <c r="AK66" i="28"/>
  <c r="AK65" i="28"/>
  <c r="AK64" i="28"/>
  <c r="AK63" i="28"/>
  <c r="AK62" i="28"/>
  <c r="AK61" i="28"/>
  <c r="AK59" i="28"/>
  <c r="AK58" i="28"/>
  <c r="AK57" i="28"/>
  <c r="AK49" i="28"/>
  <c r="AK48" i="28"/>
  <c r="AK47" i="28"/>
  <c r="AK46" i="28"/>
  <c r="AK45" i="28"/>
  <c r="AK44" i="28"/>
  <c r="AK43" i="28"/>
  <c r="AK42" i="28"/>
  <c r="AK41" i="28"/>
  <c r="AK40" i="28"/>
  <c r="AK39" i="28"/>
  <c r="AK38" i="28"/>
  <c r="AK37" i="28"/>
  <c r="AK36" i="28"/>
  <c r="AK35" i="28"/>
  <c r="AK34" i="28"/>
  <c r="AK33" i="28"/>
  <c r="AK32" i="28"/>
  <c r="AK31" i="28"/>
  <c r="AK28" i="28"/>
  <c r="AK27" i="28"/>
  <c r="AK26" i="28"/>
  <c r="AK25" i="28"/>
  <c r="AK24" i="28"/>
  <c r="AK23" i="28"/>
  <c r="AK22" i="28"/>
  <c r="AK21" i="28"/>
  <c r="AK20" i="28"/>
  <c r="AK19" i="28"/>
  <c r="AK18" i="28"/>
  <c r="AK17" i="28"/>
  <c r="AK16" i="28"/>
  <c r="AK15" i="28"/>
  <c r="AK14" i="28"/>
  <c r="AK13" i="28"/>
  <c r="AK12" i="28"/>
  <c r="AK11" i="28"/>
  <c r="AK10" i="28"/>
  <c r="AK9" i="28"/>
  <c r="AK8" i="28"/>
  <c r="AK7" i="28"/>
  <c r="AK6" i="28"/>
  <c r="AK5" i="28"/>
  <c r="AK4" i="28"/>
  <c r="AK135" i="27"/>
  <c r="AK134" i="27"/>
  <c r="AK133" i="27"/>
  <c r="AK132" i="27"/>
  <c r="AK131" i="27"/>
  <c r="AK130" i="27"/>
  <c r="AK129" i="27"/>
  <c r="AK128" i="27"/>
  <c r="AK127" i="27"/>
  <c r="AK126" i="27"/>
  <c r="AK125" i="27"/>
  <c r="AK124" i="27"/>
  <c r="AK123" i="27"/>
  <c r="AK122" i="27"/>
  <c r="AK121" i="27"/>
  <c r="AK120" i="27"/>
  <c r="AK119" i="27"/>
  <c r="AK118" i="27"/>
  <c r="AK117" i="27"/>
  <c r="AK116" i="27"/>
  <c r="AK115" i="27"/>
  <c r="AK114" i="27"/>
  <c r="AK113" i="27"/>
  <c r="AK112" i="27"/>
  <c r="AK111" i="27"/>
  <c r="AK110" i="27"/>
  <c r="AK109" i="27"/>
  <c r="AK108" i="27"/>
  <c r="AK107" i="27"/>
  <c r="AK106" i="27"/>
  <c r="AK105" i="27"/>
  <c r="AK104" i="27"/>
  <c r="AK103" i="27"/>
  <c r="AK102" i="27"/>
  <c r="AK101" i="27"/>
  <c r="AK100" i="27"/>
  <c r="AK99" i="27"/>
  <c r="AK98" i="27"/>
  <c r="AK97" i="27"/>
  <c r="AK96" i="27"/>
  <c r="AK95" i="27"/>
  <c r="AK94" i="27"/>
  <c r="AK93" i="27"/>
  <c r="AK92" i="27"/>
  <c r="AK91" i="27"/>
  <c r="AK90" i="27"/>
  <c r="AK89" i="27"/>
  <c r="AK88" i="27"/>
  <c r="AK86" i="27"/>
  <c r="AK85" i="27"/>
  <c r="AK84" i="27"/>
  <c r="AK83" i="27"/>
  <c r="AK82" i="27"/>
  <c r="AK81" i="27"/>
  <c r="AK80" i="27"/>
  <c r="AK79" i="27"/>
  <c r="AK78" i="27"/>
  <c r="AK77" i="27"/>
  <c r="AK75" i="27"/>
  <c r="AK74" i="27"/>
  <c r="AK73" i="27"/>
  <c r="AK72" i="27"/>
  <c r="AK71" i="27"/>
  <c r="AK70" i="27"/>
  <c r="AK69" i="27"/>
  <c r="AK68" i="27"/>
  <c r="AK67" i="27"/>
  <c r="AK66" i="27"/>
  <c r="AK65" i="27"/>
  <c r="AK64" i="27"/>
  <c r="AK63" i="27"/>
  <c r="AK62" i="27"/>
  <c r="AK61" i="27"/>
  <c r="AK59" i="27"/>
  <c r="AK58" i="27"/>
  <c r="AK51" i="27"/>
  <c r="AK50" i="27"/>
  <c r="AK49" i="27"/>
  <c r="AK48" i="27"/>
  <c r="AK47" i="27"/>
  <c r="AK46" i="27"/>
  <c r="AK45" i="27"/>
  <c r="AK44" i="27"/>
  <c r="AK43" i="27"/>
  <c r="AK42" i="27"/>
  <c r="AK41" i="27"/>
  <c r="AK40" i="27"/>
  <c r="AK39" i="27"/>
  <c r="AK38" i="27"/>
  <c r="AK37" i="27"/>
  <c r="AK36" i="27"/>
  <c r="AK35" i="27"/>
  <c r="AK34" i="27"/>
  <c r="AK33" i="27"/>
  <c r="AK32" i="27"/>
  <c r="AK31" i="27"/>
  <c r="AK28" i="27"/>
  <c r="AK27" i="27"/>
  <c r="AK26" i="27"/>
  <c r="AK25" i="27"/>
  <c r="AK24" i="27"/>
  <c r="AK23" i="27"/>
  <c r="AK22" i="27"/>
  <c r="AK21" i="27"/>
  <c r="AK20" i="27"/>
  <c r="AK19" i="27"/>
  <c r="AK18" i="27"/>
  <c r="AK17" i="27"/>
  <c r="AK16" i="27"/>
  <c r="AK15" i="27"/>
  <c r="AK14" i="27"/>
  <c r="AK13" i="27"/>
  <c r="AK12" i="27"/>
  <c r="AK11" i="27"/>
  <c r="AK10" i="27"/>
  <c r="AK9" i="27"/>
  <c r="AK8" i="27"/>
  <c r="AK7" i="27"/>
  <c r="AK6" i="27"/>
  <c r="AK5" i="27"/>
  <c r="AK4" i="27"/>
  <c r="AK135" i="26"/>
  <c r="AK134" i="26"/>
  <c r="AK133" i="26"/>
  <c r="AK132" i="26"/>
  <c r="AK131" i="26"/>
  <c r="AK130" i="26"/>
  <c r="AK129" i="26"/>
  <c r="AK128" i="26"/>
  <c r="AK127" i="26"/>
  <c r="AK126" i="26"/>
  <c r="AK125" i="26"/>
  <c r="AK124" i="26"/>
  <c r="AK123" i="26"/>
  <c r="AK122" i="26"/>
  <c r="AK121" i="26"/>
  <c r="AK120" i="26"/>
  <c r="AK119" i="26"/>
  <c r="AK118" i="26"/>
  <c r="AK117" i="26"/>
  <c r="AK116" i="26"/>
  <c r="AK115" i="26"/>
  <c r="AK114" i="26"/>
  <c r="AK113" i="26"/>
  <c r="AK112" i="26"/>
  <c r="AK111" i="26"/>
  <c r="AK110" i="26"/>
  <c r="AK109" i="26"/>
  <c r="AK108" i="26"/>
  <c r="AK107" i="26"/>
  <c r="AK106" i="26"/>
  <c r="AK105" i="26"/>
  <c r="AK104" i="26"/>
  <c r="AK103" i="26"/>
  <c r="AK102" i="26"/>
  <c r="AK101" i="26"/>
  <c r="AK100" i="26"/>
  <c r="AK99" i="26"/>
  <c r="AK98" i="26"/>
  <c r="AK97" i="26"/>
  <c r="AK96" i="26"/>
  <c r="AK95" i="26"/>
  <c r="AK94" i="26"/>
  <c r="AK93" i="26"/>
  <c r="AK92" i="26"/>
  <c r="AK91" i="26"/>
  <c r="AK90" i="26"/>
  <c r="AK89" i="26"/>
  <c r="AK88" i="26"/>
  <c r="AK86" i="26"/>
  <c r="AK85" i="26"/>
  <c r="AK84" i="26"/>
  <c r="AK83" i="26"/>
  <c r="AK82" i="26"/>
  <c r="AK81" i="26"/>
  <c r="AK80" i="26"/>
  <c r="AK79" i="26"/>
  <c r="AK78" i="26"/>
  <c r="AK77" i="26"/>
  <c r="AK75" i="26"/>
  <c r="AK74" i="26"/>
  <c r="AK73" i="26"/>
  <c r="AK72" i="26"/>
  <c r="AK71" i="26"/>
  <c r="AK70" i="26"/>
  <c r="AK69" i="26"/>
  <c r="AK68" i="26"/>
  <c r="AK67" i="26"/>
  <c r="AK66" i="26"/>
  <c r="AK65" i="26"/>
  <c r="AK64" i="26"/>
  <c r="AK63" i="26"/>
  <c r="AK62" i="26"/>
  <c r="AK61" i="26"/>
  <c r="AK59" i="26"/>
  <c r="AK58" i="26"/>
  <c r="AK57" i="26"/>
  <c r="AK56" i="26"/>
  <c r="AK55" i="26"/>
  <c r="AK50" i="26"/>
  <c r="AK49" i="26"/>
  <c r="AK48" i="26"/>
  <c r="AK47" i="26"/>
  <c r="AK46" i="26"/>
  <c r="AK45" i="26"/>
  <c r="AK44" i="26"/>
  <c r="AK43" i="26"/>
  <c r="AK42" i="26"/>
  <c r="AK41" i="26"/>
  <c r="AK40" i="26"/>
  <c r="AK39" i="26"/>
  <c r="AK38" i="26"/>
  <c r="AK37" i="26"/>
  <c r="AK36" i="26"/>
  <c r="AK35" i="26"/>
  <c r="AK34" i="26"/>
  <c r="AK33" i="26"/>
  <c r="AK32" i="26"/>
  <c r="AK31" i="26"/>
  <c r="AK28" i="26"/>
  <c r="AK27" i="26"/>
  <c r="AK26" i="26"/>
  <c r="AK25" i="26"/>
  <c r="AK24" i="26"/>
  <c r="AK23" i="26"/>
  <c r="AK22" i="26"/>
  <c r="AK21" i="26"/>
  <c r="AK20" i="26"/>
  <c r="AK19" i="26"/>
  <c r="AK18" i="26"/>
  <c r="AK17" i="26"/>
  <c r="AK16" i="26"/>
  <c r="AK15" i="26"/>
  <c r="AK14" i="26"/>
  <c r="AK13" i="26"/>
  <c r="AK12" i="26"/>
  <c r="AK11" i="26"/>
  <c r="AK10" i="26"/>
  <c r="AK9" i="26"/>
  <c r="AK8" i="26"/>
  <c r="AK7" i="26"/>
  <c r="AK6" i="26"/>
  <c r="AK5" i="26"/>
  <c r="AK4" i="26"/>
  <c r="AK135" i="25"/>
  <c r="AK134" i="25"/>
  <c r="AK133" i="25"/>
  <c r="AK132" i="25"/>
  <c r="AK131" i="25"/>
  <c r="AK130" i="25"/>
  <c r="AK129" i="25"/>
  <c r="AK128" i="25"/>
  <c r="AK127" i="25"/>
  <c r="AK126" i="25"/>
  <c r="AK125" i="25"/>
  <c r="AK124" i="25"/>
  <c r="AK123" i="25"/>
  <c r="AK122" i="25"/>
  <c r="AK121" i="25"/>
  <c r="AK120" i="25"/>
  <c r="AK119" i="25"/>
  <c r="AK118" i="25"/>
  <c r="AK117" i="25"/>
  <c r="AK116" i="25"/>
  <c r="AK115" i="25"/>
  <c r="AK114" i="25"/>
  <c r="AK113" i="25"/>
  <c r="AK112" i="25"/>
  <c r="AK111" i="25"/>
  <c r="AK110" i="25"/>
  <c r="AK109" i="25"/>
  <c r="AK108" i="25"/>
  <c r="AK107" i="25"/>
  <c r="AK106" i="25"/>
  <c r="AK105" i="25"/>
  <c r="AK104" i="25"/>
  <c r="AK103" i="25"/>
  <c r="AK102" i="25"/>
  <c r="AK101" i="25"/>
  <c r="AK100" i="25"/>
  <c r="AK99" i="25"/>
  <c r="AK98" i="25"/>
  <c r="AK97" i="25"/>
  <c r="AK96" i="25"/>
  <c r="AK95" i="25"/>
  <c r="AK94" i="25"/>
  <c r="AK93" i="25"/>
  <c r="AK92" i="25"/>
  <c r="AK91" i="25"/>
  <c r="AK90" i="25"/>
  <c r="AK89" i="25"/>
  <c r="AK88" i="25"/>
  <c r="AK86" i="25"/>
  <c r="AK85" i="25"/>
  <c r="AK84" i="25"/>
  <c r="AK83" i="25"/>
  <c r="AK82" i="25"/>
  <c r="AK81" i="25"/>
  <c r="AK80" i="25"/>
  <c r="AK79" i="25"/>
  <c r="AK78" i="25"/>
  <c r="AK77" i="25"/>
  <c r="AK75" i="25"/>
  <c r="AK74" i="25"/>
  <c r="AK73" i="25"/>
  <c r="AK72" i="25"/>
  <c r="AK71" i="25"/>
  <c r="AK70" i="25"/>
  <c r="AK69" i="25"/>
  <c r="AK68" i="25"/>
  <c r="AK67" i="25"/>
  <c r="AK66" i="25"/>
  <c r="AK65" i="25"/>
  <c r="AK64" i="25"/>
  <c r="AK63" i="25"/>
  <c r="AK62" i="25"/>
  <c r="AK61" i="25"/>
  <c r="AK59" i="25"/>
  <c r="AK58" i="25"/>
  <c r="AK57" i="25"/>
  <c r="AK56" i="25"/>
  <c r="AK55" i="25"/>
  <c r="AK50" i="25"/>
  <c r="AK49" i="25"/>
  <c r="AK48" i="25"/>
  <c r="AK47" i="25"/>
  <c r="AK46" i="25"/>
  <c r="AK45" i="25"/>
  <c r="AK44" i="25"/>
  <c r="AK43" i="25"/>
  <c r="AK42" i="25"/>
  <c r="AK41" i="25"/>
  <c r="AK40" i="25"/>
  <c r="AK39" i="25"/>
  <c r="AK38" i="25"/>
  <c r="AK37" i="25"/>
  <c r="AK36" i="25"/>
  <c r="AK35" i="25"/>
  <c r="AK34" i="25"/>
  <c r="AK33" i="25"/>
  <c r="AK32" i="25"/>
  <c r="AK31" i="25"/>
  <c r="AK28" i="25"/>
  <c r="AK27" i="25"/>
  <c r="AK26" i="25"/>
  <c r="AK25" i="25"/>
  <c r="AK24" i="25"/>
  <c r="AK23" i="25"/>
  <c r="AK22" i="25"/>
  <c r="AK21" i="25"/>
  <c r="AK20" i="25"/>
  <c r="AK19" i="25"/>
  <c r="AK18" i="25"/>
  <c r="AK17" i="25"/>
  <c r="AK16" i="25"/>
  <c r="AK15" i="25"/>
  <c r="AK14" i="25"/>
  <c r="AK13" i="25"/>
  <c r="AK12" i="25"/>
  <c r="AK11" i="25"/>
  <c r="AK10" i="25"/>
  <c r="AK9" i="25"/>
  <c r="AK8" i="25"/>
  <c r="AK7" i="25"/>
  <c r="AK6" i="25"/>
  <c r="AK5" i="25"/>
  <c r="AK4" i="25"/>
  <c r="AK135" i="24"/>
  <c r="AK134" i="24"/>
  <c r="AK133" i="24"/>
  <c r="AK132" i="24"/>
  <c r="AK131" i="24"/>
  <c r="AK130" i="24"/>
  <c r="AK129" i="24"/>
  <c r="AK128" i="24"/>
  <c r="AK127" i="24"/>
  <c r="AK126" i="24"/>
  <c r="AK125" i="24"/>
  <c r="AK124" i="24"/>
  <c r="AK123" i="24"/>
  <c r="AK122" i="24"/>
  <c r="AK121" i="24"/>
  <c r="AK120" i="24"/>
  <c r="AK119" i="24"/>
  <c r="AK118" i="24"/>
  <c r="AK117" i="24"/>
  <c r="AK116" i="24"/>
  <c r="AK115" i="24"/>
  <c r="AK114" i="24"/>
  <c r="AK113" i="24"/>
  <c r="AK112" i="24"/>
  <c r="AK111" i="24"/>
  <c r="AK110" i="24"/>
  <c r="AK109" i="24"/>
  <c r="AK108" i="24"/>
  <c r="AK107" i="24"/>
  <c r="AK106" i="24"/>
  <c r="AK105" i="24"/>
  <c r="AK104" i="24"/>
  <c r="AK103" i="24"/>
  <c r="AK102" i="24"/>
  <c r="AK101" i="24"/>
  <c r="AK100" i="24"/>
  <c r="AK99" i="24"/>
  <c r="AK98" i="24"/>
  <c r="AK97" i="24"/>
  <c r="AK96" i="24"/>
  <c r="AK95" i="24"/>
  <c r="AK94" i="24"/>
  <c r="AK93" i="24"/>
  <c r="AK92" i="24"/>
  <c r="AK91" i="24"/>
  <c r="AK90" i="24"/>
  <c r="AK89" i="24"/>
  <c r="AK88" i="24"/>
  <c r="AK86" i="24"/>
  <c r="AK85" i="24"/>
  <c r="AK84" i="24"/>
  <c r="AK83" i="24"/>
  <c r="AK82" i="24"/>
  <c r="AK81" i="24"/>
  <c r="AK80" i="24"/>
  <c r="AK79" i="24"/>
  <c r="AK78" i="24"/>
  <c r="AK77" i="24"/>
  <c r="AK75" i="24"/>
  <c r="AK74" i="24"/>
  <c r="AK73" i="24"/>
  <c r="AK72" i="24"/>
  <c r="AK71" i="24"/>
  <c r="AK70" i="24"/>
  <c r="AK69" i="24"/>
  <c r="AK68" i="24"/>
  <c r="AK67" i="24"/>
  <c r="AK66" i="24"/>
  <c r="AK65" i="24"/>
  <c r="AK64" i="24"/>
  <c r="AK63" i="24"/>
  <c r="AK62" i="24"/>
  <c r="AK61" i="24"/>
  <c r="AK59" i="24"/>
  <c r="AK58" i="24"/>
  <c r="AK57" i="24"/>
  <c r="AK56" i="24"/>
  <c r="AK50" i="24"/>
  <c r="AK49" i="24"/>
  <c r="AK48" i="24"/>
  <c r="AK47" i="24"/>
  <c r="AK46" i="24"/>
  <c r="AK45" i="24"/>
  <c r="AK44" i="24"/>
  <c r="AK43" i="24"/>
  <c r="AK42" i="24"/>
  <c r="AK41" i="24"/>
  <c r="AK40" i="24"/>
  <c r="AK39" i="24"/>
  <c r="AK38" i="24"/>
  <c r="AK37" i="24"/>
  <c r="AK36" i="24"/>
  <c r="AK35" i="24"/>
  <c r="AK34" i="24"/>
  <c r="AK33" i="24"/>
  <c r="AK32" i="24"/>
  <c r="AK31" i="24"/>
  <c r="AK28" i="24"/>
  <c r="AK27" i="24"/>
  <c r="AK26" i="24"/>
  <c r="AK25" i="24"/>
  <c r="AK24" i="24"/>
  <c r="AK23" i="24"/>
  <c r="AK22" i="24"/>
  <c r="AK21" i="24"/>
  <c r="AK20" i="24"/>
  <c r="AK19" i="24"/>
  <c r="AK18" i="24"/>
  <c r="AK17" i="24"/>
  <c r="AK16" i="24"/>
  <c r="AK15" i="24"/>
  <c r="AK14" i="24"/>
  <c r="AK13" i="24"/>
  <c r="AK12" i="24"/>
  <c r="AK11" i="24"/>
  <c r="AK10" i="24"/>
  <c r="AK9" i="24"/>
  <c r="AK8" i="24"/>
  <c r="AK7" i="24"/>
  <c r="AK6" i="24"/>
  <c r="AK5" i="24"/>
  <c r="AK4" i="24"/>
  <c r="AK135" i="23"/>
  <c r="AK134" i="23"/>
  <c r="AK133" i="23"/>
  <c r="AK132" i="23"/>
  <c r="AK131" i="23"/>
  <c r="AK130" i="23"/>
  <c r="AK129" i="23"/>
  <c r="AK128" i="23"/>
  <c r="AK127" i="23"/>
  <c r="AK126" i="23"/>
  <c r="AK125" i="23"/>
  <c r="AK124" i="23"/>
  <c r="AK123" i="23"/>
  <c r="AK122" i="23"/>
  <c r="AK121" i="23"/>
  <c r="AK120" i="23"/>
  <c r="AK119" i="23"/>
  <c r="AK118" i="23"/>
  <c r="AK117" i="23"/>
  <c r="AK116" i="23"/>
  <c r="AK115" i="23"/>
  <c r="AK114" i="23"/>
  <c r="AK113" i="23"/>
  <c r="AK112" i="23"/>
  <c r="AK111" i="23"/>
  <c r="AK110" i="23"/>
  <c r="AK109" i="23"/>
  <c r="AK108" i="23"/>
  <c r="AK107" i="23"/>
  <c r="AK106" i="23"/>
  <c r="AK105" i="23"/>
  <c r="AK104" i="23"/>
  <c r="AK103" i="23"/>
  <c r="AK102" i="23"/>
  <c r="AK101" i="23"/>
  <c r="AK100" i="23"/>
  <c r="AK99" i="23"/>
  <c r="AK98" i="23"/>
  <c r="AK97" i="23"/>
  <c r="AK96" i="23"/>
  <c r="AK95" i="23"/>
  <c r="AK94" i="23"/>
  <c r="AK93" i="23"/>
  <c r="AK92" i="23"/>
  <c r="AK91" i="23"/>
  <c r="AK90" i="23"/>
  <c r="AK89" i="23"/>
  <c r="AK88" i="23"/>
  <c r="AK86" i="23"/>
  <c r="AK85" i="23"/>
  <c r="AK84" i="23"/>
  <c r="AK83" i="23"/>
  <c r="AK82" i="23"/>
  <c r="AK81" i="23"/>
  <c r="AK80" i="23"/>
  <c r="AK79" i="23"/>
  <c r="AK78" i="23"/>
  <c r="AK77" i="23"/>
  <c r="AK75" i="23"/>
  <c r="AK74" i="23"/>
  <c r="AK73" i="23"/>
  <c r="AK72" i="23"/>
  <c r="AK71" i="23"/>
  <c r="AK70" i="23"/>
  <c r="AK69" i="23"/>
  <c r="AK68" i="23"/>
  <c r="AK67" i="23"/>
  <c r="AK66" i="23"/>
  <c r="AK65" i="23"/>
  <c r="AK64" i="23"/>
  <c r="AK63" i="23"/>
  <c r="AK62" i="23"/>
  <c r="AK61" i="23"/>
  <c r="AK59" i="23"/>
  <c r="AK58" i="23"/>
  <c r="AK57" i="23"/>
  <c r="AK50" i="23"/>
  <c r="AK49" i="23"/>
  <c r="AK48" i="23"/>
  <c r="AK47" i="23"/>
  <c r="AK46" i="23"/>
  <c r="AK45" i="23"/>
  <c r="AK44" i="23"/>
  <c r="AK43" i="23"/>
  <c r="AK42" i="23"/>
  <c r="AK41" i="23"/>
  <c r="AK40" i="23"/>
  <c r="AK39" i="23"/>
  <c r="AK38" i="23"/>
  <c r="AK37" i="23"/>
  <c r="AK36" i="23"/>
  <c r="AK35" i="23"/>
  <c r="AK34" i="23"/>
  <c r="AK33" i="23"/>
  <c r="AK32" i="23"/>
  <c r="AK31" i="23"/>
  <c r="AK28" i="23"/>
  <c r="AK27" i="23"/>
  <c r="AK26" i="23"/>
  <c r="AK25" i="23"/>
  <c r="AK24" i="23"/>
  <c r="AK23" i="23"/>
  <c r="AK22" i="23"/>
  <c r="AK21" i="23"/>
  <c r="AK20" i="23"/>
  <c r="AK19" i="23"/>
  <c r="AK18" i="23"/>
  <c r="AK17" i="23"/>
  <c r="AK16" i="23"/>
  <c r="AK15" i="23"/>
  <c r="AK14" i="23"/>
  <c r="AK13" i="23"/>
  <c r="AK12" i="23"/>
  <c r="AK11" i="23"/>
  <c r="AK10" i="23"/>
  <c r="AK9" i="23"/>
  <c r="AK8" i="23"/>
  <c r="AK7" i="23"/>
  <c r="AK6" i="23"/>
  <c r="AK5" i="23"/>
  <c r="AK4" i="23"/>
  <c r="AK135" i="22"/>
  <c r="AK134" i="22"/>
  <c r="AK133" i="22"/>
  <c r="AK132" i="22"/>
  <c r="AK131" i="22"/>
  <c r="AK130" i="22"/>
  <c r="AK129" i="22"/>
  <c r="AK128" i="22"/>
  <c r="AK127" i="22"/>
  <c r="AK126" i="22"/>
  <c r="AK125" i="22"/>
  <c r="AK124" i="22"/>
  <c r="AK123" i="22"/>
  <c r="AK122" i="22"/>
  <c r="AK121" i="22"/>
  <c r="AK120" i="22"/>
  <c r="AK119" i="22"/>
  <c r="AK118" i="22"/>
  <c r="AK117" i="22"/>
  <c r="AK116" i="22"/>
  <c r="AK115" i="22"/>
  <c r="AK114" i="22"/>
  <c r="AK113" i="22"/>
  <c r="AK112" i="22"/>
  <c r="AK111" i="22"/>
  <c r="AK110" i="22"/>
  <c r="AK109" i="22"/>
  <c r="AK108" i="22"/>
  <c r="AK107" i="22"/>
  <c r="AK106" i="22"/>
  <c r="AK105" i="22"/>
  <c r="AK104" i="22"/>
  <c r="AK103" i="22"/>
  <c r="AK102" i="22"/>
  <c r="AK101" i="22"/>
  <c r="AK100" i="22"/>
  <c r="AK99" i="22"/>
  <c r="AK98" i="22"/>
  <c r="AK97" i="22"/>
  <c r="AK96" i="22"/>
  <c r="AK95" i="22"/>
  <c r="AK94" i="22"/>
  <c r="AK93" i="22"/>
  <c r="AK92" i="22"/>
  <c r="AK91" i="22"/>
  <c r="AK90" i="22"/>
  <c r="AK89" i="22"/>
  <c r="AK88" i="22"/>
  <c r="AK86" i="22"/>
  <c r="AK85" i="22"/>
  <c r="AK84" i="22"/>
  <c r="AK83" i="22"/>
  <c r="AK82" i="22"/>
  <c r="AK81" i="22"/>
  <c r="AK80" i="22"/>
  <c r="AK79" i="22"/>
  <c r="AK78" i="22"/>
  <c r="AK77" i="22"/>
  <c r="AK75" i="22"/>
  <c r="AK74" i="22"/>
  <c r="AK73" i="22"/>
  <c r="AK72" i="22"/>
  <c r="AK71" i="22"/>
  <c r="AK70" i="22"/>
  <c r="AK69" i="22"/>
  <c r="AK68" i="22"/>
  <c r="AK67" i="22"/>
  <c r="AK66" i="22"/>
  <c r="AK65" i="22"/>
  <c r="AK64" i="22"/>
  <c r="AK63" i="22"/>
  <c r="AK62" i="22"/>
  <c r="AK61" i="22"/>
  <c r="AK59" i="22"/>
  <c r="AK58" i="22"/>
  <c r="AK57" i="22"/>
  <c r="AK56" i="22"/>
  <c r="AK51" i="22"/>
  <c r="AK50" i="22"/>
  <c r="AK49" i="22"/>
  <c r="AK48" i="22"/>
  <c r="AK47" i="22"/>
  <c r="AK46" i="22"/>
  <c r="AK45" i="22"/>
  <c r="AK44" i="22"/>
  <c r="AK43" i="22"/>
  <c r="AK42" i="22"/>
  <c r="AK41" i="22"/>
  <c r="AK40" i="22"/>
  <c r="AK39" i="22"/>
  <c r="AK38" i="22"/>
  <c r="AK37" i="22"/>
  <c r="AK36" i="22"/>
  <c r="AK35" i="22"/>
  <c r="AK34" i="22"/>
  <c r="AK33" i="22"/>
  <c r="AK32" i="22"/>
  <c r="AK31" i="22"/>
  <c r="AK28" i="22"/>
  <c r="AK27" i="22"/>
  <c r="AK26" i="22"/>
  <c r="AK25" i="22"/>
  <c r="AK24" i="22"/>
  <c r="AK23" i="22"/>
  <c r="AK22" i="22"/>
  <c r="AK21" i="22"/>
  <c r="AK20" i="22"/>
  <c r="AK19" i="22"/>
  <c r="AK18" i="22"/>
  <c r="AK17" i="22"/>
  <c r="AK16" i="22"/>
  <c r="AK15" i="22"/>
  <c r="AK14" i="22"/>
  <c r="AK13" i="22"/>
  <c r="AK12" i="22"/>
  <c r="AK11" i="22"/>
  <c r="AK10" i="22"/>
  <c r="AK9" i="22"/>
  <c r="AK8" i="22"/>
  <c r="AK7" i="22"/>
  <c r="AK6" i="22"/>
  <c r="AK5" i="22"/>
  <c r="AK4" i="22"/>
  <c r="AK135" i="21"/>
  <c r="AK134" i="21"/>
  <c r="AK133" i="21"/>
  <c r="AK132" i="21"/>
  <c r="AK131" i="21"/>
  <c r="AK130" i="21"/>
  <c r="AK129" i="21"/>
  <c r="AK128" i="21"/>
  <c r="AK127" i="21"/>
  <c r="AK126" i="21"/>
  <c r="AK125" i="21"/>
  <c r="AK124" i="21"/>
  <c r="AK123" i="21"/>
  <c r="AK122" i="21"/>
  <c r="AK121" i="21"/>
  <c r="AK120" i="21"/>
  <c r="AK119" i="21"/>
  <c r="AK118" i="21"/>
  <c r="AK117" i="21"/>
  <c r="AK116" i="21"/>
  <c r="AK115" i="21"/>
  <c r="AK114" i="21"/>
  <c r="AK113" i="21"/>
  <c r="AK112" i="21"/>
  <c r="AK111" i="21"/>
  <c r="AK110" i="21"/>
  <c r="AK109" i="21"/>
  <c r="AK108" i="21"/>
  <c r="AK107" i="21"/>
  <c r="AK106" i="21"/>
  <c r="AK105" i="21"/>
  <c r="AK104" i="21"/>
  <c r="AK103" i="21"/>
  <c r="AK102" i="21"/>
  <c r="AK101" i="21"/>
  <c r="AK100" i="21"/>
  <c r="AK99" i="21"/>
  <c r="AK98" i="21"/>
  <c r="AK97" i="21"/>
  <c r="AK96" i="21"/>
  <c r="AK95" i="21"/>
  <c r="AK94" i="21"/>
  <c r="AK93" i="21"/>
  <c r="AK92" i="21"/>
  <c r="AK91" i="21"/>
  <c r="AK90" i="21"/>
  <c r="AK89" i="21"/>
  <c r="AK88" i="21"/>
  <c r="AK86" i="21"/>
  <c r="AK85" i="21"/>
  <c r="AK84" i="21"/>
  <c r="AK83" i="21"/>
  <c r="AK82" i="21"/>
  <c r="AK81" i="21"/>
  <c r="AK80" i="21"/>
  <c r="AK79" i="21"/>
  <c r="AK78" i="21"/>
  <c r="AK77" i="21"/>
  <c r="AK75" i="21"/>
  <c r="AK74" i="21"/>
  <c r="AK73" i="21"/>
  <c r="AK72" i="21"/>
  <c r="AK71" i="21"/>
  <c r="AK70" i="21"/>
  <c r="AK69" i="21"/>
  <c r="AK68" i="21"/>
  <c r="AK67" i="21"/>
  <c r="AK66" i="21"/>
  <c r="AK65" i="21"/>
  <c r="AK64" i="21"/>
  <c r="AK63" i="21"/>
  <c r="AK62" i="21"/>
  <c r="AK61" i="21"/>
  <c r="AK59" i="21"/>
  <c r="AK58" i="21"/>
  <c r="AK57" i="21"/>
  <c r="AK56" i="21"/>
  <c r="AK55" i="21"/>
  <c r="AK50" i="21"/>
  <c r="AK49" i="21"/>
  <c r="AK48" i="21"/>
  <c r="AK47" i="21"/>
  <c r="AK46" i="21"/>
  <c r="AK45" i="21"/>
  <c r="AK44" i="21"/>
  <c r="AK43" i="21"/>
  <c r="AK42" i="21"/>
  <c r="AK41" i="21"/>
  <c r="AK40" i="21"/>
  <c r="AK39" i="21"/>
  <c r="AK38" i="21"/>
  <c r="AK37" i="21"/>
  <c r="AK36" i="21"/>
  <c r="AK35" i="21"/>
  <c r="AK34" i="21"/>
  <c r="AK33" i="21"/>
  <c r="AK32" i="21"/>
  <c r="AK31" i="21"/>
  <c r="AK28" i="21"/>
  <c r="AK27" i="21"/>
  <c r="AK26" i="21"/>
  <c r="AK25" i="21"/>
  <c r="AK24" i="21"/>
  <c r="AK23" i="21"/>
  <c r="AK22" i="21"/>
  <c r="AK21" i="21"/>
  <c r="AK20" i="21"/>
  <c r="AK19" i="21"/>
  <c r="AK18" i="21"/>
  <c r="AK17" i="21"/>
  <c r="AK16" i="21"/>
  <c r="AK15" i="21"/>
  <c r="AK14" i="21"/>
  <c r="AK13" i="21"/>
  <c r="AK12" i="21"/>
  <c r="AK11" i="21"/>
  <c r="AK10" i="21"/>
  <c r="AK9" i="21"/>
  <c r="AK8" i="21"/>
  <c r="AK7" i="21"/>
  <c r="AK6" i="21"/>
  <c r="AK5" i="21"/>
  <c r="AK4" i="21"/>
  <c r="AK135" i="20"/>
  <c r="AK134" i="20"/>
  <c r="AK133" i="20"/>
  <c r="AK132" i="20"/>
  <c r="AK131" i="20"/>
  <c r="AK130" i="20"/>
  <c r="AK129" i="20"/>
  <c r="AK128" i="20"/>
  <c r="AK127" i="20"/>
  <c r="AK126" i="20"/>
  <c r="AK125" i="20"/>
  <c r="AK124" i="20"/>
  <c r="AK123" i="20"/>
  <c r="AK122" i="20"/>
  <c r="AK121" i="20"/>
  <c r="AK120" i="20"/>
  <c r="AK119" i="20"/>
  <c r="AK118" i="20"/>
  <c r="AK117" i="20"/>
  <c r="AK116" i="20"/>
  <c r="AK115" i="20"/>
  <c r="AK114" i="20"/>
  <c r="AK113" i="20"/>
  <c r="AK112" i="20"/>
  <c r="AK111" i="20"/>
  <c r="AK110" i="20"/>
  <c r="AK109" i="20"/>
  <c r="AK108" i="20"/>
  <c r="AK107" i="20"/>
  <c r="AK106" i="20"/>
  <c r="AK105" i="20"/>
  <c r="AK104" i="20"/>
  <c r="AK103" i="20"/>
  <c r="AK102" i="20"/>
  <c r="AK101" i="20"/>
  <c r="AK100" i="20"/>
  <c r="AK99" i="20"/>
  <c r="AK98" i="20"/>
  <c r="AK97" i="20"/>
  <c r="AK96" i="20"/>
  <c r="AK95" i="20"/>
  <c r="AK94" i="20"/>
  <c r="AK93" i="20"/>
  <c r="AK92" i="20"/>
  <c r="AK91" i="20"/>
  <c r="AK90" i="20"/>
  <c r="AK89" i="20"/>
  <c r="AK88" i="20"/>
  <c r="AK86" i="20"/>
  <c r="AK85" i="20"/>
  <c r="AK84" i="20"/>
  <c r="AK83" i="20"/>
  <c r="AK82" i="20"/>
  <c r="AK81" i="20"/>
  <c r="AK80" i="20"/>
  <c r="AK79" i="20"/>
  <c r="AK78" i="20"/>
  <c r="AK77" i="20"/>
  <c r="AK75" i="20"/>
  <c r="AK74" i="20"/>
  <c r="AK73" i="20"/>
  <c r="AK72" i="20"/>
  <c r="AK71" i="20"/>
  <c r="AK70" i="20"/>
  <c r="AK69" i="20"/>
  <c r="AK68" i="20"/>
  <c r="AK67" i="20"/>
  <c r="AK66" i="20"/>
  <c r="AK65" i="20"/>
  <c r="AK64" i="20"/>
  <c r="AK63" i="20"/>
  <c r="AK62" i="20"/>
  <c r="AK61" i="20"/>
  <c r="AK59" i="20"/>
  <c r="AK58" i="20"/>
  <c r="AK57" i="20"/>
  <c r="AK56" i="20"/>
  <c r="AK50" i="20"/>
  <c r="AK49" i="20"/>
  <c r="AK48" i="20"/>
  <c r="AK47" i="20"/>
  <c r="AK46" i="20"/>
  <c r="AK45" i="20"/>
  <c r="AK44" i="20"/>
  <c r="AK43" i="20"/>
  <c r="AK42" i="20"/>
  <c r="AK41" i="20"/>
  <c r="AK40" i="20"/>
  <c r="AK39" i="20"/>
  <c r="AK38" i="20"/>
  <c r="AK37" i="20"/>
  <c r="AK36" i="20"/>
  <c r="AK35" i="20"/>
  <c r="AK34" i="20"/>
  <c r="AK33" i="20"/>
  <c r="AK32" i="20"/>
  <c r="AK31" i="20"/>
  <c r="AK28" i="20"/>
  <c r="AK27" i="20"/>
  <c r="AK26" i="20"/>
  <c r="AK25" i="20"/>
  <c r="AK24" i="20"/>
  <c r="AK23" i="20"/>
  <c r="AK22" i="20"/>
  <c r="AK21" i="20"/>
  <c r="AK20" i="20"/>
  <c r="AK19" i="20"/>
  <c r="AK18" i="20"/>
  <c r="AK17" i="20"/>
  <c r="AK16" i="20"/>
  <c r="AK15" i="20"/>
  <c r="AK14" i="20"/>
  <c r="AK13" i="20"/>
  <c r="AK12" i="20"/>
  <c r="AK11" i="20"/>
  <c r="AK10" i="20"/>
  <c r="AK9" i="20"/>
  <c r="AK8" i="20"/>
  <c r="AK7" i="20"/>
  <c r="AK6" i="20"/>
  <c r="AK5" i="20"/>
  <c r="AK4" i="20"/>
  <c r="AK135" i="19"/>
  <c r="AK134" i="19"/>
  <c r="AK133" i="19"/>
  <c r="AK132" i="19"/>
  <c r="AK131" i="19"/>
  <c r="AK130" i="19"/>
  <c r="AK129" i="19"/>
  <c r="AK128" i="19"/>
  <c r="AK127" i="19"/>
  <c r="AK126" i="19"/>
  <c r="AK125" i="19"/>
  <c r="AK124" i="19"/>
  <c r="AK123" i="19"/>
  <c r="AK122" i="19"/>
  <c r="AK121" i="19"/>
  <c r="AK120" i="19"/>
  <c r="AK119" i="19"/>
  <c r="AK118" i="19"/>
  <c r="AK117" i="19"/>
  <c r="AK116" i="19"/>
  <c r="AK115" i="19"/>
  <c r="AK114" i="19"/>
  <c r="AK113" i="19"/>
  <c r="AK112" i="19"/>
  <c r="AK111" i="19"/>
  <c r="AK110" i="19"/>
  <c r="AK109" i="19"/>
  <c r="AK108" i="19"/>
  <c r="AK107" i="19"/>
  <c r="AK106" i="19"/>
  <c r="AK105" i="19"/>
  <c r="AK104" i="19"/>
  <c r="AK103" i="19"/>
  <c r="AK102" i="19"/>
  <c r="AK101" i="19"/>
  <c r="AK100" i="19"/>
  <c r="AK99" i="19"/>
  <c r="AK98" i="19"/>
  <c r="AK97" i="19"/>
  <c r="AK96" i="19"/>
  <c r="AK95" i="19"/>
  <c r="AK94" i="19"/>
  <c r="AK93" i="19"/>
  <c r="AK92" i="19"/>
  <c r="AK91" i="19"/>
  <c r="AK90" i="19"/>
  <c r="AK89" i="19"/>
  <c r="AK88" i="19"/>
  <c r="AK86" i="19"/>
  <c r="AK85" i="19"/>
  <c r="AK84" i="19"/>
  <c r="AK83" i="19"/>
  <c r="AK82" i="19"/>
  <c r="AK81" i="19"/>
  <c r="AK80" i="19"/>
  <c r="AK79" i="19"/>
  <c r="AK78" i="19"/>
  <c r="AK77" i="19"/>
  <c r="AK75" i="19"/>
  <c r="AK74" i="19"/>
  <c r="AK73" i="19"/>
  <c r="AK72" i="19"/>
  <c r="AK71" i="19"/>
  <c r="AK70" i="19"/>
  <c r="AK69" i="19"/>
  <c r="AK68" i="19"/>
  <c r="AK67" i="19"/>
  <c r="AK66" i="19"/>
  <c r="AK65" i="19"/>
  <c r="AK64" i="19"/>
  <c r="AK63" i="19"/>
  <c r="AK62" i="19"/>
  <c r="AK61" i="19"/>
  <c r="AK59" i="19"/>
  <c r="AK58" i="19"/>
  <c r="AK57" i="19"/>
  <c r="AK56" i="19"/>
  <c r="AK55" i="19"/>
  <c r="AK50" i="19"/>
  <c r="AK49" i="19"/>
  <c r="AK48" i="19"/>
  <c r="AK47" i="19"/>
  <c r="AK46" i="19"/>
  <c r="AK45" i="19"/>
  <c r="AK44" i="19"/>
  <c r="AK43" i="19"/>
  <c r="AK42" i="19"/>
  <c r="AK41" i="19"/>
  <c r="AK40" i="19"/>
  <c r="AK39" i="19"/>
  <c r="AK38" i="19"/>
  <c r="AK37" i="19"/>
  <c r="AK36" i="19"/>
  <c r="AK35" i="19"/>
  <c r="AK34" i="19"/>
  <c r="AK33" i="19"/>
  <c r="AK32" i="19"/>
  <c r="AK31" i="19"/>
  <c r="AK28" i="19"/>
  <c r="AK27" i="19"/>
  <c r="AK26" i="19"/>
  <c r="AK25" i="19"/>
  <c r="AK24" i="19"/>
  <c r="AK23" i="19"/>
  <c r="AK22" i="19"/>
  <c r="AK21" i="19"/>
  <c r="AK20" i="19"/>
  <c r="AK19" i="19"/>
  <c r="AK18" i="19"/>
  <c r="AK17" i="19"/>
  <c r="AK16" i="19"/>
  <c r="AK15" i="19"/>
  <c r="AK14" i="19"/>
  <c r="AK13" i="19"/>
  <c r="AK12" i="19"/>
  <c r="AK11" i="19"/>
  <c r="AK10" i="19"/>
  <c r="AK9" i="19"/>
  <c r="AK8" i="19"/>
  <c r="AK7" i="19"/>
  <c r="AK6" i="19"/>
  <c r="AK5" i="19"/>
  <c r="AK4" i="19"/>
  <c r="AK135" i="18"/>
  <c r="O104" i="2" s="1"/>
  <c r="AK134" i="18"/>
  <c r="O97" i="2" s="1"/>
  <c r="AK133" i="18"/>
  <c r="O94" i="2" s="1"/>
  <c r="AK132" i="18"/>
  <c r="O93" i="2" s="1"/>
  <c r="AK131" i="18"/>
  <c r="O91" i="2" s="1"/>
  <c r="AK130" i="18"/>
  <c r="O90" i="2" s="1"/>
  <c r="AK129" i="18"/>
  <c r="O86" i="2" s="1"/>
  <c r="AK128" i="18"/>
  <c r="O74" i="2" s="1"/>
  <c r="AK127" i="18"/>
  <c r="O73" i="2" s="1"/>
  <c r="AK126" i="18"/>
  <c r="O62" i="2" s="1"/>
  <c r="AK125" i="18"/>
  <c r="O60" i="2" s="1"/>
  <c r="AK124" i="18"/>
  <c r="O53" i="2" s="1"/>
  <c r="AK123" i="18"/>
  <c r="O42" i="2" s="1"/>
  <c r="AK122" i="18"/>
  <c r="O34" i="2" s="1"/>
  <c r="AK121" i="18"/>
  <c r="O27" i="2" s="1"/>
  <c r="AK120" i="18"/>
  <c r="O18" i="2" s="1"/>
  <c r="AK119" i="18"/>
  <c r="O3" i="2" s="1"/>
  <c r="AK118" i="18"/>
  <c r="AK117" i="18"/>
  <c r="AK116" i="18"/>
  <c r="O119" i="2" s="1"/>
  <c r="AK115" i="18"/>
  <c r="O111" i="2" s="1"/>
  <c r="AK114" i="18"/>
  <c r="O107" i="2" s="1"/>
  <c r="AK113" i="18"/>
  <c r="O105" i="2" s="1"/>
  <c r="AK112" i="18"/>
  <c r="O79" i="2" s="1"/>
  <c r="AK111" i="18"/>
  <c r="O76" i="2" s="1"/>
  <c r="AK110" i="18"/>
  <c r="O58" i="2" s="1"/>
  <c r="AK109" i="18"/>
  <c r="O55" i="2" s="1"/>
  <c r="AK108" i="18"/>
  <c r="O52" i="2" s="1"/>
  <c r="AK107" i="18"/>
  <c r="O47" i="2" s="1"/>
  <c r="AK106" i="18"/>
  <c r="O23" i="2" s="1"/>
  <c r="AK105" i="18"/>
  <c r="O6" i="2" s="1"/>
  <c r="AK104" i="18"/>
  <c r="O123" i="2" s="1"/>
  <c r="AK103" i="18"/>
  <c r="O114" i="2" s="1"/>
  <c r="AK102" i="18"/>
  <c r="O115" i="2" s="1"/>
  <c r="AK101" i="18"/>
  <c r="O101" i="2" s="1"/>
  <c r="AK100" i="18"/>
  <c r="O82" i="2" s="1"/>
  <c r="AK99" i="18"/>
  <c r="O49" i="2" s="1"/>
  <c r="AK98" i="18"/>
  <c r="O35" i="2" s="1"/>
  <c r="AK97" i="18"/>
  <c r="O22" i="2" s="1"/>
  <c r="AK96" i="18"/>
  <c r="AK95" i="18"/>
  <c r="O120" i="2" s="1"/>
  <c r="AK94" i="18"/>
  <c r="O96" i="2" s="1"/>
  <c r="AK93" i="18"/>
  <c r="O71" i="2" s="1"/>
  <c r="AK92" i="18"/>
  <c r="O46" i="2" s="1"/>
  <c r="AK91" i="18"/>
  <c r="O44" i="2" s="1"/>
  <c r="AK90" i="18"/>
  <c r="O25" i="2" s="1"/>
  <c r="AK89" i="18"/>
  <c r="O17" i="2" s="1"/>
  <c r="AK88" i="18"/>
  <c r="AK86" i="18"/>
  <c r="O124" i="2" s="1"/>
  <c r="AK85" i="18"/>
  <c r="O118" i="2" s="1"/>
  <c r="AK84" i="18"/>
  <c r="O112" i="2" s="1"/>
  <c r="AK83" i="18"/>
  <c r="O110" i="2" s="1"/>
  <c r="AK82" i="18"/>
  <c r="O84" i="2" s="1"/>
  <c r="AK81" i="18"/>
  <c r="O70" i="2" s="1"/>
  <c r="AK80" i="18"/>
  <c r="O68" i="2" s="1"/>
  <c r="AK79" i="18"/>
  <c r="O45" i="2" s="1"/>
  <c r="AK78" i="18"/>
  <c r="O30" i="2" s="1"/>
  <c r="AK77" i="18"/>
  <c r="AK75" i="18"/>
  <c r="O113" i="2" s="1"/>
  <c r="AK74" i="18"/>
  <c r="O109" i="2" s="1"/>
  <c r="AK73" i="18"/>
  <c r="O98" i="2" s="1"/>
  <c r="AK72" i="18"/>
  <c r="O83" i="2" s="1"/>
  <c r="AK71" i="18"/>
  <c r="O81" i="2" s="1"/>
  <c r="AK70" i="18"/>
  <c r="O66" i="2" s="1"/>
  <c r="AK69" i="18"/>
  <c r="O63" i="2" s="1"/>
  <c r="AK68" i="18"/>
  <c r="O50" i="2" s="1"/>
  <c r="AK67" i="18"/>
  <c r="O48" i="2" s="1"/>
  <c r="AK66" i="18"/>
  <c r="O39" i="2" s="1"/>
  <c r="AK65" i="18"/>
  <c r="O33" i="2" s="1"/>
  <c r="AK64" i="18"/>
  <c r="O29" i="2" s="1"/>
  <c r="AK63" i="18"/>
  <c r="O9" i="2" s="1"/>
  <c r="AK62" i="18"/>
  <c r="O7" i="2" s="1"/>
  <c r="AK61" i="18"/>
  <c r="AK59" i="18"/>
  <c r="O103" i="2" s="1"/>
  <c r="AK58" i="18"/>
  <c r="O92" i="2" s="1"/>
  <c r="AK57" i="18"/>
  <c r="O59" i="2" s="1"/>
  <c r="AK56" i="18"/>
  <c r="O56" i="2" s="1"/>
  <c r="AK55" i="18"/>
  <c r="O106" i="2" s="1"/>
  <c r="AK54" i="18"/>
  <c r="O100" i="2" s="1"/>
  <c r="O88" i="2"/>
  <c r="AK51" i="18"/>
  <c r="O78" i="2" s="1"/>
  <c r="AK50" i="18"/>
  <c r="O77" i="2" s="1"/>
  <c r="AK49" i="18"/>
  <c r="O67" i="2" s="1"/>
  <c r="AK48" i="18"/>
  <c r="O61" i="2" s="1"/>
  <c r="AK47" i="18"/>
  <c r="O57" i="2" s="1"/>
  <c r="AK46" i="18"/>
  <c r="O43" i="2" s="1"/>
  <c r="AK45" i="18"/>
  <c r="O38" i="2" s="1"/>
  <c r="AK44" i="18"/>
  <c r="O19" i="2" s="1"/>
  <c r="AK43" i="18"/>
  <c r="O15" i="2" s="1"/>
  <c r="AK42" i="18"/>
  <c r="O5" i="2" s="1"/>
  <c r="AK41" i="18"/>
  <c r="AK40" i="18"/>
  <c r="AK39" i="18"/>
  <c r="O121" i="2" s="1"/>
  <c r="AK38" i="18"/>
  <c r="O80" i="2" s="1"/>
  <c r="AK37" i="18"/>
  <c r="O72" i="2" s="1"/>
  <c r="AK36" i="18"/>
  <c r="O65" i="2" s="1"/>
  <c r="AK35" i="18"/>
  <c r="O40" i="2" s="1"/>
  <c r="AK34" i="18"/>
  <c r="O37" i="2" s="1"/>
  <c r="AK33" i="18"/>
  <c r="O28" i="2" s="1"/>
  <c r="AK32" i="18"/>
  <c r="O21" i="2" s="1"/>
  <c r="AK31" i="18"/>
  <c r="AK28" i="18"/>
  <c r="O122" i="2" s="1"/>
  <c r="AK27" i="18"/>
  <c r="O108" i="2" s="1"/>
  <c r="AK26" i="18"/>
  <c r="O102" i="2" s="1"/>
  <c r="AK25" i="18"/>
  <c r="O89" i="2" s="1"/>
  <c r="AK24" i="18"/>
  <c r="O87" i="2" s="1"/>
  <c r="AK23" i="18"/>
  <c r="O85" i="2" s="1"/>
  <c r="AK22" i="18"/>
  <c r="O69" i="2" s="1"/>
  <c r="AK21" i="18"/>
  <c r="O64" i="2" s="1"/>
  <c r="AK20" i="18"/>
  <c r="O54" i="2" s="1"/>
  <c r="AK19" i="18"/>
  <c r="O51" i="2" s="1"/>
  <c r="AK18" i="18"/>
  <c r="AK17" i="18"/>
  <c r="O41" i="2" s="1"/>
  <c r="AK16" i="18"/>
  <c r="O32" i="2" s="1"/>
  <c r="AK15" i="18"/>
  <c r="O20" i="2" s="1"/>
  <c r="AK14" i="18"/>
  <c r="O16" i="2" s="1"/>
  <c r="AK13" i="18"/>
  <c r="O14" i="2" s="1"/>
  <c r="AK12" i="18"/>
  <c r="O11" i="2" s="1"/>
  <c r="AK11" i="18"/>
  <c r="O8" i="2" s="1"/>
  <c r="AK10" i="18"/>
  <c r="O4" i="2" s="1"/>
  <c r="AK9" i="18"/>
  <c r="O99" i="2" s="1"/>
  <c r="AK8" i="18"/>
  <c r="O75" i="2" s="1"/>
  <c r="AK7" i="18"/>
  <c r="O36" i="2" s="1"/>
  <c r="AK6" i="18"/>
  <c r="O26" i="2" s="1"/>
  <c r="AK5" i="18"/>
  <c r="O24" i="2" s="1"/>
  <c r="AK4" i="18"/>
  <c r="O10" i="2" s="1"/>
  <c r="N7" i="2"/>
  <c r="N9" i="2"/>
  <c r="N10" i="2"/>
  <c r="N12" i="2"/>
  <c r="N16" i="2"/>
  <c r="N17" i="2"/>
  <c r="N18" i="2"/>
  <c r="N20" i="2"/>
  <c r="N24" i="2"/>
  <c r="N26" i="2"/>
  <c r="N29" i="2"/>
  <c r="N30" i="2"/>
  <c r="N34" i="2"/>
  <c r="N36" i="2"/>
  <c r="N38" i="2"/>
  <c r="N39" i="2"/>
  <c r="N40" i="2"/>
  <c r="N42" i="2"/>
  <c r="N44" i="2"/>
  <c r="N45" i="2"/>
  <c r="N46" i="2"/>
  <c r="N49" i="2"/>
  <c r="N50" i="2"/>
  <c r="N51" i="2"/>
  <c r="N54" i="2"/>
  <c r="N56" i="2"/>
  <c r="N59" i="2"/>
  <c r="N60" i="2"/>
  <c r="N61" i="2"/>
  <c r="N62" i="2"/>
  <c r="N64" i="2"/>
  <c r="N67" i="2"/>
  <c r="N68" i="2"/>
  <c r="N70" i="2"/>
  <c r="N71" i="2"/>
  <c r="N73" i="2"/>
  <c r="N74" i="2"/>
  <c r="N75" i="2"/>
  <c r="N78" i="2"/>
  <c r="N84" i="2"/>
  <c r="N87" i="2"/>
  <c r="N88" i="2"/>
  <c r="N90" i="2"/>
  <c r="N91" i="2"/>
  <c r="N94" i="2"/>
  <c r="N98" i="2"/>
  <c r="N99" i="2"/>
  <c r="N104" i="2"/>
  <c r="N108" i="2"/>
  <c r="N109" i="2"/>
  <c r="N110" i="2"/>
  <c r="N113" i="2"/>
  <c r="N118" i="2"/>
  <c r="N120" i="2"/>
  <c r="N122" i="2"/>
  <c r="N124" i="2"/>
  <c r="N3" i="2"/>
  <c r="CA116" i="2" l="1"/>
  <c r="CF116" i="2" s="1"/>
  <c r="AK136" i="28"/>
  <c r="AK136" i="27"/>
  <c r="AK136" i="26"/>
  <c r="AK136" i="25"/>
  <c r="AK136" i="24"/>
  <c r="AK136" i="23"/>
  <c r="AK136" i="22"/>
  <c r="AK136" i="21"/>
  <c r="AK136" i="20"/>
  <c r="AK136" i="19"/>
  <c r="AK136" i="18"/>
  <c r="BP125" i="2"/>
  <c r="BS123" i="2"/>
  <c r="BS122" i="2"/>
  <c r="BS119" i="2"/>
  <c r="BS118" i="2"/>
  <c r="BS114" i="2"/>
  <c r="BS108" i="2"/>
  <c r="BS103" i="2"/>
  <c r="BS102" i="2"/>
  <c r="BS96" i="2"/>
  <c r="BS90" i="2"/>
  <c r="BS89" i="2"/>
  <c r="BS84" i="2"/>
  <c r="BS79" i="2"/>
  <c r="BS78" i="2"/>
  <c r="BS72" i="2"/>
  <c r="BS67" i="2"/>
  <c r="BS66" i="2"/>
  <c r="BS63" i="2"/>
  <c r="BS60" i="2"/>
  <c r="BS56" i="2"/>
  <c r="BS55" i="2"/>
  <c r="BS52" i="2"/>
  <c r="BS49" i="2"/>
  <c r="BS44" i="2"/>
  <c r="BS43" i="2"/>
  <c r="BS40" i="2"/>
  <c r="BS37" i="2"/>
  <c r="BS33" i="2"/>
  <c r="BS32" i="2"/>
  <c r="BS31" i="2"/>
  <c r="BS28" i="2"/>
  <c r="BS26" i="2"/>
  <c r="BS20" i="2"/>
  <c r="BS19" i="2"/>
  <c r="BS16" i="2"/>
  <c r="BS15" i="2"/>
  <c r="BS14" i="2"/>
  <c r="BS8" i="2"/>
  <c r="BS7" i="2"/>
  <c r="BS4" i="2"/>
  <c r="M125" i="2"/>
  <c r="L125" i="2"/>
  <c r="AD125" i="2"/>
  <c r="C128" i="15"/>
  <c r="AE52" i="2"/>
  <c r="AG52" i="2" s="1"/>
  <c r="H52" i="2"/>
  <c r="Y52" i="2" s="1"/>
  <c r="AK107" i="3"/>
  <c r="AK108" i="3"/>
  <c r="CE52" i="2" s="1"/>
  <c r="AK109" i="3"/>
  <c r="AK110" i="3"/>
  <c r="AK111" i="3"/>
  <c r="AK112" i="3"/>
  <c r="F128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5" i="15"/>
  <c r="C126" i="15"/>
  <c r="C127" i="15"/>
  <c r="C124" i="15"/>
  <c r="AE33" i="2"/>
  <c r="AG33" i="2" s="1"/>
  <c r="H33" i="2"/>
  <c r="Y33" i="2" s="1"/>
  <c r="AK64" i="3"/>
  <c r="AK65" i="3"/>
  <c r="CE33" i="2" s="1"/>
  <c r="AK66" i="3"/>
  <c r="AK67" i="3"/>
  <c r="F127" i="15"/>
  <c r="BS5" i="2"/>
  <c r="BS6" i="2"/>
  <c r="BS9" i="2"/>
  <c r="BS10" i="2"/>
  <c r="BS11" i="2"/>
  <c r="BS12" i="2"/>
  <c r="BS13" i="2"/>
  <c r="BS17" i="2"/>
  <c r="BS18" i="2"/>
  <c r="BS21" i="2"/>
  <c r="BS22" i="2"/>
  <c r="BS23" i="2"/>
  <c r="BS24" i="2"/>
  <c r="BS25" i="2"/>
  <c r="BS29" i="2"/>
  <c r="BS30" i="2"/>
  <c r="BS34" i="2"/>
  <c r="BS35" i="2"/>
  <c r="BS36" i="2"/>
  <c r="BS38" i="2"/>
  <c r="BS39" i="2"/>
  <c r="BS41" i="2"/>
  <c r="BS42" i="2"/>
  <c r="BS45" i="2"/>
  <c r="BS46" i="2"/>
  <c r="BS47" i="2"/>
  <c r="BS48" i="2"/>
  <c r="BS50" i="2"/>
  <c r="BS51" i="2"/>
  <c r="BS53" i="2"/>
  <c r="BS54" i="2"/>
  <c r="BS57" i="2"/>
  <c r="BS58" i="2"/>
  <c r="BS59" i="2"/>
  <c r="BS61" i="2"/>
  <c r="BS62" i="2"/>
  <c r="BS64" i="2"/>
  <c r="BS65" i="2"/>
  <c r="BS68" i="2"/>
  <c r="BS69" i="2"/>
  <c r="BS70" i="2"/>
  <c r="BS71" i="2"/>
  <c r="BS73" i="2"/>
  <c r="BS75" i="2"/>
  <c r="BS76" i="2"/>
  <c r="BS77" i="2"/>
  <c r="BS80" i="2"/>
  <c r="BS81" i="2"/>
  <c r="BS82" i="2"/>
  <c r="BS83" i="2"/>
  <c r="BS85" i="2"/>
  <c r="BS86" i="2"/>
  <c r="BS87" i="2"/>
  <c r="BS88" i="2"/>
  <c r="BS91" i="2"/>
  <c r="BS92" i="2"/>
  <c r="BS93" i="2"/>
  <c r="BS94" i="2"/>
  <c r="BS98" i="2"/>
  <c r="BS99" i="2"/>
  <c r="BS101" i="2"/>
  <c r="BS104" i="2"/>
  <c r="BS105" i="2"/>
  <c r="BS106" i="2"/>
  <c r="BS107" i="2"/>
  <c r="BS109" i="2"/>
  <c r="BS110" i="2"/>
  <c r="BS111" i="2"/>
  <c r="BS112" i="2"/>
  <c r="BS113" i="2"/>
  <c r="BS120" i="2"/>
  <c r="BS121" i="2"/>
  <c r="BS124" i="2"/>
  <c r="BA52" i="2" l="1"/>
  <c r="AR52" i="2"/>
  <c r="AM52" i="2"/>
  <c r="AH52" i="2"/>
  <c r="S52" i="2"/>
  <c r="BF52" i="2"/>
  <c r="BK52" i="2"/>
  <c r="BT52" i="2"/>
  <c r="BY52" i="2"/>
  <c r="CD52" i="2"/>
  <c r="N52" i="2"/>
  <c r="P52" i="2" s="1"/>
  <c r="AM33" i="2"/>
  <c r="CD33" i="2"/>
  <c r="AH33" i="2"/>
  <c r="N33" i="2"/>
  <c r="P33" i="2" s="1"/>
  <c r="AR33" i="2"/>
  <c r="BK33" i="2"/>
  <c r="BA33" i="2"/>
  <c r="BY33" i="2"/>
  <c r="BF33" i="2"/>
  <c r="S33" i="2"/>
  <c r="BT33" i="2"/>
  <c r="D128" i="15"/>
  <c r="D127" i="15"/>
  <c r="V33" i="2" l="1"/>
  <c r="V52" i="2"/>
  <c r="H81" i="2"/>
  <c r="Y81" i="2" s="1"/>
  <c r="AK70" i="3"/>
  <c r="AK71" i="3"/>
  <c r="CE81" i="2" s="1"/>
  <c r="AK72" i="3"/>
  <c r="F126" i="15"/>
  <c r="AE81" i="2"/>
  <c r="AG81" i="2" s="1"/>
  <c r="AA52" i="2" l="1"/>
  <c r="AN52" i="2" s="1"/>
  <c r="AI52" i="2"/>
  <c r="AA33" i="2"/>
  <c r="AN33" i="2" s="1"/>
  <c r="AI33" i="2"/>
  <c r="BF81" i="2"/>
  <c r="S81" i="2"/>
  <c r="N81" i="2"/>
  <c r="P81" i="2" s="1"/>
  <c r="BK81" i="2"/>
  <c r="CD81" i="2"/>
  <c r="AM81" i="2"/>
  <c r="AR81" i="2"/>
  <c r="AH81" i="2"/>
  <c r="BY81" i="2"/>
  <c r="BT81" i="2"/>
  <c r="BA81" i="2"/>
  <c r="D126" i="15"/>
  <c r="AJ52" i="2" l="1"/>
  <c r="AO52" i="2" s="1"/>
  <c r="AJ33" i="2"/>
  <c r="AO33" i="2" s="1"/>
  <c r="V81" i="2"/>
  <c r="AA81" i="2" l="1"/>
  <c r="AI81" i="2"/>
  <c r="AT52" i="2"/>
  <c r="BC52" i="2" s="1"/>
  <c r="AT33" i="2"/>
  <c r="BC33" i="2" s="1"/>
  <c r="AJ81" i="2" l="1"/>
  <c r="AN81" i="2"/>
  <c r="AO81" i="2" s="1"/>
  <c r="AT81" i="2" s="1"/>
  <c r="BC81" i="2" s="1"/>
  <c r="BH52" i="2" l="1"/>
  <c r="BU52" i="2" s="1"/>
  <c r="BH33" i="2"/>
  <c r="BU33" i="2" s="1"/>
  <c r="BM52" i="2" l="1"/>
  <c r="BZ52" i="2" s="1"/>
  <c r="BM33" i="2"/>
  <c r="BZ33" i="2" s="1"/>
  <c r="BV52" i="2" l="1"/>
  <c r="BV33" i="2"/>
  <c r="BH81" i="2"/>
  <c r="BU81" i="2" s="1"/>
  <c r="CA52" i="2" l="1"/>
  <c r="CA33" i="2"/>
  <c r="BM81" i="2"/>
  <c r="BZ81" i="2" s="1"/>
  <c r="CF52" i="2" l="1"/>
  <c r="CF33" i="2"/>
  <c r="BV81" i="2"/>
  <c r="CA81" i="2" l="1"/>
  <c r="CF81" i="2" l="1"/>
  <c r="G61" i="16" l="1"/>
  <c r="P62" i="2"/>
  <c r="P10" i="2"/>
  <c r="P75" i="2"/>
  <c r="P67" i="2"/>
  <c r="BS100" i="2"/>
  <c r="BS115" i="2"/>
  <c r="BS3" i="2"/>
  <c r="BS27" i="2"/>
  <c r="BS74" i="2"/>
  <c r="BS97" i="2"/>
  <c r="F17" i="15"/>
  <c r="F30" i="15"/>
  <c r="F41" i="15"/>
  <c r="F71" i="15"/>
  <c r="F91" i="15"/>
  <c r="F12" i="15"/>
  <c r="F120" i="15"/>
  <c r="F18" i="15"/>
  <c r="F118" i="15"/>
  <c r="F22" i="15"/>
  <c r="F26" i="15"/>
  <c r="F38" i="15"/>
  <c r="F121" i="15"/>
  <c r="F46" i="15"/>
  <c r="F55" i="15"/>
  <c r="F56" i="15"/>
  <c r="F62" i="15"/>
  <c r="F65" i="15"/>
  <c r="F119" i="15"/>
  <c r="F80" i="15"/>
  <c r="F82" i="15"/>
  <c r="F93" i="15"/>
  <c r="F99" i="15"/>
  <c r="F109" i="15"/>
  <c r="F20" i="15"/>
  <c r="F27" i="15"/>
  <c r="F35" i="15"/>
  <c r="F42" i="15"/>
  <c r="F45" i="15"/>
  <c r="F113" i="15"/>
  <c r="F68" i="15"/>
  <c r="F122" i="15"/>
  <c r="F108" i="15"/>
  <c r="F13" i="15"/>
  <c r="F21" i="15"/>
  <c r="F25" i="15"/>
  <c r="F43" i="15"/>
  <c r="F48" i="15"/>
  <c r="F125" i="15"/>
  <c r="F60" i="15"/>
  <c r="F63" i="15"/>
  <c r="F81" i="15"/>
  <c r="F112" i="15"/>
  <c r="F98" i="15"/>
  <c r="F57" i="15"/>
  <c r="F58" i="15"/>
  <c r="F85" i="15"/>
  <c r="F15" i="15"/>
  <c r="F16" i="15"/>
  <c r="F36" i="15"/>
  <c r="F44" i="15"/>
  <c r="F115" i="15"/>
  <c r="F54" i="15"/>
  <c r="F77" i="15"/>
  <c r="F100" i="15"/>
  <c r="F103" i="15"/>
  <c r="F37" i="15"/>
  <c r="F50" i="15"/>
  <c r="F64" i="15"/>
  <c r="F66" i="15"/>
  <c r="F78" i="15"/>
  <c r="F101" i="15"/>
  <c r="F105" i="15"/>
  <c r="F111" i="15"/>
  <c r="F23" i="15"/>
  <c r="F31" i="15"/>
  <c r="F49" i="15"/>
  <c r="F51" i="15"/>
  <c r="F67" i="15"/>
  <c r="F88" i="15"/>
  <c r="F107" i="15"/>
  <c r="F19" i="15"/>
  <c r="F40" i="15"/>
  <c r="F53" i="15"/>
  <c r="F76" i="15"/>
  <c r="F92" i="15"/>
  <c r="F104" i="15"/>
  <c r="F32" i="15"/>
  <c r="F110" i="15"/>
  <c r="F14" i="15"/>
  <c r="F52" i="15"/>
  <c r="F116" i="15"/>
  <c r="F123" i="15"/>
  <c r="F72" i="15"/>
  <c r="F75" i="15"/>
  <c r="F96" i="15"/>
  <c r="F97" i="15"/>
  <c r="F102" i="15"/>
  <c r="F106" i="15"/>
  <c r="F11" i="15"/>
  <c r="F24" i="15"/>
  <c r="F34" i="15"/>
  <c r="F39" i="15"/>
  <c r="F47" i="15"/>
  <c r="F117" i="15"/>
  <c r="F59" i="15"/>
  <c r="F69" i="15"/>
  <c r="F70" i="15"/>
  <c r="F79" i="15"/>
  <c r="F83" i="15"/>
  <c r="F84" i="15"/>
  <c r="F86" i="15"/>
  <c r="F87" i="15"/>
  <c r="F89" i="15"/>
  <c r="F95" i="15"/>
  <c r="AK4" i="3"/>
  <c r="CE10" i="2" s="1"/>
  <c r="AK5" i="3"/>
  <c r="CE24" i="2" s="1"/>
  <c r="AK6" i="3"/>
  <c r="CE26" i="2" s="1"/>
  <c r="AK7" i="3"/>
  <c r="AK8" i="3"/>
  <c r="CE75" i="2" s="1"/>
  <c r="AK9" i="3"/>
  <c r="CE99" i="2" s="1"/>
  <c r="AK10" i="3"/>
  <c r="CE4" i="2" s="1"/>
  <c r="AK11" i="3"/>
  <c r="CE8" i="2" s="1"/>
  <c r="AK12" i="3"/>
  <c r="CE11" i="2" s="1"/>
  <c r="AK13" i="3"/>
  <c r="CE14" i="2" s="1"/>
  <c r="AK14" i="3"/>
  <c r="CE16" i="2" s="1"/>
  <c r="AK15" i="3"/>
  <c r="CE20" i="2" s="1"/>
  <c r="CE31" i="2"/>
  <c r="AK16" i="3"/>
  <c r="CE32" i="2" s="1"/>
  <c r="AK17" i="3"/>
  <c r="CE41" i="2" s="1"/>
  <c r="AK18" i="3"/>
  <c r="AK19" i="3"/>
  <c r="CE51" i="2" s="1"/>
  <c r="AK20" i="3"/>
  <c r="CE54" i="2" s="1"/>
  <c r="AK21" i="3"/>
  <c r="CE64" i="2" s="1"/>
  <c r="AK22" i="3"/>
  <c r="CE69" i="2" s="1"/>
  <c r="AK23" i="3"/>
  <c r="CE85" i="2" s="1"/>
  <c r="AK24" i="3"/>
  <c r="CE87" i="2" s="1"/>
  <c r="AK25" i="3"/>
  <c r="CE89" i="2" s="1"/>
  <c r="AK26" i="3"/>
  <c r="CE102" i="2" s="1"/>
  <c r="AK27" i="3"/>
  <c r="CE108" i="2" s="1"/>
  <c r="AK28" i="3"/>
  <c r="CE122" i="2" s="1"/>
  <c r="AK31" i="3"/>
  <c r="CE13" i="2" s="1"/>
  <c r="AK32" i="3"/>
  <c r="CE21" i="2" s="1"/>
  <c r="AK33" i="3"/>
  <c r="CE28" i="2" s="1"/>
  <c r="AK34" i="3"/>
  <c r="CE37" i="2" s="1"/>
  <c r="AK35" i="3"/>
  <c r="CE40" i="2" s="1"/>
  <c r="AK36" i="3"/>
  <c r="CE65" i="2" s="1"/>
  <c r="AK37" i="3"/>
  <c r="CE72" i="2" s="1"/>
  <c r="AK38" i="3"/>
  <c r="CE80" i="2" s="1"/>
  <c r="AK39" i="3"/>
  <c r="CE121" i="2" s="1"/>
  <c r="AK59" i="3"/>
  <c r="CE103" i="2" s="1"/>
  <c r="AK40" i="3"/>
  <c r="AK41" i="3"/>
  <c r="AK42" i="3"/>
  <c r="CE5" i="2" s="1"/>
  <c r="AK43" i="3"/>
  <c r="CE15" i="2" s="1"/>
  <c r="AK44" i="3"/>
  <c r="CE19" i="2" s="1"/>
  <c r="AK45" i="3"/>
  <c r="CE38" i="2" s="1"/>
  <c r="AK46" i="3"/>
  <c r="CE43" i="2" s="1"/>
  <c r="AK47" i="3"/>
  <c r="CE57" i="2" s="1"/>
  <c r="AK48" i="3"/>
  <c r="CE61" i="2" s="1"/>
  <c r="AK49" i="3"/>
  <c r="CE67" i="2" s="1"/>
  <c r="AK50" i="3"/>
  <c r="CE77" i="2" s="1"/>
  <c r="AK51" i="3"/>
  <c r="CE78" i="2" s="1"/>
  <c r="CE88" i="2"/>
  <c r="CE100" i="2"/>
  <c r="CE106" i="2"/>
  <c r="AK56" i="3"/>
  <c r="CE56" i="2" s="1"/>
  <c r="AK57" i="3"/>
  <c r="CE59" i="2" s="1"/>
  <c r="AK58" i="3"/>
  <c r="CE92" i="2" s="1"/>
  <c r="AK61" i="3"/>
  <c r="AK62" i="3"/>
  <c r="CE7" i="2" s="1"/>
  <c r="AK63" i="3"/>
  <c r="CE9" i="2" s="1"/>
  <c r="CE39" i="2"/>
  <c r="CE48" i="2"/>
  <c r="AK68" i="3"/>
  <c r="CE50" i="2" s="1"/>
  <c r="AK69" i="3"/>
  <c r="CE63" i="2" s="1"/>
  <c r="CE83" i="2"/>
  <c r="AK73" i="3"/>
  <c r="CE98" i="2" s="1"/>
  <c r="AK74" i="3"/>
  <c r="CE109" i="2" s="1"/>
  <c r="AK75" i="3"/>
  <c r="CE113" i="2" s="1"/>
  <c r="AK77" i="3"/>
  <c r="AK78" i="3"/>
  <c r="CE30" i="2" s="1"/>
  <c r="AK79" i="3"/>
  <c r="CE45" i="2" s="1"/>
  <c r="AK80" i="3"/>
  <c r="CE68" i="2" s="1"/>
  <c r="AK81" i="3"/>
  <c r="CE70" i="2" s="1"/>
  <c r="AK82" i="3"/>
  <c r="CE84" i="2" s="1"/>
  <c r="AK83" i="3"/>
  <c r="CE110" i="2" s="1"/>
  <c r="AK84" i="3"/>
  <c r="CE112" i="2" s="1"/>
  <c r="AK85" i="3"/>
  <c r="CE118" i="2" s="1"/>
  <c r="AK86" i="3"/>
  <c r="CE124" i="2" s="1"/>
  <c r="AK88" i="3"/>
  <c r="AK89" i="3"/>
  <c r="CE17" i="2" s="1"/>
  <c r="AK90" i="3"/>
  <c r="CE25" i="2" s="1"/>
  <c r="AK91" i="3"/>
  <c r="CE44" i="2" s="1"/>
  <c r="AK92" i="3"/>
  <c r="CE46" i="2" s="1"/>
  <c r="AK93" i="3"/>
  <c r="CE71" i="2" s="1"/>
  <c r="AK94" i="3"/>
  <c r="CE96" i="2" s="1"/>
  <c r="AK95" i="3"/>
  <c r="CE120" i="2" s="1"/>
  <c r="AK96" i="3"/>
  <c r="CE12" i="2" s="1"/>
  <c r="AK97" i="3"/>
  <c r="CE22" i="2" s="1"/>
  <c r="AK98" i="3"/>
  <c r="CE35" i="2" s="1"/>
  <c r="AK99" i="3"/>
  <c r="CE49" i="2" s="1"/>
  <c r="AK100" i="3"/>
  <c r="CE82" i="2" s="1"/>
  <c r="AK101" i="3"/>
  <c r="CE101" i="2" s="1"/>
  <c r="AK102" i="3"/>
  <c r="CE115" i="2" s="1"/>
  <c r="AK103" i="3"/>
  <c r="CE114" i="2" s="1"/>
  <c r="AK104" i="3"/>
  <c r="CE123" i="2" s="1"/>
  <c r="AK105" i="3"/>
  <c r="CE6" i="2" s="1"/>
  <c r="AK106" i="3"/>
  <c r="CE23" i="2" s="1"/>
  <c r="CE47" i="2"/>
  <c r="CE55" i="2"/>
  <c r="CE58" i="2"/>
  <c r="CE76" i="2"/>
  <c r="CE79" i="2"/>
  <c r="AK113" i="3"/>
  <c r="CE105" i="2" s="1"/>
  <c r="AK114" i="3"/>
  <c r="CE107" i="2" s="1"/>
  <c r="AK115" i="3"/>
  <c r="CE111" i="2" s="1"/>
  <c r="AK116" i="3"/>
  <c r="CE119" i="2" s="1"/>
  <c r="AK117" i="3"/>
  <c r="AK118" i="3"/>
  <c r="AK119" i="3"/>
  <c r="CE3" i="2" s="1"/>
  <c r="AK120" i="3"/>
  <c r="CE18" i="2" s="1"/>
  <c r="AK121" i="3"/>
  <c r="CE27" i="2" s="1"/>
  <c r="AK122" i="3"/>
  <c r="CE34" i="2" s="1"/>
  <c r="AK123" i="3"/>
  <c r="CE42" i="2" s="1"/>
  <c r="AK124" i="3"/>
  <c r="CE53" i="2" s="1"/>
  <c r="AK125" i="3"/>
  <c r="CE60" i="2" s="1"/>
  <c r="AK126" i="3"/>
  <c r="CE62" i="2" s="1"/>
  <c r="AK127" i="3"/>
  <c r="CE73" i="2" s="1"/>
  <c r="AK128" i="3"/>
  <c r="CE74" i="2" s="1"/>
  <c r="AK129" i="3"/>
  <c r="CE86" i="2" s="1"/>
  <c r="AK130" i="3"/>
  <c r="CE90" i="2" s="1"/>
  <c r="AK131" i="3"/>
  <c r="CE91" i="2" s="1"/>
  <c r="AK132" i="3"/>
  <c r="CE93" i="2" s="1"/>
  <c r="AK133" i="3"/>
  <c r="CE94" i="2" s="1"/>
  <c r="AK134" i="3"/>
  <c r="CE97" i="2" s="1"/>
  <c r="AK135" i="3"/>
  <c r="CE104" i="2" s="1"/>
  <c r="AE3" i="2"/>
  <c r="AG3" i="2" s="1"/>
  <c r="H4" i="2"/>
  <c r="Y4" i="2" s="1"/>
  <c r="AE4" i="2"/>
  <c r="AG4" i="2" s="1"/>
  <c r="H5" i="2"/>
  <c r="Y5" i="2" s="1"/>
  <c r="AE5" i="2"/>
  <c r="AG5" i="2" s="1"/>
  <c r="H6" i="2"/>
  <c r="Y6" i="2" s="1"/>
  <c r="AE6" i="2"/>
  <c r="AG6" i="2" s="1"/>
  <c r="P7" i="2"/>
  <c r="AE7" i="2"/>
  <c r="AG7" i="2" s="1"/>
  <c r="H8" i="2"/>
  <c r="Y8" i="2" s="1"/>
  <c r="AE8" i="2"/>
  <c r="AG8" i="2" s="1"/>
  <c r="P9" i="2"/>
  <c r="AE9" i="2"/>
  <c r="AG9" i="2" s="1"/>
  <c r="AE10" i="2"/>
  <c r="AG10" i="2" s="1"/>
  <c r="H11" i="2"/>
  <c r="Y11" i="2" s="1"/>
  <c r="AE11" i="2"/>
  <c r="AG11" i="2" s="1"/>
  <c r="P12" i="2"/>
  <c r="AE12" i="2"/>
  <c r="AG12" i="2" s="1"/>
  <c r="H13" i="2"/>
  <c r="Y13" i="2" s="1"/>
  <c r="AE13" i="2"/>
  <c r="AG13" i="2" s="1"/>
  <c r="H14" i="2"/>
  <c r="Y14" i="2" s="1"/>
  <c r="AE14" i="2"/>
  <c r="AG14" i="2" s="1"/>
  <c r="H15" i="2"/>
  <c r="Y15" i="2" s="1"/>
  <c r="AE15" i="2"/>
  <c r="AG15" i="2" s="1"/>
  <c r="P16" i="2"/>
  <c r="AE16" i="2"/>
  <c r="AG16" i="2" s="1"/>
  <c r="P17" i="2"/>
  <c r="AE17" i="2"/>
  <c r="AG17" i="2" s="1"/>
  <c r="P18" i="2"/>
  <c r="AE18" i="2"/>
  <c r="AG18" i="2" s="1"/>
  <c r="H19" i="2"/>
  <c r="Y19" i="2" s="1"/>
  <c r="AE19" i="2"/>
  <c r="AG19" i="2" s="1"/>
  <c r="P20" i="2"/>
  <c r="AE20" i="2"/>
  <c r="AG20" i="2" s="1"/>
  <c r="H21" i="2"/>
  <c r="Y21" i="2" s="1"/>
  <c r="AE21" i="2"/>
  <c r="AG21" i="2" s="1"/>
  <c r="H22" i="2"/>
  <c r="Y22" i="2" s="1"/>
  <c r="AE22" i="2"/>
  <c r="AG22" i="2" s="1"/>
  <c r="F28" i="15"/>
  <c r="H23" i="2"/>
  <c r="Y23" i="2" s="1"/>
  <c r="AE23" i="2"/>
  <c r="AG23" i="2" s="1"/>
  <c r="F29" i="15"/>
  <c r="P24" i="2"/>
  <c r="AE24" i="2"/>
  <c r="AG24" i="2" s="1"/>
  <c r="H25" i="2"/>
  <c r="Y25" i="2" s="1"/>
  <c r="AE25" i="2"/>
  <c r="AG25" i="2" s="1"/>
  <c r="P26" i="2"/>
  <c r="AE26" i="2"/>
  <c r="AG26" i="2" s="1"/>
  <c r="F33" i="15"/>
  <c r="H27" i="2"/>
  <c r="Y27" i="2" s="1"/>
  <c r="AE27" i="2"/>
  <c r="AG27" i="2" s="1"/>
  <c r="H28" i="2"/>
  <c r="Y28" i="2" s="1"/>
  <c r="AE28" i="2"/>
  <c r="AG28" i="2" s="1"/>
  <c r="P29" i="2"/>
  <c r="AE29" i="2"/>
  <c r="AG29" i="2" s="1"/>
  <c r="CE29" i="2"/>
  <c r="P30" i="2"/>
  <c r="AE30" i="2"/>
  <c r="AG30" i="2" s="1"/>
  <c r="H31" i="2"/>
  <c r="Y31" i="2" s="1"/>
  <c r="AE31" i="2"/>
  <c r="AG31" i="2" s="1"/>
  <c r="H32" i="2"/>
  <c r="Y32" i="2" s="1"/>
  <c r="AE32" i="2"/>
  <c r="AG32" i="2" s="1"/>
  <c r="P34" i="2"/>
  <c r="AE34" i="2"/>
  <c r="AG34" i="2" s="1"/>
  <c r="H35" i="2"/>
  <c r="Y35" i="2" s="1"/>
  <c r="AE35" i="2"/>
  <c r="AG35" i="2" s="1"/>
  <c r="P36" i="2"/>
  <c r="AE36" i="2"/>
  <c r="AG36" i="2" s="1"/>
  <c r="H37" i="2"/>
  <c r="Y37" i="2" s="1"/>
  <c r="AE37" i="2"/>
  <c r="AG37" i="2" s="1"/>
  <c r="P38" i="2"/>
  <c r="AE38" i="2"/>
  <c r="AG38" i="2" s="1"/>
  <c r="P39" i="2"/>
  <c r="AE39" i="2"/>
  <c r="AG39" i="2" s="1"/>
  <c r="P40" i="2"/>
  <c r="AE40" i="2"/>
  <c r="AG40" i="2" s="1"/>
  <c r="H41" i="2"/>
  <c r="Y41" i="2" s="1"/>
  <c r="AE41" i="2"/>
  <c r="AG41" i="2" s="1"/>
  <c r="P42" i="2"/>
  <c r="AE42" i="2"/>
  <c r="AG42" i="2" s="1"/>
  <c r="H43" i="2"/>
  <c r="Y43" i="2" s="1"/>
  <c r="AE43" i="2"/>
  <c r="AG43" i="2" s="1"/>
  <c r="P44" i="2"/>
  <c r="AE44" i="2"/>
  <c r="AG44" i="2" s="1"/>
  <c r="P45" i="2"/>
  <c r="AE45" i="2"/>
  <c r="AG45" i="2" s="1"/>
  <c r="P46" i="2"/>
  <c r="AE46" i="2"/>
  <c r="AG46" i="2" s="1"/>
  <c r="H47" i="2"/>
  <c r="Y47" i="2" s="1"/>
  <c r="AE47" i="2"/>
  <c r="AG47" i="2" s="1"/>
  <c r="H48" i="2"/>
  <c r="Y48" i="2" s="1"/>
  <c r="AE48" i="2"/>
  <c r="AG48" i="2" s="1"/>
  <c r="P49" i="2"/>
  <c r="AE49" i="2"/>
  <c r="AG49" i="2" s="1"/>
  <c r="P50" i="2"/>
  <c r="AE50" i="2"/>
  <c r="AG50" i="2" s="1"/>
  <c r="P51" i="2"/>
  <c r="AE51" i="2"/>
  <c r="AG51" i="2" s="1"/>
  <c r="H53" i="2"/>
  <c r="Y53" i="2" s="1"/>
  <c r="AE53" i="2"/>
  <c r="AG53" i="2" s="1"/>
  <c r="P54" i="2"/>
  <c r="AE54" i="2"/>
  <c r="AG54" i="2" s="1"/>
  <c r="H55" i="2"/>
  <c r="Y55" i="2" s="1"/>
  <c r="AE55" i="2"/>
  <c r="AG55" i="2" s="1"/>
  <c r="P56" i="2"/>
  <c r="AE56" i="2"/>
  <c r="AG56" i="2" s="1"/>
  <c r="H57" i="2"/>
  <c r="Y57" i="2" s="1"/>
  <c r="AE57" i="2"/>
  <c r="AG57" i="2" s="1"/>
  <c r="H58" i="2"/>
  <c r="Y58" i="2" s="1"/>
  <c r="AE58" i="2"/>
  <c r="AG58" i="2" s="1"/>
  <c r="P59" i="2"/>
  <c r="AE59" i="2"/>
  <c r="AG59" i="2" s="1"/>
  <c r="P60" i="2"/>
  <c r="AE60" i="2"/>
  <c r="AG60" i="2" s="1"/>
  <c r="P61" i="2"/>
  <c r="AE61" i="2"/>
  <c r="AG61" i="2" s="1"/>
  <c r="AE62" i="2"/>
  <c r="AG62" i="2" s="1"/>
  <c r="H63" i="2"/>
  <c r="Y63" i="2" s="1"/>
  <c r="AE63" i="2"/>
  <c r="AG63" i="2" s="1"/>
  <c r="F61" i="15"/>
  <c r="P64" i="2"/>
  <c r="AE64" i="2"/>
  <c r="AG64" i="2" s="1"/>
  <c r="H65" i="2"/>
  <c r="Y65" i="2" s="1"/>
  <c r="AE65" i="2"/>
  <c r="AG65" i="2" s="1"/>
  <c r="H66" i="2"/>
  <c r="Y66" i="2" s="1"/>
  <c r="AE66" i="2"/>
  <c r="AG66" i="2" s="1"/>
  <c r="F124" i="15"/>
  <c r="CE66" i="2"/>
  <c r="AE67" i="2"/>
  <c r="AG67" i="2" s="1"/>
  <c r="P68" i="2"/>
  <c r="AE68" i="2"/>
  <c r="AG68" i="2" s="1"/>
  <c r="H69" i="2"/>
  <c r="Y69" i="2" s="1"/>
  <c r="AE69" i="2"/>
  <c r="AG69" i="2" s="1"/>
  <c r="P70" i="2"/>
  <c r="AE70" i="2"/>
  <c r="AG70" i="2" s="1"/>
  <c r="P71" i="2"/>
  <c r="AE71" i="2"/>
  <c r="AG71" i="2" s="1"/>
  <c r="H72" i="2"/>
  <c r="Y72" i="2" s="1"/>
  <c r="AE72" i="2"/>
  <c r="AG72" i="2" s="1"/>
  <c r="P73" i="2"/>
  <c r="AE73" i="2"/>
  <c r="AG73" i="2" s="1"/>
  <c r="P74" i="2"/>
  <c r="AE74" i="2"/>
  <c r="AG74" i="2" s="1"/>
  <c r="AE75" i="2"/>
  <c r="AG75" i="2" s="1"/>
  <c r="H76" i="2"/>
  <c r="Y76" i="2" s="1"/>
  <c r="AE76" i="2"/>
  <c r="AG76" i="2" s="1"/>
  <c r="H77" i="2"/>
  <c r="Y77" i="2" s="1"/>
  <c r="AE77" i="2"/>
  <c r="AG77" i="2" s="1"/>
  <c r="F73" i="15"/>
  <c r="P78" i="2"/>
  <c r="AE78" i="2"/>
  <c r="AG78" i="2" s="1"/>
  <c r="F74" i="15"/>
  <c r="H79" i="2"/>
  <c r="Y79" i="2" s="1"/>
  <c r="AE79" i="2"/>
  <c r="AG79" i="2" s="1"/>
  <c r="H80" i="2"/>
  <c r="Y80" i="2" s="1"/>
  <c r="AE80" i="2"/>
  <c r="AG80" i="2" s="1"/>
  <c r="H82" i="2"/>
  <c r="Y82" i="2" s="1"/>
  <c r="AE82" i="2"/>
  <c r="AG82" i="2" s="1"/>
  <c r="H83" i="2"/>
  <c r="Y83" i="2" s="1"/>
  <c r="AE83" i="2"/>
  <c r="AG83" i="2" s="1"/>
  <c r="P84" i="2"/>
  <c r="AE84" i="2"/>
  <c r="AG84" i="2" s="1"/>
  <c r="H85" i="2"/>
  <c r="Y85" i="2" s="1"/>
  <c r="AE85" i="2"/>
  <c r="AG85" i="2" s="1"/>
  <c r="H86" i="2"/>
  <c r="Y86" i="2" s="1"/>
  <c r="AE86" i="2"/>
  <c r="AG86" i="2" s="1"/>
  <c r="P87" i="2"/>
  <c r="AE87" i="2"/>
  <c r="AG87" i="2" s="1"/>
  <c r="P88" i="2"/>
  <c r="AE88" i="2"/>
  <c r="AG88" i="2" s="1"/>
  <c r="H89" i="2"/>
  <c r="Y89" i="2" s="1"/>
  <c r="AE89" i="2"/>
  <c r="AG89" i="2" s="1"/>
  <c r="P90" i="2"/>
  <c r="AE90" i="2"/>
  <c r="AG90" i="2" s="1"/>
  <c r="P91" i="2"/>
  <c r="AE91" i="2"/>
  <c r="AG91" i="2" s="1"/>
  <c r="H92" i="2"/>
  <c r="Y92" i="2" s="1"/>
  <c r="AE92" i="2"/>
  <c r="AG92" i="2" s="1"/>
  <c r="H93" i="2"/>
  <c r="Y93" i="2" s="1"/>
  <c r="AE93" i="2"/>
  <c r="AG93" i="2" s="1"/>
  <c r="P94" i="2"/>
  <c r="AE94" i="2"/>
  <c r="AG94" i="2" s="1"/>
  <c r="P96" i="2"/>
  <c r="AE96" i="2"/>
  <c r="AG96" i="2" s="1"/>
  <c r="P97" i="2"/>
  <c r="AE97" i="2"/>
  <c r="AG97" i="2" s="1"/>
  <c r="P98" i="2"/>
  <c r="AE98" i="2"/>
  <c r="AG98" i="2" s="1"/>
  <c r="F90" i="15"/>
  <c r="P99" i="2"/>
  <c r="AE99" i="2"/>
  <c r="AG99" i="2" s="1"/>
  <c r="H100" i="2"/>
  <c r="Y100" i="2" s="1"/>
  <c r="AE100" i="2"/>
  <c r="AG100" i="2" s="1"/>
  <c r="H101" i="2"/>
  <c r="Y101" i="2" s="1"/>
  <c r="AE101" i="2"/>
  <c r="AG101" i="2" s="1"/>
  <c r="H102" i="2"/>
  <c r="Y102" i="2" s="1"/>
  <c r="AE102" i="2"/>
  <c r="AG102" i="2" s="1"/>
  <c r="H103" i="2"/>
  <c r="Y103" i="2" s="1"/>
  <c r="AE103" i="2"/>
  <c r="AG103" i="2" s="1"/>
  <c r="F94" i="15"/>
  <c r="P104" i="2"/>
  <c r="AE104" i="2"/>
  <c r="AG104" i="2" s="1"/>
  <c r="H105" i="2"/>
  <c r="Y105" i="2" s="1"/>
  <c r="AE105" i="2"/>
  <c r="AG105" i="2" s="1"/>
  <c r="H106" i="2"/>
  <c r="Y106" i="2" s="1"/>
  <c r="AE106" i="2"/>
  <c r="AG106" i="2" s="1"/>
  <c r="H107" i="2"/>
  <c r="Y107" i="2" s="1"/>
  <c r="AE107" i="2"/>
  <c r="AG107" i="2" s="1"/>
  <c r="P108" i="2"/>
  <c r="AE108" i="2"/>
  <c r="AG108" i="2" s="1"/>
  <c r="P109" i="2"/>
  <c r="AE109" i="2"/>
  <c r="AG109" i="2" s="1"/>
  <c r="P110" i="2"/>
  <c r="AE110" i="2"/>
  <c r="AG110" i="2" s="1"/>
  <c r="H111" i="2"/>
  <c r="Y111" i="2" s="1"/>
  <c r="AE111" i="2"/>
  <c r="AG111" i="2" s="1"/>
  <c r="H112" i="2"/>
  <c r="Y112" i="2" s="1"/>
  <c r="AE112" i="2"/>
  <c r="AG112" i="2" s="1"/>
  <c r="F114" i="15"/>
  <c r="P113" i="2"/>
  <c r="AE113" i="2"/>
  <c r="AG113" i="2" s="1"/>
  <c r="H114" i="2"/>
  <c r="Y114" i="2" s="1"/>
  <c r="AE114" i="2"/>
  <c r="AG114" i="2" s="1"/>
  <c r="H115" i="2"/>
  <c r="Y115" i="2" s="1"/>
  <c r="AE115" i="2"/>
  <c r="AG115" i="2" s="1"/>
  <c r="P118" i="2"/>
  <c r="AE118" i="2"/>
  <c r="AG118" i="2" s="1"/>
  <c r="H119" i="2"/>
  <c r="Y119" i="2" s="1"/>
  <c r="AE119" i="2"/>
  <c r="AG119" i="2" s="1"/>
  <c r="P120" i="2"/>
  <c r="AE120" i="2"/>
  <c r="AG120" i="2" s="1"/>
  <c r="H121" i="2"/>
  <c r="Y121" i="2" s="1"/>
  <c r="AE121" i="2"/>
  <c r="AG121" i="2" s="1"/>
  <c r="P122" i="2"/>
  <c r="AE122" i="2"/>
  <c r="AG122" i="2" s="1"/>
  <c r="H123" i="2"/>
  <c r="Y123" i="2" s="1"/>
  <c r="AE123" i="2"/>
  <c r="AG123" i="2" s="1"/>
  <c r="P124" i="2"/>
  <c r="AE124" i="2"/>
  <c r="AG124" i="2" s="1"/>
  <c r="N80" i="2" l="1"/>
  <c r="P80" i="2" s="1"/>
  <c r="BT80" i="2"/>
  <c r="BK80" i="2"/>
  <c r="AH80" i="2"/>
  <c r="BY80" i="2"/>
  <c r="BF80" i="2"/>
  <c r="BA80" i="2"/>
  <c r="AR80" i="2"/>
  <c r="S80" i="2"/>
  <c r="CD80" i="2"/>
  <c r="AM80" i="2"/>
  <c r="BA76" i="2"/>
  <c r="AR76" i="2"/>
  <c r="AM76" i="2"/>
  <c r="AH76" i="2"/>
  <c r="S76" i="2"/>
  <c r="BT76" i="2"/>
  <c r="CD76" i="2"/>
  <c r="BK76" i="2"/>
  <c r="N76" i="2"/>
  <c r="P76" i="2" s="1"/>
  <c r="BY76" i="2"/>
  <c r="BF76" i="2"/>
  <c r="CD103" i="2"/>
  <c r="BY103" i="2"/>
  <c r="BT103" i="2"/>
  <c r="BK103" i="2"/>
  <c r="BF103" i="2"/>
  <c r="BA103" i="2"/>
  <c r="AH103" i="2"/>
  <c r="S103" i="2"/>
  <c r="N103" i="2"/>
  <c r="P103" i="2" s="1"/>
  <c r="AR103" i="2"/>
  <c r="AM103" i="2"/>
  <c r="CD43" i="2"/>
  <c r="BY43" i="2"/>
  <c r="BT43" i="2"/>
  <c r="BK43" i="2"/>
  <c r="BF43" i="2"/>
  <c r="S43" i="2"/>
  <c r="AR43" i="2"/>
  <c r="AH43" i="2"/>
  <c r="BA43" i="2"/>
  <c r="N43" i="2"/>
  <c r="P43" i="2" s="1"/>
  <c r="AM43" i="2"/>
  <c r="AM111" i="2"/>
  <c r="BF111" i="2"/>
  <c r="AH111" i="2"/>
  <c r="CD111" i="2"/>
  <c r="BK111" i="2"/>
  <c r="BA111" i="2"/>
  <c r="AR111" i="2"/>
  <c r="BY111" i="2"/>
  <c r="N111" i="2"/>
  <c r="P111" i="2" s="1"/>
  <c r="BT111" i="2"/>
  <c r="S111" i="2"/>
  <c r="BY83" i="2"/>
  <c r="AH83" i="2"/>
  <c r="BF83" i="2"/>
  <c r="S83" i="2"/>
  <c r="BK83" i="2"/>
  <c r="BA83" i="2"/>
  <c r="AR83" i="2"/>
  <c r="BT83" i="2"/>
  <c r="CD83" i="2"/>
  <c r="AM83" i="2"/>
  <c r="N83" i="2"/>
  <c r="P83" i="2" s="1"/>
  <c r="BA4" i="2"/>
  <c r="AR4" i="2"/>
  <c r="AM4" i="2"/>
  <c r="AH4" i="2"/>
  <c r="S4" i="2"/>
  <c r="CD4" i="2"/>
  <c r="BY4" i="2"/>
  <c r="BT4" i="2"/>
  <c r="N4" i="2"/>
  <c r="P4" i="2" s="1"/>
  <c r="BK4" i="2"/>
  <c r="BF4" i="2"/>
  <c r="BF123" i="2"/>
  <c r="S123" i="2"/>
  <c r="CD123" i="2"/>
  <c r="BK123" i="2"/>
  <c r="BY123" i="2"/>
  <c r="AR123" i="2"/>
  <c r="AH123" i="2"/>
  <c r="AM123" i="2"/>
  <c r="BT123" i="2"/>
  <c r="BA123" i="2"/>
  <c r="N123" i="2"/>
  <c r="P123" i="2" s="1"/>
  <c r="CD79" i="2"/>
  <c r="BY79" i="2"/>
  <c r="BT79" i="2"/>
  <c r="BK79" i="2"/>
  <c r="BF79" i="2"/>
  <c r="AR79" i="2"/>
  <c r="AH79" i="2"/>
  <c r="BA79" i="2"/>
  <c r="N79" i="2"/>
  <c r="P79" i="2" s="1"/>
  <c r="S79" i="2"/>
  <c r="AM79" i="2"/>
  <c r="BT8" i="2"/>
  <c r="AM8" i="2"/>
  <c r="N8" i="2"/>
  <c r="P8" i="2" s="1"/>
  <c r="AH8" i="2"/>
  <c r="CD8" i="2"/>
  <c r="BF8" i="2"/>
  <c r="BY8" i="2"/>
  <c r="AR8" i="2"/>
  <c r="BK8" i="2"/>
  <c r="BA8" i="2"/>
  <c r="S8" i="2"/>
  <c r="CD121" i="2"/>
  <c r="BK121" i="2"/>
  <c r="BT121" i="2"/>
  <c r="AH121" i="2"/>
  <c r="BF121" i="2"/>
  <c r="N121" i="2"/>
  <c r="P121" i="2" s="1"/>
  <c r="S121" i="2"/>
  <c r="AR121" i="2"/>
  <c r="AM121" i="2"/>
  <c r="BY121" i="2"/>
  <c r="BA121" i="2"/>
  <c r="BA28" i="2"/>
  <c r="AR28" i="2"/>
  <c r="AM28" i="2"/>
  <c r="AH28" i="2"/>
  <c r="S28" i="2"/>
  <c r="BY28" i="2"/>
  <c r="BF28" i="2"/>
  <c r="BK28" i="2"/>
  <c r="BT28" i="2"/>
  <c r="CD28" i="2"/>
  <c r="N28" i="2"/>
  <c r="P28" i="2" s="1"/>
  <c r="CD102" i="2"/>
  <c r="BY102" i="2"/>
  <c r="BA102" i="2"/>
  <c r="AR102" i="2"/>
  <c r="AM102" i="2"/>
  <c r="AH102" i="2"/>
  <c r="S102" i="2"/>
  <c r="BF102" i="2"/>
  <c r="N102" i="2"/>
  <c r="P102" i="2" s="1"/>
  <c r="BT102" i="2"/>
  <c r="BK102" i="2"/>
  <c r="CD53" i="2"/>
  <c r="BY53" i="2"/>
  <c r="BT53" i="2"/>
  <c r="BK53" i="2"/>
  <c r="BF53" i="2"/>
  <c r="N53" i="2"/>
  <c r="P53" i="2" s="1"/>
  <c r="AR53" i="2"/>
  <c r="S53" i="2"/>
  <c r="AM53" i="2"/>
  <c r="AH53" i="2"/>
  <c r="BA53" i="2"/>
  <c r="BY69" i="2"/>
  <c r="S69" i="2"/>
  <c r="N69" i="2"/>
  <c r="P69" i="2" s="1"/>
  <c r="BF69" i="2"/>
  <c r="BT69" i="2"/>
  <c r="BA69" i="2"/>
  <c r="CD69" i="2"/>
  <c r="AH69" i="2"/>
  <c r="BK69" i="2"/>
  <c r="AR69" i="2"/>
  <c r="AM69" i="2"/>
  <c r="CD31" i="2"/>
  <c r="BY31" i="2"/>
  <c r="BT31" i="2"/>
  <c r="BK31" i="2"/>
  <c r="BF31" i="2"/>
  <c r="S31" i="2"/>
  <c r="AM31" i="2"/>
  <c r="BA31" i="2"/>
  <c r="AH31" i="2"/>
  <c r="N31" i="2"/>
  <c r="P31" i="2" s="1"/>
  <c r="AR31" i="2"/>
  <c r="CD105" i="2"/>
  <c r="BT105" i="2"/>
  <c r="N105" i="2"/>
  <c r="P105" i="2" s="1"/>
  <c r="BY105" i="2"/>
  <c r="AM105" i="2"/>
  <c r="S105" i="2"/>
  <c r="BF105" i="2"/>
  <c r="AH105" i="2"/>
  <c r="BA105" i="2"/>
  <c r="BK105" i="2"/>
  <c r="AR105" i="2"/>
  <c r="CD6" i="2"/>
  <c r="BY6" i="2"/>
  <c r="BT6" i="2"/>
  <c r="BA6" i="2"/>
  <c r="AR6" i="2"/>
  <c r="AM6" i="2"/>
  <c r="AH6" i="2"/>
  <c r="S6" i="2"/>
  <c r="BF6" i="2"/>
  <c r="N6" i="2"/>
  <c r="P6" i="2" s="1"/>
  <c r="BK6" i="2"/>
  <c r="CD115" i="2"/>
  <c r="BY115" i="2"/>
  <c r="BT115" i="2"/>
  <c r="BK115" i="2"/>
  <c r="BF115" i="2"/>
  <c r="BA115" i="2"/>
  <c r="AR115" i="2"/>
  <c r="AM115" i="2"/>
  <c r="AH115" i="2"/>
  <c r="N115" i="2"/>
  <c r="P115" i="2" s="1"/>
  <c r="S115" i="2"/>
  <c r="AM58" i="2"/>
  <c r="BY58" i="2"/>
  <c r="AH58" i="2"/>
  <c r="N58" i="2"/>
  <c r="P58" i="2" s="1"/>
  <c r="S58" i="2"/>
  <c r="CD58" i="2"/>
  <c r="BF58" i="2"/>
  <c r="BK58" i="2"/>
  <c r="BT58" i="2"/>
  <c r="BA58" i="2"/>
  <c r="AR58" i="2"/>
  <c r="BT119" i="2"/>
  <c r="N119" i="2"/>
  <c r="P119" i="2" s="1"/>
  <c r="BY119" i="2"/>
  <c r="BA119" i="2"/>
  <c r="BF119" i="2"/>
  <c r="S119" i="2"/>
  <c r="AR119" i="2"/>
  <c r="AH119" i="2"/>
  <c r="BK119" i="2"/>
  <c r="AM119" i="2"/>
  <c r="CD119" i="2"/>
  <c r="BA47" i="2"/>
  <c r="CD47" i="2"/>
  <c r="AR47" i="2"/>
  <c r="AM47" i="2"/>
  <c r="N47" i="2"/>
  <c r="P47" i="2" s="1"/>
  <c r="AH47" i="2"/>
  <c r="BK47" i="2"/>
  <c r="BY47" i="2"/>
  <c r="S47" i="2"/>
  <c r="BF47" i="2"/>
  <c r="BT47" i="2"/>
  <c r="N92" i="2"/>
  <c r="P92" i="2" s="1"/>
  <c r="CD92" i="2"/>
  <c r="BK92" i="2"/>
  <c r="BT92" i="2"/>
  <c r="AR92" i="2"/>
  <c r="BA92" i="2"/>
  <c r="AM92" i="2"/>
  <c r="BY92" i="2"/>
  <c r="S92" i="2"/>
  <c r="BF92" i="2"/>
  <c r="AH92" i="2"/>
  <c r="CD63" i="2"/>
  <c r="BT63" i="2"/>
  <c r="BA63" i="2"/>
  <c r="N63" i="2"/>
  <c r="P63" i="2" s="1"/>
  <c r="AR63" i="2"/>
  <c r="BK63" i="2"/>
  <c r="AM63" i="2"/>
  <c r="AH63" i="2"/>
  <c r="BY63" i="2"/>
  <c r="S63" i="2"/>
  <c r="BF63" i="2"/>
  <c r="CD77" i="2"/>
  <c r="BY77" i="2"/>
  <c r="BT77" i="2"/>
  <c r="BK77" i="2"/>
  <c r="BF77" i="2"/>
  <c r="BA77" i="2"/>
  <c r="AR77" i="2"/>
  <c r="AM77" i="2"/>
  <c r="AH77" i="2"/>
  <c r="S77" i="2"/>
  <c r="N77" i="2"/>
  <c r="P77" i="2" s="1"/>
  <c r="BK82" i="2"/>
  <c r="BF82" i="2"/>
  <c r="S82" i="2"/>
  <c r="N82" i="2"/>
  <c r="P82" i="2" s="1"/>
  <c r="AR82" i="2"/>
  <c r="AM82" i="2"/>
  <c r="BT82" i="2"/>
  <c r="BA82" i="2"/>
  <c r="CD82" i="2"/>
  <c r="AH82" i="2"/>
  <c r="BY82" i="2"/>
  <c r="CD32" i="2"/>
  <c r="AH32" i="2"/>
  <c r="N32" i="2"/>
  <c r="P32" i="2" s="1"/>
  <c r="S32" i="2"/>
  <c r="AM32" i="2"/>
  <c r="BK32" i="2"/>
  <c r="BA32" i="2"/>
  <c r="BF32" i="2"/>
  <c r="BY32" i="2"/>
  <c r="BT32" i="2"/>
  <c r="AR32" i="2"/>
  <c r="CD114" i="2"/>
  <c r="BY114" i="2"/>
  <c r="BA114" i="2"/>
  <c r="AR114" i="2"/>
  <c r="AM114" i="2"/>
  <c r="AH114" i="2"/>
  <c r="S114" i="2"/>
  <c r="BK114" i="2"/>
  <c r="N114" i="2"/>
  <c r="P114" i="2" s="1"/>
  <c r="BT114" i="2"/>
  <c r="BF114" i="2"/>
  <c r="BA112" i="2"/>
  <c r="AR112" i="2"/>
  <c r="AM112" i="2"/>
  <c r="AH112" i="2"/>
  <c r="BY112" i="2"/>
  <c r="BK112" i="2"/>
  <c r="BT112" i="2"/>
  <c r="BF112" i="2"/>
  <c r="S112" i="2"/>
  <c r="N112" i="2"/>
  <c r="P112" i="2" s="1"/>
  <c r="CD112" i="2"/>
  <c r="BK106" i="2"/>
  <c r="CD106" i="2"/>
  <c r="BT106" i="2"/>
  <c r="N106" i="2"/>
  <c r="P106" i="2" s="1"/>
  <c r="BA106" i="2"/>
  <c r="AR106" i="2"/>
  <c r="BY106" i="2"/>
  <c r="AM106" i="2"/>
  <c r="BF106" i="2"/>
  <c r="AH106" i="2"/>
  <c r="S106" i="2"/>
  <c r="AR72" i="2"/>
  <c r="BY72" i="2"/>
  <c r="AM72" i="2"/>
  <c r="AH72" i="2"/>
  <c r="S72" i="2"/>
  <c r="CD72" i="2"/>
  <c r="BF72" i="2"/>
  <c r="BT72" i="2"/>
  <c r="BK72" i="2"/>
  <c r="BA72" i="2"/>
  <c r="N72" i="2"/>
  <c r="P72" i="2" s="1"/>
  <c r="CD66" i="2"/>
  <c r="BY66" i="2"/>
  <c r="BA66" i="2"/>
  <c r="AR66" i="2"/>
  <c r="AM66" i="2"/>
  <c r="AH66" i="2"/>
  <c r="S66" i="2"/>
  <c r="BK66" i="2"/>
  <c r="BT66" i="2"/>
  <c r="BF66" i="2"/>
  <c r="N66" i="2"/>
  <c r="P66" i="2" s="1"/>
  <c r="CD55" i="2"/>
  <c r="BY55" i="2"/>
  <c r="BT55" i="2"/>
  <c r="BK55" i="2"/>
  <c r="BF55" i="2"/>
  <c r="S55" i="2"/>
  <c r="BA55" i="2"/>
  <c r="AH55" i="2"/>
  <c r="AM55" i="2"/>
  <c r="N55" i="2"/>
  <c r="P55" i="2" s="1"/>
  <c r="AR55" i="2"/>
  <c r="BK23" i="2"/>
  <c r="BA23" i="2"/>
  <c r="BT23" i="2"/>
  <c r="AR23" i="2"/>
  <c r="CD23" i="2"/>
  <c r="BF23" i="2"/>
  <c r="BY23" i="2"/>
  <c r="N23" i="2"/>
  <c r="P23" i="2" s="1"/>
  <c r="AM23" i="2"/>
  <c r="AH23" i="2"/>
  <c r="S23" i="2"/>
  <c r="BT21" i="2"/>
  <c r="AR21" i="2"/>
  <c r="AM21" i="2"/>
  <c r="N21" i="2"/>
  <c r="P21" i="2" s="1"/>
  <c r="CD21" i="2"/>
  <c r="AH21" i="2"/>
  <c r="BY21" i="2"/>
  <c r="BF21" i="2"/>
  <c r="BA21" i="2"/>
  <c r="S21" i="2"/>
  <c r="BK21" i="2"/>
  <c r="CD19" i="2"/>
  <c r="BY19" i="2"/>
  <c r="BT19" i="2"/>
  <c r="BK19" i="2"/>
  <c r="BF19" i="2"/>
  <c r="AH19" i="2"/>
  <c r="S19" i="2"/>
  <c r="N19" i="2"/>
  <c r="P19" i="2" s="1"/>
  <c r="AR19" i="2"/>
  <c r="AM19" i="2"/>
  <c r="BA19" i="2"/>
  <c r="CD5" i="2"/>
  <c r="BY5" i="2"/>
  <c r="BT5" i="2"/>
  <c r="BK5" i="2"/>
  <c r="BF5" i="2"/>
  <c r="S5" i="2"/>
  <c r="N5" i="2"/>
  <c r="P5" i="2" s="1"/>
  <c r="AR5" i="2"/>
  <c r="AM5" i="2"/>
  <c r="AH5" i="2"/>
  <c r="BA5" i="2"/>
  <c r="CD65" i="2"/>
  <c r="BY65" i="2"/>
  <c r="BT65" i="2"/>
  <c r="BK65" i="2"/>
  <c r="BF65" i="2"/>
  <c r="AR65" i="2"/>
  <c r="AM65" i="2"/>
  <c r="AH65" i="2"/>
  <c r="S65" i="2"/>
  <c r="BA65" i="2"/>
  <c r="N65" i="2"/>
  <c r="P65" i="2" s="1"/>
  <c r="BY13" i="2"/>
  <c r="BA13" i="2"/>
  <c r="BF13" i="2"/>
  <c r="BK13" i="2"/>
  <c r="S13" i="2"/>
  <c r="CD13" i="2"/>
  <c r="AR13" i="2"/>
  <c r="AH13" i="2"/>
  <c r="N13" i="2"/>
  <c r="P13" i="2" s="1"/>
  <c r="BT13" i="2"/>
  <c r="AM13" i="2"/>
  <c r="BA22" i="2"/>
  <c r="CD22" i="2"/>
  <c r="BT22" i="2"/>
  <c r="AR22" i="2"/>
  <c r="AM22" i="2"/>
  <c r="N22" i="2"/>
  <c r="P22" i="2" s="1"/>
  <c r="BF22" i="2"/>
  <c r="BY22" i="2"/>
  <c r="AH22" i="2"/>
  <c r="S22" i="2"/>
  <c r="BK22" i="2"/>
  <c r="BA100" i="2"/>
  <c r="AR100" i="2"/>
  <c r="AM100" i="2"/>
  <c r="AH100" i="2"/>
  <c r="BY100" i="2"/>
  <c r="BT100" i="2"/>
  <c r="BK100" i="2"/>
  <c r="S100" i="2"/>
  <c r="BF100" i="2"/>
  <c r="CD100" i="2"/>
  <c r="N100" i="2"/>
  <c r="P100" i="2" s="1"/>
  <c r="BA86" i="2"/>
  <c r="BY86" i="2"/>
  <c r="AR86" i="2"/>
  <c r="AM86" i="2"/>
  <c r="CD86" i="2"/>
  <c r="BT86" i="2"/>
  <c r="N86" i="2"/>
  <c r="P86" i="2" s="1"/>
  <c r="BK86" i="2"/>
  <c r="AH86" i="2"/>
  <c r="S86" i="2"/>
  <c r="BF86" i="2"/>
  <c r="AH57" i="2"/>
  <c r="N57" i="2"/>
  <c r="P57" i="2" s="1"/>
  <c r="BY57" i="2"/>
  <c r="S57" i="2"/>
  <c r="BF57" i="2"/>
  <c r="BT57" i="2"/>
  <c r="CD57" i="2"/>
  <c r="AM57" i="2"/>
  <c r="BA57" i="2"/>
  <c r="AR57" i="2"/>
  <c r="BK57" i="2"/>
  <c r="BF25" i="2"/>
  <c r="BK25" i="2"/>
  <c r="BA25" i="2"/>
  <c r="BT25" i="2"/>
  <c r="CD25" i="2"/>
  <c r="BY25" i="2"/>
  <c r="AH25" i="2"/>
  <c r="N25" i="2"/>
  <c r="P25" i="2" s="1"/>
  <c r="AR25" i="2"/>
  <c r="AM25" i="2"/>
  <c r="S25" i="2"/>
  <c r="BY14" i="2"/>
  <c r="BF14" i="2"/>
  <c r="BK14" i="2"/>
  <c r="BA14" i="2"/>
  <c r="S14" i="2"/>
  <c r="CD14" i="2"/>
  <c r="N14" i="2"/>
  <c r="P14" i="2" s="1"/>
  <c r="BT14" i="2"/>
  <c r="AM14" i="2"/>
  <c r="AH14" i="2"/>
  <c r="AR14" i="2"/>
  <c r="CD101" i="2"/>
  <c r="BY101" i="2"/>
  <c r="BT101" i="2"/>
  <c r="BK101" i="2"/>
  <c r="BF101" i="2"/>
  <c r="BA101" i="2"/>
  <c r="AR101" i="2"/>
  <c r="S101" i="2"/>
  <c r="N101" i="2"/>
  <c r="P101" i="2" s="1"/>
  <c r="AH101" i="2"/>
  <c r="AM101" i="2"/>
  <c r="BT11" i="2"/>
  <c r="BK11" i="2"/>
  <c r="BA11" i="2"/>
  <c r="AR11" i="2"/>
  <c r="CD11" i="2"/>
  <c r="S11" i="2"/>
  <c r="BY11" i="2"/>
  <c r="N11" i="2"/>
  <c r="P11" i="2" s="1"/>
  <c r="BF11" i="2"/>
  <c r="AM11" i="2"/>
  <c r="AH11" i="2"/>
  <c r="BF15" i="2"/>
  <c r="BY15" i="2"/>
  <c r="AH15" i="2"/>
  <c r="BK15" i="2"/>
  <c r="BA15" i="2"/>
  <c r="S15" i="2"/>
  <c r="CD15" i="2"/>
  <c r="AR15" i="2"/>
  <c r="BT15" i="2"/>
  <c r="AM15" i="2"/>
  <c r="N15" i="2"/>
  <c r="P15" i="2" s="1"/>
  <c r="AR85" i="2"/>
  <c r="AM85" i="2"/>
  <c r="BY85" i="2"/>
  <c r="AH85" i="2"/>
  <c r="BT85" i="2"/>
  <c r="BK85" i="2"/>
  <c r="N85" i="2"/>
  <c r="P85" i="2" s="1"/>
  <c r="CD85" i="2"/>
  <c r="BA85" i="2"/>
  <c r="S85" i="2"/>
  <c r="BF85" i="2"/>
  <c r="BA35" i="2"/>
  <c r="BT35" i="2"/>
  <c r="AR35" i="2"/>
  <c r="AM35" i="2"/>
  <c r="N35" i="2"/>
  <c r="P35" i="2" s="1"/>
  <c r="AH35" i="2"/>
  <c r="BK35" i="2"/>
  <c r="S35" i="2"/>
  <c r="BY35" i="2"/>
  <c r="BF35" i="2"/>
  <c r="CD35" i="2"/>
  <c r="BY27" i="2"/>
  <c r="BF27" i="2"/>
  <c r="S27" i="2"/>
  <c r="CD27" i="2"/>
  <c r="N27" i="2"/>
  <c r="P27" i="2" s="1"/>
  <c r="BA27" i="2"/>
  <c r="BT27" i="2"/>
  <c r="AR27" i="2"/>
  <c r="AM27" i="2"/>
  <c r="AH27" i="2"/>
  <c r="BK27" i="2"/>
  <c r="S107" i="2"/>
  <c r="BT107" i="2"/>
  <c r="BK107" i="2"/>
  <c r="CD107" i="2"/>
  <c r="BA107" i="2"/>
  <c r="AR107" i="2"/>
  <c r="N107" i="2"/>
  <c r="P107" i="2" s="1"/>
  <c r="BY107" i="2"/>
  <c r="AM107" i="2"/>
  <c r="BF107" i="2"/>
  <c r="AH107" i="2"/>
  <c r="CD41" i="2"/>
  <c r="BY41" i="2"/>
  <c r="BT41" i="2"/>
  <c r="BK41" i="2"/>
  <c r="BF41" i="2"/>
  <c r="S41" i="2"/>
  <c r="BA41" i="2"/>
  <c r="AR41" i="2"/>
  <c r="N41" i="2"/>
  <c r="P41" i="2" s="1"/>
  <c r="AM41" i="2"/>
  <c r="AH41" i="2"/>
  <c r="BF93" i="2"/>
  <c r="S93" i="2"/>
  <c r="BK93" i="2"/>
  <c r="N93" i="2"/>
  <c r="P93" i="2" s="1"/>
  <c r="AR93" i="2"/>
  <c r="BT93" i="2"/>
  <c r="BA93" i="2"/>
  <c r="AM93" i="2"/>
  <c r="CD93" i="2"/>
  <c r="BY93" i="2"/>
  <c r="AH93" i="2"/>
  <c r="CD89" i="2"/>
  <c r="BY89" i="2"/>
  <c r="BA89" i="2"/>
  <c r="AR89" i="2"/>
  <c r="AM89" i="2"/>
  <c r="AH89" i="2"/>
  <c r="S89" i="2"/>
  <c r="BT89" i="2"/>
  <c r="BF89" i="2"/>
  <c r="N89" i="2"/>
  <c r="P89" i="2" s="1"/>
  <c r="BK89" i="2"/>
  <c r="BT48" i="2"/>
  <c r="BA48" i="2"/>
  <c r="CD48" i="2"/>
  <c r="AR48" i="2"/>
  <c r="AM48" i="2"/>
  <c r="N48" i="2"/>
  <c r="P48" i="2" s="1"/>
  <c r="BK48" i="2"/>
  <c r="AH48" i="2"/>
  <c r="BY48" i="2"/>
  <c r="S48" i="2"/>
  <c r="BF48" i="2"/>
  <c r="BK37" i="2"/>
  <c r="BA37" i="2"/>
  <c r="BT37" i="2"/>
  <c r="N37" i="2"/>
  <c r="P37" i="2" s="1"/>
  <c r="BY37" i="2"/>
  <c r="AR37" i="2"/>
  <c r="AM37" i="2"/>
  <c r="S37" i="2"/>
  <c r="CD37" i="2"/>
  <c r="BF37" i="2"/>
  <c r="AH37" i="2"/>
  <c r="D55" i="15"/>
  <c r="D21" i="15"/>
  <c r="D57" i="15"/>
  <c r="D65" i="15"/>
  <c r="D20" i="15"/>
  <c r="D71" i="15"/>
  <c r="D27" i="15"/>
  <c r="D41" i="15"/>
  <c r="D95" i="15"/>
  <c r="D47" i="15"/>
  <c r="D77" i="15"/>
  <c r="D105" i="15"/>
  <c r="D72" i="15"/>
  <c r="D90" i="15"/>
  <c r="D43" i="15"/>
  <c r="D26" i="15"/>
  <c r="D44" i="15"/>
  <c r="D73" i="15"/>
  <c r="D86" i="15"/>
  <c r="D82" i="15"/>
  <c r="D46" i="15"/>
  <c r="D108" i="15"/>
  <c r="D88" i="15"/>
  <c r="D84" i="15"/>
  <c r="AS125" i="2"/>
  <c r="Z125" i="2"/>
  <c r="T125" i="2"/>
  <c r="P3" i="2"/>
  <c r="O125" i="2"/>
  <c r="D89" i="15"/>
  <c r="D39" i="15"/>
  <c r="D123" i="15"/>
  <c r="D28" i="15"/>
  <c r="D114" i="15"/>
  <c r="D124" i="15"/>
  <c r="D98" i="15"/>
  <c r="D13" i="15"/>
  <c r="D87" i="15"/>
  <c r="D34" i="15"/>
  <c r="D116" i="15"/>
  <c r="D19" i="15"/>
  <c r="D101" i="15"/>
  <c r="D61" i="15"/>
  <c r="D109" i="15"/>
  <c r="D24" i="15"/>
  <c r="D52" i="15"/>
  <c r="D107" i="15"/>
  <c r="D78" i="15"/>
  <c r="D54" i="15"/>
  <c r="D81" i="15"/>
  <c r="D99" i="15"/>
  <c r="D121" i="15"/>
  <c r="D29" i="15"/>
  <c r="D66" i="15"/>
  <c r="D115" i="15"/>
  <c r="D74" i="15"/>
  <c r="D94" i="15"/>
  <c r="D93" i="15"/>
  <c r="D36" i="15"/>
  <c r="D63" i="15"/>
  <c r="D122" i="15"/>
  <c r="D22" i="15"/>
  <c r="D48" i="15"/>
  <c r="D33" i="15"/>
  <c r="D79" i="15"/>
  <c r="D110" i="15"/>
  <c r="D51" i="15"/>
  <c r="D106" i="15"/>
  <c r="D49" i="15"/>
  <c r="D16" i="15"/>
  <c r="D60" i="15"/>
  <c r="D68" i="15"/>
  <c r="D80" i="15"/>
  <c r="D118" i="15"/>
  <c r="D102" i="15"/>
  <c r="D15" i="15"/>
  <c r="D113" i="15"/>
  <c r="D119" i="15"/>
  <c r="D37" i="15"/>
  <c r="D38" i="15"/>
  <c r="D59" i="15"/>
  <c r="D96" i="15"/>
  <c r="D76" i="15"/>
  <c r="D100" i="15"/>
  <c r="D85" i="15"/>
  <c r="D42" i="15"/>
  <c r="D62" i="15"/>
  <c r="D12" i="15"/>
  <c r="D40" i="15"/>
  <c r="D70" i="15"/>
  <c r="D64" i="15"/>
  <c r="D83" i="15"/>
  <c r="D14" i="15"/>
  <c r="D67" i="15"/>
  <c r="D50" i="15"/>
  <c r="D32" i="15"/>
  <c r="D69" i="15"/>
  <c r="D31" i="15"/>
  <c r="D125" i="15"/>
  <c r="D18" i="15"/>
  <c r="D97" i="15"/>
  <c r="D92" i="15"/>
  <c r="D23" i="15"/>
  <c r="D103" i="15"/>
  <c r="D45" i="15"/>
  <c r="D120" i="15"/>
  <c r="D11" i="15"/>
  <c r="D117" i="15"/>
  <c r="D75" i="15"/>
  <c r="D53" i="15"/>
  <c r="D111" i="15"/>
  <c r="D58" i="15"/>
  <c r="D25" i="15"/>
  <c r="D35" i="15"/>
  <c r="D56" i="15"/>
  <c r="D91" i="15"/>
  <c r="BG125" i="2"/>
  <c r="D112" i="15"/>
  <c r="V16" i="2"/>
  <c r="AI16" i="2" s="1"/>
  <c r="D104" i="15"/>
  <c r="V71" i="2"/>
  <c r="V113" i="2"/>
  <c r="AI113" i="2" s="1"/>
  <c r="V36" i="2"/>
  <c r="AI36" i="2" s="1"/>
  <c r="V73" i="2"/>
  <c r="V98" i="2"/>
  <c r="AI98" i="2" s="1"/>
  <c r="V38" i="2"/>
  <c r="V12" i="2"/>
  <c r="AK136" i="3"/>
  <c r="D17" i="15"/>
  <c r="V124" i="2"/>
  <c r="V39" i="2"/>
  <c r="AI39" i="2" s="1"/>
  <c r="V122" i="2"/>
  <c r="V29" i="2"/>
  <c r="V91" i="2"/>
  <c r="AI91" i="2" s="1"/>
  <c r="V74" i="2"/>
  <c r="V84" i="2"/>
  <c r="AI84" i="2" s="1"/>
  <c r="V42" i="2"/>
  <c r="AI42" i="2" s="1"/>
  <c r="CE36" i="2"/>
  <c r="CE125" i="2" s="1"/>
  <c r="BL125" i="2"/>
  <c r="D30" i="15"/>
  <c r="V50" i="2"/>
  <c r="V94" i="2"/>
  <c r="AI94" i="2" s="1"/>
  <c r="V49" i="2"/>
  <c r="AI49" i="2" s="1"/>
  <c r="V99" i="2"/>
  <c r="AI99" i="2" s="1"/>
  <c r="V90" i="2"/>
  <c r="V54" i="2"/>
  <c r="V75" i="2"/>
  <c r="AI75" i="2" s="1"/>
  <c r="V67" i="2"/>
  <c r="AI67" i="2" s="1"/>
  <c r="V60" i="2"/>
  <c r="AI60" i="2" s="1"/>
  <c r="V45" i="2"/>
  <c r="AI45" i="2" s="1"/>
  <c r="V120" i="2"/>
  <c r="AI120" i="2" s="1"/>
  <c r="V40" i="2"/>
  <c r="AI40" i="2" s="1"/>
  <c r="V118" i="2"/>
  <c r="AI118" i="2" s="1"/>
  <c r="V87" i="2"/>
  <c r="AI87" i="2" s="1"/>
  <c r="V109" i="2"/>
  <c r="AI109" i="2" s="1"/>
  <c r="V70" i="2"/>
  <c r="AI70" i="2" s="1"/>
  <c r="V108" i="2"/>
  <c r="AI108" i="2" s="1"/>
  <c r="V68" i="2"/>
  <c r="AI68" i="2" s="1"/>
  <c r="V62" i="2"/>
  <c r="AI62" i="2" s="1"/>
  <c r="V97" i="2"/>
  <c r="AI97" i="2" s="1"/>
  <c r="V110" i="2"/>
  <c r="AI110" i="2" s="1"/>
  <c r="V104" i="2"/>
  <c r="AI104" i="2" s="1"/>
  <c r="V88" i="2"/>
  <c r="AI88" i="2" s="1"/>
  <c r="V78" i="2"/>
  <c r="AI78" i="2" s="1"/>
  <c r="V96" i="2"/>
  <c r="AI96" i="2" s="1"/>
  <c r="V64" i="2"/>
  <c r="AI64" i="2" s="1"/>
  <c r="V34" i="2"/>
  <c r="AI34" i="2" s="1"/>
  <c r="V24" i="2"/>
  <c r="AI24" i="2" s="1"/>
  <c r="V61" i="2"/>
  <c r="AI61" i="2" s="1"/>
  <c r="V26" i="2"/>
  <c r="AI26" i="2" s="1"/>
  <c r="V20" i="2"/>
  <c r="AI20" i="2" s="1"/>
  <c r="V56" i="2"/>
  <c r="AI56" i="2" s="1"/>
  <c r="V51" i="2"/>
  <c r="AI51" i="2" s="1"/>
  <c r="V46" i="2"/>
  <c r="AI46" i="2" s="1"/>
  <c r="V59" i="2"/>
  <c r="AI59" i="2" s="1"/>
  <c r="V44" i="2"/>
  <c r="AI44" i="2" s="1"/>
  <c r="V10" i="2"/>
  <c r="AI10" i="2" s="1"/>
  <c r="V18" i="2"/>
  <c r="V7" i="2"/>
  <c r="AI7" i="2" s="1"/>
  <c r="V30" i="2"/>
  <c r="AI30" i="2" s="1"/>
  <c r="V17" i="2"/>
  <c r="AI17" i="2" s="1"/>
  <c r="V9" i="2"/>
  <c r="AI9" i="2" s="1"/>
  <c r="V80" i="2" l="1"/>
  <c r="AI80" i="2" s="1"/>
  <c r="AA54" i="2"/>
  <c r="AN54" i="2" s="1"/>
  <c r="AI54" i="2"/>
  <c r="AJ54" i="2" s="1"/>
  <c r="AA74" i="2"/>
  <c r="AN74" i="2" s="1"/>
  <c r="AI74" i="2"/>
  <c r="AJ74" i="2" s="1"/>
  <c r="AA71" i="2"/>
  <c r="AN71" i="2" s="1"/>
  <c r="AI71" i="2"/>
  <c r="AA50" i="2"/>
  <c r="AN50" i="2" s="1"/>
  <c r="AI50" i="2"/>
  <c r="AA124" i="2"/>
  <c r="AN124" i="2" s="1"/>
  <c r="AI124" i="2"/>
  <c r="V6" i="2"/>
  <c r="AI6" i="2" s="1"/>
  <c r="AA29" i="2"/>
  <c r="AN29" i="2" s="1"/>
  <c r="AI29" i="2"/>
  <c r="AA12" i="2"/>
  <c r="AN12" i="2" s="1"/>
  <c r="AI12" i="2"/>
  <c r="AA73" i="2"/>
  <c r="AN73" i="2" s="1"/>
  <c r="AI73" i="2"/>
  <c r="AA90" i="2"/>
  <c r="AN90" i="2" s="1"/>
  <c r="AI90" i="2"/>
  <c r="AA122" i="2"/>
  <c r="AN122" i="2" s="1"/>
  <c r="AI122" i="2"/>
  <c r="AA18" i="2"/>
  <c r="AN18" i="2" s="1"/>
  <c r="AI18" i="2"/>
  <c r="AA38" i="2"/>
  <c r="AN38" i="2" s="1"/>
  <c r="AI38" i="2"/>
  <c r="V32" i="2"/>
  <c r="V82" i="2"/>
  <c r="V121" i="2"/>
  <c r="V89" i="2"/>
  <c r="V79" i="2"/>
  <c r="V123" i="2"/>
  <c r="V105" i="2"/>
  <c r="AI105" i="2" s="1"/>
  <c r="V55" i="2"/>
  <c r="AI55" i="2" s="1"/>
  <c r="V57" i="2"/>
  <c r="V11" i="2"/>
  <c r="V85" i="2"/>
  <c r="V25" i="2"/>
  <c r="V47" i="2"/>
  <c r="V58" i="2"/>
  <c r="AI58" i="2" s="1"/>
  <c r="V35" i="2"/>
  <c r="AI35" i="2" s="1"/>
  <c r="V86" i="2"/>
  <c r="V63" i="2"/>
  <c r="V69" i="2"/>
  <c r="V4" i="2"/>
  <c r="V111" i="2"/>
  <c r="V19" i="2"/>
  <c r="AI19" i="2" s="1"/>
  <c r="V114" i="2"/>
  <c r="V22" i="2"/>
  <c r="V5" i="2"/>
  <c r="V119" i="2"/>
  <c r="V31" i="2"/>
  <c r="AI31" i="2" s="1"/>
  <c r="V15" i="2"/>
  <c r="AI15" i="2" s="1"/>
  <c r="V8" i="2"/>
  <c r="V100" i="2"/>
  <c r="AI100" i="2" s="1"/>
  <c r="V28" i="2"/>
  <c r="V102" i="2"/>
  <c r="AI102" i="2" s="1"/>
  <c r="V14" i="2"/>
  <c r="AI14" i="2" s="1"/>
  <c r="V66" i="2"/>
  <c r="AI66" i="2" s="1"/>
  <c r="V76" i="2"/>
  <c r="V77" i="2"/>
  <c r="AI77" i="2" s="1"/>
  <c r="V41" i="2"/>
  <c r="V48" i="2"/>
  <c r="AI48" i="2" s="1"/>
  <c r="V37" i="2"/>
  <c r="AI37" i="2" s="1"/>
  <c r="V93" i="2"/>
  <c r="AI93" i="2" s="1"/>
  <c r="V107" i="2"/>
  <c r="AI107" i="2" s="1"/>
  <c r="V101" i="2"/>
  <c r="AI101" i="2" s="1"/>
  <c r="V65" i="2"/>
  <c r="AI65" i="2" s="1"/>
  <c r="V27" i="2"/>
  <c r="V21" i="2"/>
  <c r="AI21" i="2" s="1"/>
  <c r="V92" i="2"/>
  <c r="AI92" i="2" s="1"/>
  <c r="V106" i="2"/>
  <c r="V83" i="2"/>
  <c r="AI83" i="2" s="1"/>
  <c r="V13" i="2"/>
  <c r="V115" i="2"/>
  <c r="V112" i="2"/>
  <c r="AI112" i="2" s="1"/>
  <c r="V72" i="2"/>
  <c r="AI72" i="2" s="1"/>
  <c r="V103" i="2"/>
  <c r="V53" i="2"/>
  <c r="AA98" i="2"/>
  <c r="AA16" i="2"/>
  <c r="AN16" i="2" s="1"/>
  <c r="V3" i="2"/>
  <c r="AI3" i="2" s="1"/>
  <c r="F132" i="15"/>
  <c r="BB125" i="2"/>
  <c r="V43" i="2"/>
  <c r="AI43" i="2" s="1"/>
  <c r="AA113" i="2"/>
  <c r="AN113" i="2" s="1"/>
  <c r="V23" i="2"/>
  <c r="AI23" i="2" s="1"/>
  <c r="AA84" i="2"/>
  <c r="AN84" i="2" s="1"/>
  <c r="AA39" i="2"/>
  <c r="AA36" i="2"/>
  <c r="AA94" i="2"/>
  <c r="AN94" i="2" s="1"/>
  <c r="AA99" i="2"/>
  <c r="AN99" i="2" s="1"/>
  <c r="AA49" i="2"/>
  <c r="AN49" i="2" s="1"/>
  <c r="AA91" i="2"/>
  <c r="AN91" i="2" s="1"/>
  <c r="AA42" i="2"/>
  <c r="AN42" i="2" s="1"/>
  <c r="AA45" i="2"/>
  <c r="AN45" i="2" s="1"/>
  <c r="AA34" i="2"/>
  <c r="AN34" i="2" s="1"/>
  <c r="AA78" i="2"/>
  <c r="AN78" i="2" s="1"/>
  <c r="AA104" i="2"/>
  <c r="AN104" i="2" s="1"/>
  <c r="AA108" i="2"/>
  <c r="AN108" i="2" s="1"/>
  <c r="AA17" i="2"/>
  <c r="AN17" i="2" s="1"/>
  <c r="AA30" i="2"/>
  <c r="AN30" i="2" s="1"/>
  <c r="AA67" i="2"/>
  <c r="AN67" i="2" s="1"/>
  <c r="AA64" i="2"/>
  <c r="AA110" i="2"/>
  <c r="AN110" i="2" s="1"/>
  <c r="AJ12" i="2"/>
  <c r="AA118" i="2"/>
  <c r="AN118" i="2" s="1"/>
  <c r="AA60" i="2"/>
  <c r="AA7" i="2"/>
  <c r="AN7" i="2" s="1"/>
  <c r="AA46" i="2"/>
  <c r="AN46" i="2" s="1"/>
  <c r="AA120" i="2"/>
  <c r="AN120" i="2" s="1"/>
  <c r="AA26" i="2"/>
  <c r="AN26" i="2" s="1"/>
  <c r="AA68" i="2"/>
  <c r="AN68" i="2" s="1"/>
  <c r="AA96" i="2"/>
  <c r="AN96" i="2" s="1"/>
  <c r="AA97" i="2"/>
  <c r="AN97" i="2" s="1"/>
  <c r="AA40" i="2"/>
  <c r="AN40" i="2" s="1"/>
  <c r="AA20" i="2"/>
  <c r="AN20" i="2" s="1"/>
  <c r="AA59" i="2"/>
  <c r="AN59" i="2" s="1"/>
  <c r="AA62" i="2"/>
  <c r="AA109" i="2"/>
  <c r="AN109" i="2" s="1"/>
  <c r="AA61" i="2"/>
  <c r="AA75" i="2"/>
  <c r="AN75" i="2" s="1"/>
  <c r="AA80" i="2"/>
  <c r="AN80" i="2" s="1"/>
  <c r="AA87" i="2"/>
  <c r="AN87" i="2" s="1"/>
  <c r="AA88" i="2"/>
  <c r="AN88" i="2" s="1"/>
  <c r="AA56" i="2"/>
  <c r="AN56" i="2" s="1"/>
  <c r="AA70" i="2"/>
  <c r="AN70" i="2" s="1"/>
  <c r="AA51" i="2"/>
  <c r="AN51" i="2" s="1"/>
  <c r="AA10" i="2"/>
  <c r="AN10" i="2" s="1"/>
  <c r="AA9" i="2"/>
  <c r="AN9" i="2" s="1"/>
  <c r="AA44" i="2"/>
  <c r="AN44" i="2" s="1"/>
  <c r="AA24" i="2"/>
  <c r="AN24" i="2" s="1"/>
  <c r="AJ124" i="2" l="1"/>
  <c r="AJ90" i="2"/>
  <c r="AO90" i="2" s="1"/>
  <c r="AJ71" i="2"/>
  <c r="AO71" i="2" s="1"/>
  <c r="AT71" i="2" s="1"/>
  <c r="BC71" i="2" s="1"/>
  <c r="AA112" i="2"/>
  <c r="AN112" i="2" s="1"/>
  <c r="AA100" i="2"/>
  <c r="AN100" i="2" s="1"/>
  <c r="AJ73" i="2"/>
  <c r="AO73" i="2" s="1"/>
  <c r="AJ29" i="2"/>
  <c r="AA6" i="2"/>
  <c r="AN6" i="2" s="1"/>
  <c r="AJ122" i="2"/>
  <c r="AO122" i="2" s="1"/>
  <c r="AA22" i="2"/>
  <c r="AN22" i="2" s="1"/>
  <c r="AI22" i="2"/>
  <c r="AA85" i="2"/>
  <c r="AN85" i="2" s="1"/>
  <c r="AI85" i="2"/>
  <c r="AA107" i="2"/>
  <c r="AN107" i="2" s="1"/>
  <c r="AJ38" i="2"/>
  <c r="AO38" i="2" s="1"/>
  <c r="AA106" i="2"/>
  <c r="AN106" i="2" s="1"/>
  <c r="AI106" i="2"/>
  <c r="AA76" i="2"/>
  <c r="AN76" i="2" s="1"/>
  <c r="AI76" i="2"/>
  <c r="AA114" i="2"/>
  <c r="AN114" i="2" s="1"/>
  <c r="AI114" i="2"/>
  <c r="AA11" i="2"/>
  <c r="AN11" i="2" s="1"/>
  <c r="AI11" i="2"/>
  <c r="AA57" i="2"/>
  <c r="AN57" i="2" s="1"/>
  <c r="AI57" i="2"/>
  <c r="AA111" i="2"/>
  <c r="AN111" i="2" s="1"/>
  <c r="AI111" i="2"/>
  <c r="AA28" i="2"/>
  <c r="AN28" i="2" s="1"/>
  <c r="AI28" i="2"/>
  <c r="AA69" i="2"/>
  <c r="AN69" i="2" s="1"/>
  <c r="AI69" i="2"/>
  <c r="AA53" i="2"/>
  <c r="AN53" i="2" s="1"/>
  <c r="AI53" i="2"/>
  <c r="AA63" i="2"/>
  <c r="AI63" i="2"/>
  <c r="AA79" i="2"/>
  <c r="AN79" i="2" s="1"/>
  <c r="AI79" i="2"/>
  <c r="AA27" i="2"/>
  <c r="AN27" i="2" s="1"/>
  <c r="AI27" i="2"/>
  <c r="AA8" i="2"/>
  <c r="AN8" i="2" s="1"/>
  <c r="AI8" i="2"/>
  <c r="AA86" i="2"/>
  <c r="AI86" i="2"/>
  <c r="AA89" i="2"/>
  <c r="AI89" i="2"/>
  <c r="AA121" i="2"/>
  <c r="AN121" i="2" s="1"/>
  <c r="AI121" i="2"/>
  <c r="AJ39" i="2"/>
  <c r="AN39" i="2"/>
  <c r="AJ98" i="2"/>
  <c r="AN98" i="2"/>
  <c r="AA123" i="2"/>
  <c r="AI123" i="2"/>
  <c r="AA82" i="2"/>
  <c r="AN82" i="2" s="1"/>
  <c r="AI82" i="2"/>
  <c r="AJ62" i="2"/>
  <c r="AN62" i="2"/>
  <c r="AJ60" i="2"/>
  <c r="AN60" i="2"/>
  <c r="AA115" i="2"/>
  <c r="AI115" i="2"/>
  <c r="AA119" i="2"/>
  <c r="AI119" i="2"/>
  <c r="AA47" i="2"/>
  <c r="AN47" i="2" s="1"/>
  <c r="AI47" i="2"/>
  <c r="AA32" i="2"/>
  <c r="AN32" i="2" s="1"/>
  <c r="AI32" i="2"/>
  <c r="AJ36" i="2"/>
  <c r="AN36" i="2"/>
  <c r="AA4" i="2"/>
  <c r="AN4" i="2" s="1"/>
  <c r="AI4" i="2"/>
  <c r="AA103" i="2"/>
  <c r="AI103" i="2"/>
  <c r="AJ61" i="2"/>
  <c r="AN61" i="2"/>
  <c r="AJ50" i="2"/>
  <c r="AO50" i="2" s="1"/>
  <c r="AJ64" i="2"/>
  <c r="AN64" i="2"/>
  <c r="AA13" i="2"/>
  <c r="AN13" i="2" s="1"/>
  <c r="AI13" i="2"/>
  <c r="AA41" i="2"/>
  <c r="AN41" i="2" s="1"/>
  <c r="AI41" i="2"/>
  <c r="AA5" i="2"/>
  <c r="AI5" i="2"/>
  <c r="AA25" i="2"/>
  <c r="AN25" i="2" s="1"/>
  <c r="AI25" i="2"/>
  <c r="AA55" i="2"/>
  <c r="AA65" i="2"/>
  <c r="AA37" i="2"/>
  <c r="AA48" i="2"/>
  <c r="AA101" i="2"/>
  <c r="AN101" i="2" s="1"/>
  <c r="AA105" i="2"/>
  <c r="AA58" i="2"/>
  <c r="AN58" i="2" s="1"/>
  <c r="AA93" i="2"/>
  <c r="AA83" i="2"/>
  <c r="AA21" i="2"/>
  <c r="AA14" i="2"/>
  <c r="AA35" i="2"/>
  <c r="AN35" i="2" s="1"/>
  <c r="AA19" i="2"/>
  <c r="AA72" i="2"/>
  <c r="AA66" i="2"/>
  <c r="AA15" i="2"/>
  <c r="AN15" i="2" s="1"/>
  <c r="AA31" i="2"/>
  <c r="AA102" i="2"/>
  <c r="AA92" i="2"/>
  <c r="AA77" i="2"/>
  <c r="AN77" i="2" s="1"/>
  <c r="AA3" i="2"/>
  <c r="AN3" i="2" s="1"/>
  <c r="AJ16" i="2"/>
  <c r="AO16" i="2" s="1"/>
  <c r="AA43" i="2"/>
  <c r="AN43" i="2" s="1"/>
  <c r="AA23" i="2"/>
  <c r="AN23" i="2" s="1"/>
  <c r="AJ113" i="2"/>
  <c r="AJ91" i="2"/>
  <c r="AJ84" i="2"/>
  <c r="AO84" i="2" s="1"/>
  <c r="AT84" i="2" s="1"/>
  <c r="BC84" i="2" s="1"/>
  <c r="AO29" i="2"/>
  <c r="AT29" i="2" s="1"/>
  <c r="BC29" i="2" s="1"/>
  <c r="AJ42" i="2"/>
  <c r="AO42" i="2" s="1"/>
  <c r="AJ94" i="2"/>
  <c r="AO94" i="2" s="1"/>
  <c r="AJ99" i="2"/>
  <c r="AJ49" i="2"/>
  <c r="AJ80" i="2"/>
  <c r="AJ26" i="2"/>
  <c r="AJ46" i="2"/>
  <c r="AJ78" i="2"/>
  <c r="AO124" i="2"/>
  <c r="AJ97" i="2"/>
  <c r="AJ7" i="2"/>
  <c r="AJ120" i="2"/>
  <c r="AJ40" i="2"/>
  <c r="AJ67" i="2"/>
  <c r="AJ75" i="2"/>
  <c r="AJ18" i="2"/>
  <c r="AJ20" i="2"/>
  <c r="AJ88" i="2"/>
  <c r="AO54" i="2"/>
  <c r="AJ118" i="2"/>
  <c r="AJ51" i="2"/>
  <c r="AJ17" i="2"/>
  <c r="AJ110" i="2"/>
  <c r="AJ109" i="2"/>
  <c r="AJ24" i="2"/>
  <c r="AJ30" i="2"/>
  <c r="AJ108" i="2"/>
  <c r="AJ34" i="2"/>
  <c r="AJ104" i="2"/>
  <c r="AJ44" i="2"/>
  <c r="AJ9" i="2"/>
  <c r="AJ45" i="2"/>
  <c r="AO74" i="2"/>
  <c r="AJ96" i="2"/>
  <c r="AJ70" i="2"/>
  <c r="AJ10" i="2"/>
  <c r="AJ56" i="2"/>
  <c r="AJ59" i="2"/>
  <c r="AJ87" i="2"/>
  <c r="AJ68" i="2"/>
  <c r="AO12" i="2"/>
  <c r="AJ100" i="2" l="1"/>
  <c r="AO100" i="2" s="1"/>
  <c r="AO39" i="2"/>
  <c r="AJ57" i="2"/>
  <c r="AJ85" i="2"/>
  <c r="AO85" i="2" s="1"/>
  <c r="AT85" i="2" s="1"/>
  <c r="BC85" i="2" s="1"/>
  <c r="AJ121" i="2"/>
  <c r="AO121" i="2" s="1"/>
  <c r="AJ11" i="2"/>
  <c r="AO11" i="2" s="1"/>
  <c r="AJ22" i="2"/>
  <c r="AJ112" i="2"/>
  <c r="AO112" i="2" s="1"/>
  <c r="AJ6" i="2"/>
  <c r="AO6" i="2" s="1"/>
  <c r="AT6" i="2" s="1"/>
  <c r="AJ27" i="2"/>
  <c r="AO27" i="2" s="1"/>
  <c r="AJ8" i="2"/>
  <c r="AO8" i="2" s="1"/>
  <c r="AJ79" i="2"/>
  <c r="AJ47" i="2"/>
  <c r="AO47" i="2" s="1"/>
  <c r="AT47" i="2" s="1"/>
  <c r="BC47" i="2" s="1"/>
  <c r="AJ28" i="2"/>
  <c r="AO28" i="2" s="1"/>
  <c r="AT28" i="2" s="1"/>
  <c r="BC28" i="2" s="1"/>
  <c r="AJ41" i="2"/>
  <c r="AO41" i="2" s="1"/>
  <c r="AJ111" i="2"/>
  <c r="AO111" i="2" s="1"/>
  <c r="AI125" i="2"/>
  <c r="AO36" i="2"/>
  <c r="AT36" i="2" s="1"/>
  <c r="AJ76" i="2"/>
  <c r="AO76" i="2" s="1"/>
  <c r="AT76" i="2" s="1"/>
  <c r="BC76" i="2" s="1"/>
  <c r="AJ25" i="2"/>
  <c r="AO25" i="2" s="1"/>
  <c r="AJ107" i="2"/>
  <c r="AO107" i="2" s="1"/>
  <c r="AJ106" i="2"/>
  <c r="AO106" i="2" s="1"/>
  <c r="AJ32" i="2"/>
  <c r="AO32" i="2" s="1"/>
  <c r="AJ82" i="2"/>
  <c r="AO82" i="2" s="1"/>
  <c r="AJ69" i="2"/>
  <c r="AO69" i="2" s="1"/>
  <c r="AJ86" i="2"/>
  <c r="AN86" i="2"/>
  <c r="AJ31" i="2"/>
  <c r="AN31" i="2"/>
  <c r="AJ48" i="2"/>
  <c r="AN48" i="2"/>
  <c r="AJ4" i="2"/>
  <c r="AO4" i="2" s="1"/>
  <c r="AJ13" i="2"/>
  <c r="AO13" i="2" s="1"/>
  <c r="AJ53" i="2"/>
  <c r="AO53" i="2" s="1"/>
  <c r="AJ66" i="2"/>
  <c r="AN66" i="2"/>
  <c r="AJ37" i="2"/>
  <c r="AN37" i="2"/>
  <c r="AJ72" i="2"/>
  <c r="AN72" i="2"/>
  <c r="AJ65" i="2"/>
  <c r="AN65" i="2"/>
  <c r="AJ123" i="2"/>
  <c r="AN123" i="2"/>
  <c r="AJ19" i="2"/>
  <c r="AN19" i="2"/>
  <c r="AJ55" i="2"/>
  <c r="AN55" i="2"/>
  <c r="AJ119" i="2"/>
  <c r="AN119" i="2"/>
  <c r="AO98" i="2"/>
  <c r="AT98" i="2" s="1"/>
  <c r="BC98" i="2" s="1"/>
  <c r="AJ14" i="2"/>
  <c r="AN14" i="2"/>
  <c r="AJ102" i="2"/>
  <c r="AN102" i="2"/>
  <c r="AJ105" i="2"/>
  <c r="AN105" i="2"/>
  <c r="AJ21" i="2"/>
  <c r="AN21" i="2"/>
  <c r="AJ103" i="2"/>
  <c r="AN103" i="2"/>
  <c r="AJ115" i="2"/>
  <c r="AN115" i="2"/>
  <c r="AJ89" i="2"/>
  <c r="AN89" i="2"/>
  <c r="AJ63" i="2"/>
  <c r="AN63" i="2"/>
  <c r="AJ83" i="2"/>
  <c r="AN83" i="2"/>
  <c r="AJ5" i="2"/>
  <c r="AN5" i="2"/>
  <c r="AJ114" i="2"/>
  <c r="AO114" i="2" s="1"/>
  <c r="AT114" i="2" s="1"/>
  <c r="BC114" i="2" s="1"/>
  <c r="AJ93" i="2"/>
  <c r="AN93" i="2"/>
  <c r="AJ92" i="2"/>
  <c r="AN92" i="2"/>
  <c r="AJ58" i="2"/>
  <c r="AO58" i="2" s="1"/>
  <c r="AJ101" i="2"/>
  <c r="AJ35" i="2"/>
  <c r="AO35" i="2" s="1"/>
  <c r="AJ77" i="2"/>
  <c r="AO77" i="2" s="1"/>
  <c r="AT77" i="2" s="1"/>
  <c r="BC77" i="2" s="1"/>
  <c r="AJ3" i="2"/>
  <c r="AJ15" i="2"/>
  <c r="AO15" i="2" s="1"/>
  <c r="AT15" i="2" s="1"/>
  <c r="BC15" i="2" s="1"/>
  <c r="BH15" i="2" s="1"/>
  <c r="BU15" i="2" s="1"/>
  <c r="AJ43" i="2"/>
  <c r="AO43" i="2" s="1"/>
  <c r="AO113" i="2"/>
  <c r="AJ23" i="2"/>
  <c r="AO91" i="2"/>
  <c r="AT91" i="2" s="1"/>
  <c r="AO99" i="2"/>
  <c r="AT39" i="2"/>
  <c r="BC39" i="2" s="1"/>
  <c r="BH39" i="2" s="1"/>
  <c r="BU39" i="2" s="1"/>
  <c r="AO49" i="2"/>
  <c r="AO22" i="2"/>
  <c r="AO10" i="2"/>
  <c r="AO44" i="2"/>
  <c r="AT54" i="2"/>
  <c r="BC54" i="2" s="1"/>
  <c r="AO80" i="2"/>
  <c r="AO40" i="2"/>
  <c r="AO26" i="2"/>
  <c r="AT12" i="2"/>
  <c r="BC12" i="2" s="1"/>
  <c r="AO56" i="2"/>
  <c r="AT90" i="2"/>
  <c r="AO17" i="2"/>
  <c r="AT38" i="2"/>
  <c r="BC38" i="2" s="1"/>
  <c r="BH38" i="2" s="1"/>
  <c r="BU38" i="2" s="1"/>
  <c r="AO60" i="2"/>
  <c r="AT124" i="2"/>
  <c r="BC124" i="2" s="1"/>
  <c r="AO118" i="2"/>
  <c r="AO109" i="2"/>
  <c r="AO79" i="2"/>
  <c r="AO30" i="2"/>
  <c r="AO61" i="2"/>
  <c r="AO59" i="2"/>
  <c r="AO70" i="2"/>
  <c r="AO9" i="2"/>
  <c r="AO64" i="2"/>
  <c r="AO7" i="2"/>
  <c r="AO68" i="2"/>
  <c r="AO62" i="2"/>
  <c r="AO51" i="2"/>
  <c r="AO108" i="2"/>
  <c r="AO34" i="2"/>
  <c r="AO110" i="2"/>
  <c r="AT73" i="2"/>
  <c r="BC73" i="2" s="1"/>
  <c r="AO20" i="2"/>
  <c r="AO78" i="2"/>
  <c r="AT94" i="2"/>
  <c r="AO88" i="2"/>
  <c r="AT88" i="2" s="1"/>
  <c r="AT50" i="2"/>
  <c r="BC50" i="2" s="1"/>
  <c r="AO104" i="2"/>
  <c r="AO87" i="2"/>
  <c r="AT87" i="2" s="1"/>
  <c r="AO96" i="2"/>
  <c r="AO45" i="2"/>
  <c r="AT122" i="2"/>
  <c r="BC122" i="2" s="1"/>
  <c r="AO18" i="2"/>
  <c r="AT42" i="2"/>
  <c r="BC42" i="2" s="1"/>
  <c r="AO46" i="2"/>
  <c r="AO75" i="2"/>
  <c r="AT74" i="2"/>
  <c r="BC74" i="2" s="1"/>
  <c r="AO67" i="2"/>
  <c r="AO120" i="2"/>
  <c r="AO24" i="2"/>
  <c r="AO57" i="2"/>
  <c r="AT16" i="2"/>
  <c r="BC16" i="2" s="1"/>
  <c r="AO97" i="2"/>
  <c r="AO14" i="2" l="1"/>
  <c r="AT14" i="2" s="1"/>
  <c r="BC14" i="2" s="1"/>
  <c r="BH14" i="2" s="1"/>
  <c r="BU14" i="2" s="1"/>
  <c r="AO63" i="2"/>
  <c r="AT63" i="2" s="1"/>
  <c r="BC63" i="2" s="1"/>
  <c r="AO102" i="2"/>
  <c r="AT102" i="2" s="1"/>
  <c r="BC102" i="2" s="1"/>
  <c r="AO37" i="2"/>
  <c r="AT37" i="2" s="1"/>
  <c r="BC37" i="2" s="1"/>
  <c r="BH37" i="2" s="1"/>
  <c r="BU37" i="2" s="1"/>
  <c r="AO103" i="2"/>
  <c r="AT103" i="2" s="1"/>
  <c r="BC103" i="2" s="1"/>
  <c r="AO66" i="2"/>
  <c r="AT66" i="2" s="1"/>
  <c r="BC66" i="2" s="1"/>
  <c r="AO105" i="2"/>
  <c r="AT105" i="2" s="1"/>
  <c r="AO48" i="2"/>
  <c r="AT48" i="2" s="1"/>
  <c r="BC48" i="2" s="1"/>
  <c r="AO19" i="2"/>
  <c r="AT19" i="2" s="1"/>
  <c r="BC19" i="2" s="1"/>
  <c r="AO83" i="2"/>
  <c r="AT83" i="2" s="1"/>
  <c r="BC83" i="2" s="1"/>
  <c r="AO65" i="2"/>
  <c r="AT65" i="2" s="1"/>
  <c r="BC65" i="2" s="1"/>
  <c r="AO92" i="2"/>
  <c r="AT92" i="2" s="1"/>
  <c r="AO31" i="2"/>
  <c r="AT31" i="2" s="1"/>
  <c r="BC31" i="2" s="1"/>
  <c r="AO21" i="2"/>
  <c r="AT21" i="2" s="1"/>
  <c r="BC21" i="2" s="1"/>
  <c r="AO123" i="2"/>
  <c r="AT123" i="2" s="1"/>
  <c r="BC123" i="2" s="1"/>
  <c r="AN125" i="2"/>
  <c r="AO119" i="2"/>
  <c r="AT119" i="2" s="1"/>
  <c r="BC119" i="2" s="1"/>
  <c r="AO5" i="2"/>
  <c r="AT5" i="2" s="1"/>
  <c r="BC5" i="2" s="1"/>
  <c r="BH5" i="2" s="1"/>
  <c r="BU5" i="2" s="1"/>
  <c r="AO55" i="2"/>
  <c r="AT55" i="2" s="1"/>
  <c r="BC55" i="2" s="1"/>
  <c r="AO89" i="2"/>
  <c r="AT89" i="2" s="1"/>
  <c r="BC89" i="2" s="1"/>
  <c r="AO115" i="2"/>
  <c r="AT115" i="2" s="1"/>
  <c r="BC115" i="2" s="1"/>
  <c r="AO72" i="2"/>
  <c r="AT72" i="2" s="1"/>
  <c r="BC72" i="2" s="1"/>
  <c r="AO93" i="2"/>
  <c r="AT93" i="2" s="1"/>
  <c r="BC93" i="2" s="1"/>
  <c r="AO86" i="2"/>
  <c r="AT86" i="2" s="1"/>
  <c r="BC86" i="2" s="1"/>
  <c r="AO101" i="2"/>
  <c r="AT101" i="2" s="1"/>
  <c r="BC88" i="2"/>
  <c r="BH98" i="2"/>
  <c r="BU98" i="2" s="1"/>
  <c r="AO3" i="2"/>
  <c r="BC94" i="2"/>
  <c r="BC91" i="2"/>
  <c r="BC36" i="2"/>
  <c r="BH36" i="2" s="1"/>
  <c r="BU36" i="2" s="1"/>
  <c r="AT82" i="2"/>
  <c r="BC82" i="2" s="1"/>
  <c r="BC87" i="2"/>
  <c r="BC90" i="2"/>
  <c r="AT113" i="2"/>
  <c r="AT53" i="2"/>
  <c r="AT100" i="2"/>
  <c r="AO23" i="2"/>
  <c r="AT41" i="2"/>
  <c r="BC41" i="2" s="1"/>
  <c r="AT112" i="2"/>
  <c r="BC112" i="2" s="1"/>
  <c r="AT49" i="2"/>
  <c r="BC49" i="2" s="1"/>
  <c r="AT58" i="2"/>
  <c r="BC58" i="2" s="1"/>
  <c r="AT99" i="2"/>
  <c r="AT4" i="2"/>
  <c r="AT26" i="2"/>
  <c r="BC26" i="2" s="1"/>
  <c r="AT79" i="2"/>
  <c r="BC79" i="2" s="1"/>
  <c r="AT11" i="2"/>
  <c r="BC11" i="2" s="1"/>
  <c r="AT27" i="2"/>
  <c r="BC27" i="2" s="1"/>
  <c r="AT110" i="2"/>
  <c r="BC110" i="2" s="1"/>
  <c r="AT97" i="2"/>
  <c r="AT7" i="2"/>
  <c r="AT56" i="2"/>
  <c r="BC56" i="2" s="1"/>
  <c r="AT51" i="2"/>
  <c r="BC51" i="2" s="1"/>
  <c r="AT9" i="2"/>
  <c r="AT30" i="2"/>
  <c r="BC30" i="2" s="1"/>
  <c r="AT109" i="2"/>
  <c r="BC109" i="2" s="1"/>
  <c r="AT40" i="2"/>
  <c r="BC40" i="2" s="1"/>
  <c r="BH40" i="2" s="1"/>
  <c r="BU40" i="2" s="1"/>
  <c r="AT10" i="2"/>
  <c r="BC10" i="2" s="1"/>
  <c r="AT25" i="2"/>
  <c r="BC25" i="2" s="1"/>
  <c r="AT96" i="2"/>
  <c r="AT106" i="2"/>
  <c r="BC106" i="2" s="1"/>
  <c r="AT43" i="2"/>
  <c r="BC43" i="2" s="1"/>
  <c r="AT67" i="2"/>
  <c r="BC67" i="2" s="1"/>
  <c r="AT60" i="2"/>
  <c r="BC60" i="2" s="1"/>
  <c r="BC6" i="2"/>
  <c r="AT45" i="2"/>
  <c r="BC45" i="2" s="1"/>
  <c r="AT59" i="2"/>
  <c r="BC59" i="2" s="1"/>
  <c r="AT13" i="2"/>
  <c r="BC13" i="2" s="1"/>
  <c r="AT61" i="2"/>
  <c r="BC61" i="2" s="1"/>
  <c r="AT120" i="2"/>
  <c r="BC120" i="2" s="1"/>
  <c r="AT78" i="2"/>
  <c r="BC78" i="2" s="1"/>
  <c r="AT62" i="2"/>
  <c r="BC62" i="2" s="1"/>
  <c r="AT107" i="2"/>
  <c r="BC107" i="2" s="1"/>
  <c r="AT80" i="2"/>
  <c r="BC80" i="2" s="1"/>
  <c r="AT35" i="2"/>
  <c r="BC35" i="2" s="1"/>
  <c r="AT108" i="2"/>
  <c r="BC108" i="2" s="1"/>
  <c r="AT8" i="2"/>
  <c r="AT32" i="2"/>
  <c r="BC32" i="2" s="1"/>
  <c r="BH71" i="2"/>
  <c r="BU71" i="2" s="1"/>
  <c r="AT75" i="2"/>
  <c r="BC75" i="2" s="1"/>
  <c r="AT18" i="2"/>
  <c r="BC18" i="2" s="1"/>
  <c r="AT22" i="2"/>
  <c r="BC22" i="2" s="1"/>
  <c r="AT46" i="2"/>
  <c r="BC46" i="2" s="1"/>
  <c r="AT57" i="2"/>
  <c r="BC57" i="2" s="1"/>
  <c r="AT104" i="2"/>
  <c r="BC104" i="2" s="1"/>
  <c r="AT70" i="2"/>
  <c r="BC70" i="2" s="1"/>
  <c r="AT118" i="2"/>
  <c r="BC118" i="2" s="1"/>
  <c r="BH85" i="2"/>
  <c r="BU85" i="2" s="1"/>
  <c r="AT69" i="2"/>
  <c r="BC69" i="2" s="1"/>
  <c r="AT34" i="2"/>
  <c r="BC34" i="2" s="1"/>
  <c r="AT17" i="2"/>
  <c r="BC17" i="2" s="1"/>
  <c r="AT20" i="2"/>
  <c r="BC20" i="2" s="1"/>
  <c r="AT24" i="2"/>
  <c r="BC24" i="2" s="1"/>
  <c r="AT44" i="2"/>
  <c r="BC44" i="2" s="1"/>
  <c r="AT64" i="2"/>
  <c r="BC64" i="2" s="1"/>
  <c r="BH29" i="2"/>
  <c r="BU29" i="2" s="1"/>
  <c r="AT68" i="2"/>
  <c r="BC68" i="2" s="1"/>
  <c r="AT111" i="2"/>
  <c r="BC111" i="2" s="1"/>
  <c r="AT121" i="2"/>
  <c r="BC121" i="2" s="1"/>
  <c r="BM98" i="2" l="1"/>
  <c r="BZ98" i="2" s="1"/>
  <c r="BC97" i="2"/>
  <c r="BC53" i="2"/>
  <c r="BC113" i="2"/>
  <c r="BC99" i="2"/>
  <c r="BC100" i="2"/>
  <c r="BC101" i="2"/>
  <c r="BC92" i="2"/>
  <c r="AT3" i="2"/>
  <c r="BC3" i="2" s="1"/>
  <c r="BC105" i="2"/>
  <c r="BH105" i="2" s="1"/>
  <c r="BU105" i="2" s="1"/>
  <c r="BC96" i="2"/>
  <c r="AT23" i="2"/>
  <c r="BC23" i="2" s="1"/>
  <c r="BH82" i="2"/>
  <c r="BH103" i="2"/>
  <c r="BU103" i="2" s="1"/>
  <c r="BM85" i="2"/>
  <c r="BZ85" i="2" s="1"/>
  <c r="BH89" i="2"/>
  <c r="BU89" i="2" s="1"/>
  <c r="BH124" i="2"/>
  <c r="BU124" i="2" s="1"/>
  <c r="BM71" i="2"/>
  <c r="BZ71" i="2" s="1"/>
  <c r="BH91" i="2"/>
  <c r="BU91" i="2" s="1"/>
  <c r="BH42" i="2"/>
  <c r="BU42" i="2" s="1"/>
  <c r="BH77" i="2"/>
  <c r="BU77" i="2" s="1"/>
  <c r="BC8" i="2"/>
  <c r="BH28" i="2"/>
  <c r="BU28" i="2" s="1"/>
  <c r="BH94" i="2"/>
  <c r="BU94" i="2" s="1"/>
  <c r="BH47" i="2"/>
  <c r="BU47" i="2" s="1"/>
  <c r="BC9" i="2"/>
  <c r="BM5" i="2"/>
  <c r="BZ5" i="2" s="1"/>
  <c r="BH66" i="2"/>
  <c r="BU66" i="2" s="1"/>
  <c r="BH93" i="2"/>
  <c r="BU93" i="2" s="1"/>
  <c r="BH122" i="2"/>
  <c r="BU122" i="2" s="1"/>
  <c r="BH86" i="2"/>
  <c r="BU86" i="2" s="1"/>
  <c r="BH55" i="2"/>
  <c r="BU55" i="2" s="1"/>
  <c r="BH74" i="2"/>
  <c r="BU74" i="2" s="1"/>
  <c r="BH19" i="2"/>
  <c r="BU19" i="2" s="1"/>
  <c r="BH115" i="2"/>
  <c r="BU115" i="2" s="1"/>
  <c r="BH16" i="2"/>
  <c r="BU16" i="2" s="1"/>
  <c r="BH50" i="2"/>
  <c r="BU50" i="2" s="1"/>
  <c r="BC7" i="2"/>
  <c r="BH123" i="2"/>
  <c r="BU123" i="2" s="1"/>
  <c r="BH73" i="2"/>
  <c r="BU73" i="2" s="1"/>
  <c r="BH54" i="2"/>
  <c r="BU54" i="2" s="1"/>
  <c r="BH76" i="2"/>
  <c r="BU76" i="2" s="1"/>
  <c r="BH72" i="2"/>
  <c r="BU72" i="2" s="1"/>
  <c r="BH48" i="2"/>
  <c r="BU48" i="2" s="1"/>
  <c r="BH90" i="2"/>
  <c r="BU90" i="2" s="1"/>
  <c r="BH84" i="2"/>
  <c r="BU84" i="2" s="1"/>
  <c r="BH119" i="2"/>
  <c r="BU119" i="2" s="1"/>
  <c r="BC4" i="2"/>
  <c r="BH114" i="2"/>
  <c r="BU114" i="2" s="1"/>
  <c r="BH12" i="2"/>
  <c r="BU12" i="2" s="1"/>
  <c r="BM29" i="2"/>
  <c r="BZ29" i="2" s="1"/>
  <c r="BH6" i="2"/>
  <c r="BU6" i="2" s="1"/>
  <c r="BV98" i="2" l="1"/>
  <c r="CA98" i="2" s="1"/>
  <c r="BM82" i="2"/>
  <c r="BZ82" i="2" s="1"/>
  <c r="BU82" i="2"/>
  <c r="BH100" i="2"/>
  <c r="BM105" i="2"/>
  <c r="BZ105" i="2" s="1"/>
  <c r="BM36" i="2"/>
  <c r="BH113" i="2"/>
  <c r="BH53" i="2"/>
  <c r="BH101" i="2"/>
  <c r="BU101" i="2" s="1"/>
  <c r="BH112" i="2"/>
  <c r="BU112" i="2" s="1"/>
  <c r="BH41" i="2"/>
  <c r="BU41" i="2" s="1"/>
  <c r="BH49" i="2"/>
  <c r="BU49" i="2" s="1"/>
  <c r="BH31" i="2"/>
  <c r="BU31" i="2" s="1"/>
  <c r="BM39" i="2"/>
  <c r="BZ39" i="2" s="1"/>
  <c r="BH99" i="2"/>
  <c r="BU99" i="2" s="1"/>
  <c r="BH21" i="2"/>
  <c r="BU21" i="2" s="1"/>
  <c r="BH58" i="2"/>
  <c r="BU58" i="2" s="1"/>
  <c r="BH102" i="2"/>
  <c r="BU102" i="2" s="1"/>
  <c r="BV29" i="2"/>
  <c r="BH80" i="2"/>
  <c r="BU80" i="2" s="1"/>
  <c r="BM124" i="2"/>
  <c r="BZ124" i="2" s="1"/>
  <c r="BH25" i="2"/>
  <c r="BU25" i="2" s="1"/>
  <c r="BM84" i="2"/>
  <c r="BZ84" i="2" s="1"/>
  <c r="BM42" i="2"/>
  <c r="BZ42" i="2" s="1"/>
  <c r="BM48" i="2"/>
  <c r="BZ48" i="2" s="1"/>
  <c r="BH111" i="2"/>
  <c r="BU111" i="2" s="1"/>
  <c r="BH106" i="2"/>
  <c r="BU106" i="2" s="1"/>
  <c r="BH20" i="2"/>
  <c r="BU20" i="2" s="1"/>
  <c r="BM6" i="2"/>
  <c r="BZ6" i="2" s="1"/>
  <c r="BH87" i="2"/>
  <c r="BU87" i="2" s="1"/>
  <c r="BH51" i="2"/>
  <c r="BU51" i="2" s="1"/>
  <c r="BH44" i="2"/>
  <c r="BU44" i="2" s="1"/>
  <c r="BM19" i="2"/>
  <c r="BZ19" i="2" s="1"/>
  <c r="BM55" i="2"/>
  <c r="BZ55" i="2" s="1"/>
  <c r="BH46" i="2"/>
  <c r="BU46" i="2" s="1"/>
  <c r="BV5" i="2"/>
  <c r="BH60" i="2"/>
  <c r="BU60" i="2" s="1"/>
  <c r="BM119" i="2"/>
  <c r="BZ119" i="2" s="1"/>
  <c r="BV71" i="2"/>
  <c r="BM12" i="2"/>
  <c r="BZ12" i="2" s="1"/>
  <c r="BH120" i="2"/>
  <c r="BU120" i="2" s="1"/>
  <c r="BH56" i="2"/>
  <c r="BU56" i="2" s="1"/>
  <c r="BM66" i="2"/>
  <c r="BZ66" i="2" s="1"/>
  <c r="BM90" i="2"/>
  <c r="BZ90" i="2" s="1"/>
  <c r="BH83" i="2"/>
  <c r="BU83" i="2" s="1"/>
  <c r="BH121" i="2"/>
  <c r="BU121" i="2" s="1"/>
  <c r="BH107" i="2"/>
  <c r="BU107" i="2" s="1"/>
  <c r="BM86" i="2"/>
  <c r="BZ86" i="2" s="1"/>
  <c r="BM38" i="2"/>
  <c r="BZ38" i="2" s="1"/>
  <c r="BM89" i="2"/>
  <c r="BZ89" i="2" s="1"/>
  <c r="BH118" i="2"/>
  <c r="BU118" i="2" s="1"/>
  <c r="BH70" i="2"/>
  <c r="BU70" i="2" s="1"/>
  <c r="BH78" i="2"/>
  <c r="BU78" i="2" s="1"/>
  <c r="BH61" i="2"/>
  <c r="BU61" i="2" s="1"/>
  <c r="BH65" i="2"/>
  <c r="BU65" i="2" s="1"/>
  <c r="BM28" i="2"/>
  <c r="BZ28" i="2" s="1"/>
  <c r="BH59" i="2"/>
  <c r="BU59" i="2" s="1"/>
  <c r="BH64" i="2"/>
  <c r="BU64" i="2" s="1"/>
  <c r="BM73" i="2"/>
  <c r="BZ73" i="2" s="1"/>
  <c r="BH109" i="2"/>
  <c r="BU109" i="2" s="1"/>
  <c r="BM122" i="2"/>
  <c r="BZ122" i="2" s="1"/>
  <c r="BH9" i="2"/>
  <c r="BU9" i="2" s="1"/>
  <c r="BH88" i="2"/>
  <c r="BU88" i="2" s="1"/>
  <c r="BH43" i="2"/>
  <c r="BU43" i="2" s="1"/>
  <c r="BH108" i="2"/>
  <c r="BU108" i="2" s="1"/>
  <c r="BM77" i="2"/>
  <c r="BZ77" i="2" s="1"/>
  <c r="BH32" i="2"/>
  <c r="BU32" i="2" s="1"/>
  <c r="BH62" i="2"/>
  <c r="BU62" i="2" s="1"/>
  <c r="BH30" i="2"/>
  <c r="BU30" i="2" s="1"/>
  <c r="BH18" i="2"/>
  <c r="BU18" i="2" s="1"/>
  <c r="BH26" i="2"/>
  <c r="BU26" i="2" s="1"/>
  <c r="BM50" i="2"/>
  <c r="BZ50" i="2" s="1"/>
  <c r="BH22" i="2"/>
  <c r="BU22" i="2" s="1"/>
  <c r="BH68" i="2"/>
  <c r="BU68" i="2" s="1"/>
  <c r="BH92" i="2"/>
  <c r="BU92" i="2" s="1"/>
  <c r="BH10" i="2"/>
  <c r="BU10" i="2" s="1"/>
  <c r="BH8" i="2"/>
  <c r="BU8" i="2" s="1"/>
  <c r="BH45" i="2"/>
  <c r="BU45" i="2" s="1"/>
  <c r="BV85" i="2"/>
  <c r="BH17" i="2"/>
  <c r="BU17" i="2" s="1"/>
  <c r="BH34" i="2"/>
  <c r="BU34" i="2" s="1"/>
  <c r="BM93" i="2"/>
  <c r="BZ93" i="2" s="1"/>
  <c r="BH57" i="2"/>
  <c r="BU57" i="2" s="1"/>
  <c r="BH13" i="2"/>
  <c r="BU13" i="2" s="1"/>
  <c r="BH63" i="2"/>
  <c r="BU63" i="2" s="1"/>
  <c r="BM54" i="2"/>
  <c r="BZ54" i="2" s="1"/>
  <c r="BH24" i="2"/>
  <c r="BU24" i="2" s="1"/>
  <c r="BH4" i="2"/>
  <c r="BU4" i="2" s="1"/>
  <c r="BH104" i="2"/>
  <c r="BU104" i="2" s="1"/>
  <c r="BM114" i="2"/>
  <c r="BZ114" i="2" s="1"/>
  <c r="BH67" i="2"/>
  <c r="BU67" i="2" s="1"/>
  <c r="BH97" i="2"/>
  <c r="BU97" i="2" s="1"/>
  <c r="BM72" i="2"/>
  <c r="BZ72" i="2" s="1"/>
  <c r="BH96" i="2"/>
  <c r="BU96" i="2" s="1"/>
  <c r="BM47" i="2"/>
  <c r="BZ47" i="2" s="1"/>
  <c r="BH75" i="2"/>
  <c r="BU75" i="2" s="1"/>
  <c r="BH79" i="2"/>
  <c r="BU79" i="2" s="1"/>
  <c r="BM91" i="2"/>
  <c r="BZ91" i="2" s="1"/>
  <c r="BM76" i="2"/>
  <c r="BZ76" i="2" s="1"/>
  <c r="BM15" i="2"/>
  <c r="BZ15" i="2" s="1"/>
  <c r="BH3" i="2"/>
  <c r="BU3" i="2" s="1"/>
  <c r="BH110" i="2"/>
  <c r="BU110" i="2" s="1"/>
  <c r="BH7" i="2"/>
  <c r="BU7" i="2" s="1"/>
  <c r="BM94" i="2"/>
  <c r="BZ94" i="2" s="1"/>
  <c r="BH11" i="2"/>
  <c r="BU11" i="2" s="1"/>
  <c r="BH27" i="2"/>
  <c r="BU27" i="2" s="1"/>
  <c r="BH69" i="2"/>
  <c r="BU69" i="2" s="1"/>
  <c r="BM123" i="2"/>
  <c r="BZ123" i="2" s="1"/>
  <c r="BM16" i="2"/>
  <c r="BZ16" i="2" s="1"/>
  <c r="BM115" i="2"/>
  <c r="BZ115" i="2" s="1"/>
  <c r="BM74" i="2"/>
  <c r="BZ74" i="2" s="1"/>
  <c r="BH35" i="2"/>
  <c r="BU35" i="2" s="1"/>
  <c r="BM103" i="2"/>
  <c r="BZ103" i="2" s="1"/>
  <c r="BV82" i="2" l="1"/>
  <c r="BM53" i="2"/>
  <c r="BZ53" i="2" s="1"/>
  <c r="BU53" i="2"/>
  <c r="BM113" i="2"/>
  <c r="BZ113" i="2" s="1"/>
  <c r="BU113" i="2"/>
  <c r="BV36" i="2"/>
  <c r="BZ36" i="2"/>
  <c r="BM100" i="2"/>
  <c r="BZ100" i="2" s="1"/>
  <c r="BU100" i="2"/>
  <c r="BV105" i="2"/>
  <c r="BM101" i="2"/>
  <c r="BH23" i="2"/>
  <c r="BU23" i="2" s="1"/>
  <c r="BM41" i="2"/>
  <c r="BZ41" i="2" s="1"/>
  <c r="BM112" i="2"/>
  <c r="BZ112" i="2" s="1"/>
  <c r="BM58" i="2"/>
  <c r="BZ58" i="2" s="1"/>
  <c r="BM99" i="2"/>
  <c r="BZ99" i="2" s="1"/>
  <c r="BV39" i="2"/>
  <c r="BM21" i="2"/>
  <c r="BZ21" i="2" s="1"/>
  <c r="BM102" i="2"/>
  <c r="BZ102" i="2" s="1"/>
  <c r="BM49" i="2"/>
  <c r="BZ49" i="2" s="1"/>
  <c r="BM31" i="2"/>
  <c r="BZ31" i="2" s="1"/>
  <c r="BM59" i="2"/>
  <c r="BZ59" i="2" s="1"/>
  <c r="BM44" i="2"/>
  <c r="BZ44" i="2" s="1"/>
  <c r="BM10" i="2"/>
  <c r="BZ10" i="2" s="1"/>
  <c r="BM121" i="2"/>
  <c r="BZ121" i="2" s="1"/>
  <c r="BM87" i="2"/>
  <c r="BZ87" i="2" s="1"/>
  <c r="BM92" i="2"/>
  <c r="BZ92" i="2" s="1"/>
  <c r="BV94" i="2"/>
  <c r="BM80" i="2"/>
  <c r="BZ80" i="2" s="1"/>
  <c r="BM22" i="2"/>
  <c r="BZ22" i="2" s="1"/>
  <c r="BM106" i="2"/>
  <c r="BZ106" i="2" s="1"/>
  <c r="BM3" i="2"/>
  <c r="BZ3" i="2" s="1"/>
  <c r="BV28" i="2"/>
  <c r="BM111" i="2"/>
  <c r="BZ111" i="2" s="1"/>
  <c r="BM11" i="2"/>
  <c r="BZ11" i="2" s="1"/>
  <c r="BV124" i="2"/>
  <c r="BV93" i="2"/>
  <c r="CF98" i="2"/>
  <c r="BV76" i="2"/>
  <c r="BV90" i="2"/>
  <c r="BM63" i="2"/>
  <c r="BZ63" i="2" s="1"/>
  <c r="BM17" i="2"/>
  <c r="BZ17" i="2" s="1"/>
  <c r="BM43" i="2"/>
  <c r="BZ43" i="2" s="1"/>
  <c r="BM61" i="2"/>
  <c r="BZ61" i="2" s="1"/>
  <c r="BV89" i="2"/>
  <c r="BM60" i="2"/>
  <c r="BZ60" i="2" s="1"/>
  <c r="CA5" i="2"/>
  <c r="BM32" i="2"/>
  <c r="BZ32" i="2" s="1"/>
  <c r="BM26" i="2"/>
  <c r="BZ26" i="2" s="1"/>
  <c r="BV54" i="2"/>
  <c r="BV6" i="2"/>
  <c r="BM14" i="2"/>
  <c r="BZ14" i="2" s="1"/>
  <c r="BM68" i="2"/>
  <c r="BZ68" i="2" s="1"/>
  <c r="BM18" i="2"/>
  <c r="BZ18" i="2" s="1"/>
  <c r="BM88" i="2"/>
  <c r="BZ88" i="2" s="1"/>
  <c r="BV73" i="2"/>
  <c r="BV66" i="2"/>
  <c r="BV55" i="2"/>
  <c r="BM110" i="2"/>
  <c r="BZ110" i="2" s="1"/>
  <c r="BV77" i="2"/>
  <c r="BM51" i="2"/>
  <c r="BZ51" i="2" s="1"/>
  <c r="BV122" i="2"/>
  <c r="BM83" i="2"/>
  <c r="BZ83" i="2" s="1"/>
  <c r="BV115" i="2"/>
  <c r="CA71" i="2"/>
  <c r="BM13" i="2"/>
  <c r="BZ13" i="2" s="1"/>
  <c r="BM78" i="2"/>
  <c r="BZ78" i="2" s="1"/>
  <c r="BM20" i="2"/>
  <c r="BZ20" i="2" s="1"/>
  <c r="BM27" i="2"/>
  <c r="BZ27" i="2" s="1"/>
  <c r="BV50" i="2"/>
  <c r="BM35" i="2"/>
  <c r="BZ35" i="2" s="1"/>
  <c r="BM62" i="2"/>
  <c r="BZ62" i="2" s="1"/>
  <c r="BM120" i="2"/>
  <c r="BZ120" i="2" s="1"/>
  <c r="BV74" i="2"/>
  <c r="BV12" i="2"/>
  <c r="BM104" i="2"/>
  <c r="BZ104" i="2" s="1"/>
  <c r="CA82" i="2"/>
  <c r="BM46" i="2"/>
  <c r="BZ46" i="2" s="1"/>
  <c r="BM7" i="2"/>
  <c r="BZ7" i="2" s="1"/>
  <c r="BM9" i="2"/>
  <c r="BZ9" i="2" s="1"/>
  <c r="BV119" i="2"/>
  <c r="BV19" i="2"/>
  <c r="BV84" i="2"/>
  <c r="BM97" i="2"/>
  <c r="BZ97" i="2" s="1"/>
  <c r="BM107" i="2"/>
  <c r="BZ107" i="2" s="1"/>
  <c r="BV47" i="2"/>
  <c r="BM25" i="2"/>
  <c r="BZ25" i="2" s="1"/>
  <c r="BM67" i="2"/>
  <c r="BZ67" i="2" s="1"/>
  <c r="BM8" i="2"/>
  <c r="BZ8" i="2" s="1"/>
  <c r="BM118" i="2"/>
  <c r="BZ118" i="2" s="1"/>
  <c r="BM24" i="2"/>
  <c r="BZ24" i="2" s="1"/>
  <c r="BV15" i="2"/>
  <c r="BV114" i="2"/>
  <c r="BM108" i="2"/>
  <c r="BZ108" i="2" s="1"/>
  <c r="BM65" i="2"/>
  <c r="BZ65" i="2" s="1"/>
  <c r="BM96" i="2"/>
  <c r="BZ96" i="2" s="1"/>
  <c r="BM34" i="2"/>
  <c r="BZ34" i="2" s="1"/>
  <c r="BV48" i="2"/>
  <c r="BM109" i="2"/>
  <c r="BZ109" i="2" s="1"/>
  <c r="BV42" i="2"/>
  <c r="BV16" i="2"/>
  <c r="BV91" i="2"/>
  <c r="BV123" i="2"/>
  <c r="BM4" i="2"/>
  <c r="BZ4" i="2" s="1"/>
  <c r="CA85" i="2"/>
  <c r="BM30" i="2"/>
  <c r="BZ30" i="2" s="1"/>
  <c r="BM37" i="2"/>
  <c r="BZ37" i="2" s="1"/>
  <c r="BV38" i="2"/>
  <c r="BV103" i="2"/>
  <c r="BM79" i="2"/>
  <c r="BZ79" i="2" s="1"/>
  <c r="BV72" i="2"/>
  <c r="BM69" i="2"/>
  <c r="BZ69" i="2" s="1"/>
  <c r="BM75" i="2"/>
  <c r="BZ75" i="2" s="1"/>
  <c r="BM40" i="2"/>
  <c r="BZ40" i="2" s="1"/>
  <c r="BM57" i="2"/>
  <c r="BZ57" i="2" s="1"/>
  <c r="BM45" i="2"/>
  <c r="BZ45" i="2" s="1"/>
  <c r="BM64" i="2"/>
  <c r="BZ64" i="2" s="1"/>
  <c r="BM70" i="2"/>
  <c r="BZ70" i="2" s="1"/>
  <c r="BV86" i="2"/>
  <c r="BM56" i="2"/>
  <c r="BZ56" i="2" s="1"/>
  <c r="CA29" i="2"/>
  <c r="BV113" i="2" l="1"/>
  <c r="CA113" i="2" s="1"/>
  <c r="CF113" i="2" s="1"/>
  <c r="BV53" i="2"/>
  <c r="CA53" i="2" s="1"/>
  <c r="BU125" i="2"/>
  <c r="BV101" i="2"/>
  <c r="BZ101" i="2"/>
  <c r="CA36" i="2"/>
  <c r="CF36" i="2" s="1"/>
  <c r="BV100" i="2"/>
  <c r="CA100" i="2" s="1"/>
  <c r="CF100" i="2" s="1"/>
  <c r="CA105" i="2"/>
  <c r="BM23" i="2"/>
  <c r="BZ23" i="2" s="1"/>
  <c r="BV112" i="2"/>
  <c r="BV41" i="2"/>
  <c r="BV102" i="2"/>
  <c r="BV21" i="2"/>
  <c r="CA39" i="2"/>
  <c r="BV31" i="2"/>
  <c r="BV99" i="2"/>
  <c r="BV49" i="2"/>
  <c r="BV58" i="2"/>
  <c r="BV40" i="2"/>
  <c r="BV24" i="2"/>
  <c r="CA19" i="2"/>
  <c r="CA77" i="2"/>
  <c r="BV14" i="2"/>
  <c r="CA103" i="2"/>
  <c r="CA66" i="2"/>
  <c r="CA91" i="2"/>
  <c r="CA119" i="2"/>
  <c r="CA73" i="2"/>
  <c r="BV118" i="2"/>
  <c r="BV107" i="2"/>
  <c r="BV65" i="2"/>
  <c r="BV57" i="2"/>
  <c r="BV4" i="2"/>
  <c r="CA48" i="2"/>
  <c r="BV62" i="2"/>
  <c r="BV78" i="2"/>
  <c r="BV51" i="2"/>
  <c r="BV43" i="2"/>
  <c r="BV87" i="2"/>
  <c r="CA47" i="2"/>
  <c r="BV34" i="2"/>
  <c r="BV96" i="2"/>
  <c r="CA6" i="2"/>
  <c r="BV22" i="2"/>
  <c r="CA38" i="2"/>
  <c r="BV121" i="2"/>
  <c r="BV37" i="2"/>
  <c r="CA12" i="2"/>
  <c r="BV88" i="2"/>
  <c r="CA54" i="2"/>
  <c r="BV10" i="2"/>
  <c r="CA42" i="2"/>
  <c r="BV108" i="2"/>
  <c r="BV67" i="2"/>
  <c r="BV97" i="2"/>
  <c r="BV83" i="2"/>
  <c r="BV18" i="2"/>
  <c r="CA90" i="2"/>
  <c r="CA123" i="2"/>
  <c r="BV75" i="2"/>
  <c r="CF71" i="2"/>
  <c r="CA28" i="2"/>
  <c r="BV9" i="2"/>
  <c r="BV64" i="2"/>
  <c r="BV80" i="2"/>
  <c r="BV30" i="2"/>
  <c r="CA74" i="2"/>
  <c r="BV27" i="2"/>
  <c r="CA89" i="2"/>
  <c r="BV3" i="2"/>
  <c r="CA94" i="2"/>
  <c r="BV44" i="2"/>
  <c r="BV13" i="2"/>
  <c r="CF5" i="2"/>
  <c r="BV17" i="2"/>
  <c r="BV70" i="2"/>
  <c r="BV69" i="2"/>
  <c r="CA115" i="2"/>
  <c r="CF29" i="2"/>
  <c r="CF85" i="2"/>
  <c r="BV109" i="2"/>
  <c r="CA114" i="2"/>
  <c r="CA84" i="2"/>
  <c r="BV7" i="2"/>
  <c r="BV20" i="2"/>
  <c r="CA122" i="2"/>
  <c r="CA55" i="2"/>
  <c r="BV26" i="2"/>
  <c r="CA76" i="2"/>
  <c r="CA124" i="2"/>
  <c r="CA86" i="2"/>
  <c r="BV35" i="2"/>
  <c r="BV111" i="2"/>
  <c r="BV104" i="2"/>
  <c r="BV8" i="2"/>
  <c r="BV63" i="2"/>
  <c r="CA93" i="2"/>
  <c r="BV45" i="2"/>
  <c r="CA72" i="2"/>
  <c r="BV25" i="2"/>
  <c r="BV120" i="2"/>
  <c r="BV68" i="2"/>
  <c r="BV61" i="2"/>
  <c r="BV106" i="2"/>
  <c r="BV92" i="2"/>
  <c r="BV59" i="2"/>
  <c r="CF82" i="2"/>
  <c r="BV110" i="2"/>
  <c r="BV60" i="2"/>
  <c r="CA16" i="2"/>
  <c r="CA50" i="2"/>
  <c r="BV56" i="2"/>
  <c r="BV79" i="2"/>
  <c r="CA15" i="2"/>
  <c r="BV46" i="2"/>
  <c r="BV32" i="2"/>
  <c r="BV11" i="2"/>
  <c r="BZ125" i="2" l="1"/>
  <c r="CA101" i="2"/>
  <c r="CF101" i="2" s="1"/>
  <c r="CF105" i="2"/>
  <c r="BV23" i="2"/>
  <c r="CA41" i="2"/>
  <c r="CA112" i="2"/>
  <c r="CA99" i="2"/>
  <c r="CF39" i="2"/>
  <c r="CA58" i="2"/>
  <c r="CF53" i="2"/>
  <c r="CA49" i="2"/>
  <c r="CA102" i="2"/>
  <c r="CA31" i="2"/>
  <c r="CA21" i="2"/>
  <c r="CA45" i="2"/>
  <c r="CA35" i="2"/>
  <c r="CA83" i="2"/>
  <c r="CA60" i="2"/>
  <c r="CF93" i="2"/>
  <c r="CF77" i="2"/>
  <c r="CF86" i="2"/>
  <c r="CA62" i="2"/>
  <c r="CA25" i="2"/>
  <c r="CA26" i="2"/>
  <c r="CA70" i="2"/>
  <c r="CA3" i="2"/>
  <c r="CA80" i="2"/>
  <c r="CA75" i="2"/>
  <c r="CA18" i="2"/>
  <c r="CF42" i="2"/>
  <c r="CF6" i="2"/>
  <c r="CA118" i="2"/>
  <c r="CF103" i="2"/>
  <c r="CF50" i="2"/>
  <c r="CA111" i="2"/>
  <c r="CF55" i="2"/>
  <c r="CA14" i="2"/>
  <c r="CA109" i="2"/>
  <c r="CF122" i="2"/>
  <c r="CF123" i="2"/>
  <c r="CF73" i="2"/>
  <c r="CA9" i="2"/>
  <c r="CA97" i="2"/>
  <c r="CA10" i="2"/>
  <c r="CF19" i="2"/>
  <c r="CA13" i="2"/>
  <c r="CF74" i="2"/>
  <c r="CF119" i="2"/>
  <c r="CF72" i="2"/>
  <c r="CA64" i="2"/>
  <c r="CA51" i="2"/>
  <c r="CA37" i="2"/>
  <c r="CA106" i="2"/>
  <c r="CA65" i="2"/>
  <c r="CA27" i="2"/>
  <c r="CA20" i="2"/>
  <c r="CA11" i="2"/>
  <c r="CF15" i="2"/>
  <c r="CA110" i="2"/>
  <c r="CA68" i="2"/>
  <c r="CA63" i="2"/>
  <c r="CA7" i="2"/>
  <c r="CA44" i="2"/>
  <c r="CF90" i="2"/>
  <c r="CA67" i="2"/>
  <c r="CF38" i="2"/>
  <c r="CA87" i="2"/>
  <c r="CF91" i="2"/>
  <c r="CA43" i="2"/>
  <c r="CF89" i="2"/>
  <c r="CF16" i="2"/>
  <c r="CA78" i="2"/>
  <c r="CA32" i="2"/>
  <c r="CA120" i="2"/>
  <c r="CA8" i="2"/>
  <c r="CF124" i="2"/>
  <c r="CF115" i="2"/>
  <c r="CF28" i="2"/>
  <c r="CF54" i="2"/>
  <c r="CF48" i="2"/>
  <c r="CA24" i="2"/>
  <c r="CA92" i="2"/>
  <c r="CF12" i="2"/>
  <c r="CA121" i="2"/>
  <c r="CA34" i="2"/>
  <c r="CA79" i="2"/>
  <c r="CF94" i="2"/>
  <c r="CA30" i="2"/>
  <c r="CA22" i="2"/>
  <c r="CA107" i="2"/>
  <c r="CF66" i="2"/>
  <c r="CA40" i="2"/>
  <c r="CF114" i="2"/>
  <c r="CA57" i="2"/>
  <c r="CA17" i="2"/>
  <c r="CA96" i="2"/>
  <c r="CA46" i="2"/>
  <c r="CA61" i="2"/>
  <c r="CF47" i="2"/>
  <c r="CA56" i="2"/>
  <c r="CA59" i="2"/>
  <c r="CA104" i="2"/>
  <c r="CF76" i="2"/>
  <c r="CF84" i="2"/>
  <c r="CA69" i="2"/>
  <c r="CA108" i="2"/>
  <c r="CA88" i="2"/>
  <c r="CA4" i="2"/>
  <c r="CA23" i="2" l="1"/>
  <c r="CF112" i="2"/>
  <c r="CF41" i="2"/>
  <c r="CF49" i="2"/>
  <c r="CF58" i="2"/>
  <c r="CF102" i="2"/>
  <c r="CF31" i="2"/>
  <c r="CF21" i="2"/>
  <c r="CF99" i="2"/>
  <c r="CF110" i="2"/>
  <c r="CF60" i="2"/>
  <c r="CF46" i="2"/>
  <c r="CF120" i="2"/>
  <c r="CF62" i="2"/>
  <c r="CF80" i="2"/>
  <c r="CF61" i="2"/>
  <c r="CF92" i="2"/>
  <c r="CF68" i="2"/>
  <c r="CF40" i="2"/>
  <c r="CF106" i="2"/>
  <c r="CF8" i="2"/>
  <c r="CF25" i="2"/>
  <c r="CF4" i="2"/>
  <c r="CF37" i="2"/>
  <c r="CF83" i="2"/>
  <c r="CF88" i="2"/>
  <c r="CF96" i="2"/>
  <c r="CF34" i="2"/>
  <c r="CF44" i="2"/>
  <c r="CF11" i="2"/>
  <c r="CF51" i="2"/>
  <c r="CF107" i="2"/>
  <c r="CF32" i="2"/>
  <c r="CF35" i="2"/>
  <c r="CF108" i="2"/>
  <c r="CF56" i="2"/>
  <c r="CF17" i="2"/>
  <c r="CF7" i="2"/>
  <c r="CF20" i="2"/>
  <c r="CF109" i="2"/>
  <c r="CF118" i="2"/>
  <c r="CF3" i="2"/>
  <c r="CF45" i="2"/>
  <c r="CF104" i="2"/>
  <c r="CF13" i="2"/>
  <c r="CF79" i="2"/>
  <c r="CF59" i="2"/>
  <c r="CF22" i="2"/>
  <c r="CF121" i="2"/>
  <c r="CF78" i="2"/>
  <c r="CF64" i="2"/>
  <c r="CF10" i="2"/>
  <c r="CF75" i="2"/>
  <c r="CF69" i="2"/>
  <c r="CF57" i="2"/>
  <c r="CF63" i="2"/>
  <c r="CF70" i="2"/>
  <c r="CF24" i="2"/>
  <c r="CF111" i="2"/>
  <c r="CF87" i="2"/>
  <c r="CF27" i="2"/>
  <c r="CF97" i="2"/>
  <c r="CF14" i="2"/>
  <c r="CF18" i="2"/>
  <c r="CF67" i="2"/>
  <c r="CF43" i="2"/>
  <c r="CF30" i="2"/>
  <c r="CF65" i="2"/>
  <c r="CF9" i="2"/>
  <c r="CF26" i="2"/>
  <c r="CF23" i="2" l="1"/>
  <c r="BE125" i="2"/>
  <c r="CF125" i="2"/>
  <c r="AV125" i="2"/>
  <c r="BO125" i="2"/>
  <c r="BX125" i="2"/>
  <c r="BJ125" i="2"/>
  <c r="CI125" i="2"/>
  <c r="CC125" i="2"/>
  <c r="CG1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</authors>
  <commentList>
    <comment ref="E2" authorId="0" shapeId="0" xr:uid="{F56767B3-B5F9-454E-BA95-A841D5FED95F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CEO = CEO
MFM = Maternal Fetal Medicine (Includes Admin)
OWA = Owner APC
OWM = Owner MD
PTT = Part Time Temp (Only Koh Stewart)
SAM = SM Associate MD
SMA = SM APC</t>
        </r>
      </text>
    </comment>
    <comment ref="G2" authorId="0" shapeId="0" xr:uid="{61BF83A9-B4A5-4EF9-BBC9-860509DA0FB5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Update any FTE Changes
</t>
        </r>
      </text>
    </comment>
    <comment ref="H2" authorId="0" shapeId="0" xr:uid="{E4C3EDCE-7580-4CAF-B1E4-D2239F5D68F2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Blue 0's are owners frontloaded at the start of the year</t>
        </r>
      </text>
    </comment>
    <comment ref="H54" authorId="0" shapeId="0" xr:uid="{AB61DA8A-E4B8-4F4A-A9EA-D1D8A48021C0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OSL
</t>
        </r>
      </text>
    </comment>
    <comment ref="H62" authorId="0" shapeId="0" xr:uid="{8130F46E-333B-45C9-BEC2-968AAAD1447C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OSL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13DCB342-8DF9-440F-9003-88F829AE4D30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F366682C-C149-4983-B752-9C5FD6EC52B5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0CFE799D-5573-4E1B-B520-65BF4C218D29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AF000647-2C48-4785-BC4C-E8F470EF26A3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6559928A-E36F-4C58-B5A8-FB204D7877C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F317A632-B775-4D4F-890B-9D772F8EA6D2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14C3F184-4080-4479-BD41-69CF1E2CDFC2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34D1AA87-EB9D-4DCF-B34B-078194DDC85C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6C69AE9B-027E-4E66-89A5-82087E86CDEF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E632FE66-1FAC-4BD1-8730-11E49ADF8335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967FC16F-2ACC-4F18-9641-0272B76D9F43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C8D93E64-7D03-4E8F-AA1C-6EDA55ED6F68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86D0122C-7CDC-4312-AE51-20C443EBC335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8264E4D5-16B7-48AE-A2F8-06DE2FBA843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3AC5E9D0-4F87-408A-867B-1156B7953417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59C0B5F3-7032-41D2-BC1F-1A72233F56EF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FD3512D9-8866-4B23-B339-4441007E2243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E943120D-DA6C-4E37-B453-86A28D3F9798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FFE79BBC-6C95-4CA6-8C02-0C7EB2830ED7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6B2DC22E-3F80-4660-89DB-8456DDBA10C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D25AEEBB-4F89-4965-82BD-BA43759C003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4F8BF62F-2307-4498-B851-F69B2B354642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D9F96766-A567-4C68-A32A-2E6AADC52D96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2B1B093F-1898-4CE9-8347-D34CF006136F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6277E965-B217-4EA6-8A54-C8CD9D8D8AC5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99BA39AD-26AB-4813-A8B7-62557A58314B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29B4AD6F-FE2A-4E7C-88FD-764E82EB5D58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C90FF19E-7838-46BA-A641-D83174E84F7D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26F2667D-C4E8-4315-BF2C-CA000C9DC178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9EADFD63-18FC-4200-B960-EEEA183E7972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DE42B91D-9E23-4E05-BD25-8FE3CE294C3B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2FED99E1-0FFF-4AD8-8823-4ADEB6ABB5DE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Rogers</author>
  </authors>
  <commentList>
    <comment ref="A13" authorId="0" shapeId="0" xr:uid="{377A5311-043F-4DB9-BF4A-D8F052535012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7847A3AD-F9A9-4A54-A390-F94DD25B3B5B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A48" authorId="1" shapeId="0" xr:uid="{3B302CD0-9EE2-4E88-8D46-E8D2152E577C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AF220F3E-4E16-4396-BC53-967D563FD2CD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Duffield</author>
    <author>Alisha Rogers</author>
  </authors>
  <commentList>
    <comment ref="A13" authorId="0" shapeId="0" xr:uid="{B7337699-CC98-4303-BCAD-8E2E94BB420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363E3F50-3F17-435C-B65C-CF85B0F1C3FD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L47" authorId="1" shapeId="0" xr:uid="{9A1E9F72-E8CC-497C-83D1-DA2DA1B9D862}">
      <text>
        <r>
          <rPr>
            <sz val="11"/>
            <color theme="1"/>
            <rFont val="Calibri"/>
            <family val="2"/>
            <scheme val="minor"/>
          </rPr>
          <t xml:space="preserve">Alisha Duffield:
24hrs PLO
</t>
        </r>
      </text>
    </comment>
    <comment ref="W47" authorId="1" shapeId="0" xr:uid="{BD089380-72F1-4350-B2EF-2BB186F31D8F}">
      <text>
        <r>
          <rPr>
            <sz val="11"/>
            <color theme="1"/>
            <rFont val="Calibri"/>
            <family val="2"/>
            <scheme val="minor"/>
          </rPr>
          <t>Alisha Duffield:
24hrs PLO</t>
        </r>
      </text>
    </comment>
    <comment ref="AC47" authorId="1" shapeId="0" xr:uid="{DC2123ED-63F2-4A36-B631-3EA78E4E0460}">
      <text>
        <r>
          <rPr>
            <sz val="11"/>
            <color theme="1"/>
            <rFont val="Calibri"/>
            <family val="2"/>
            <scheme val="minor"/>
          </rPr>
          <t xml:space="preserve">Alisha Duffield:
PLO 8
</t>
        </r>
      </text>
    </comment>
    <comment ref="A48" authorId="2" shapeId="0" xr:uid="{CBBA2BC1-CE10-44EA-A166-CA581F3D3A16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767C64AA-8F3C-4075-A180-87AAF152D52C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Liz Snyder</author>
    <author>Alisha Duffield</author>
    <author>Alisha Rogers</author>
  </authors>
  <commentList>
    <comment ref="A13" authorId="0" shapeId="0" xr:uid="{9A67E01E-C268-455D-8B02-FB7F730D212B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8D2A487F-8218-4648-9FC9-0F16763E354F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I34" authorId="1" shapeId="0" xr:uid="{AFDFD955-F64E-4CC8-9A2F-F4B9153ABB11}">
      <text>
        <r>
          <rPr>
            <sz val="11"/>
            <color theme="1"/>
            <rFont val="Calibri"/>
            <family val="2"/>
            <scheme val="minor"/>
          </rPr>
          <t>Liz Snyder:
deduction for clinic and call</t>
        </r>
      </text>
    </comment>
    <comment ref="T39" authorId="1" shapeId="0" xr:uid="{1196F018-78EA-4D48-9BA6-55C085D69A17}">
      <text>
        <r>
          <rPr>
            <sz val="11"/>
            <color theme="1"/>
            <rFont val="Calibri"/>
            <family val="2"/>
            <scheme val="minor"/>
          </rPr>
          <t xml:space="preserve">Liz Snyder:
deduction for clinic and call </t>
        </r>
      </text>
    </comment>
    <comment ref="N47" authorId="2" shapeId="0" xr:uid="{46FD4AAE-AAB5-4724-A078-50DEC7B20CF2}">
      <text>
        <r>
          <rPr>
            <sz val="11"/>
            <color theme="1"/>
            <rFont val="Calibri"/>
            <family val="2"/>
            <scheme val="minor"/>
          </rPr>
          <t xml:space="preserve">Alisha Duffield:
PLO 8
</t>
        </r>
      </text>
    </comment>
    <comment ref="V47" authorId="2" shapeId="0" xr:uid="{EF559186-B40C-4BE7-98D8-A7864EC1C23D}">
      <text>
        <r>
          <rPr>
            <sz val="11"/>
            <color theme="1"/>
            <rFont val="Calibri"/>
            <family val="2"/>
            <scheme val="minor"/>
          </rPr>
          <t>Alisha Duffield:
PLO 8</t>
        </r>
      </text>
    </comment>
    <comment ref="AE47" authorId="2" shapeId="0" xr:uid="{D9A6F544-1789-4A2A-B8F3-29E925A6E727}">
      <text>
        <r>
          <rPr>
            <sz val="11"/>
            <color theme="1"/>
            <rFont val="Calibri"/>
            <family val="2"/>
            <scheme val="minor"/>
          </rPr>
          <t>Alisha Duffield:
24hrs PLO</t>
        </r>
      </text>
    </comment>
    <comment ref="A48" authorId="3" shapeId="0" xr:uid="{056C1C04-8039-49B0-9024-C7517EE24F33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E5830A0E-83CD-470F-A9DF-5C91EA6D328A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Cindy Grant</author>
    <author>Alisha Duffield</author>
    <author>Alisha Rogers</author>
  </authors>
  <commentList>
    <comment ref="A13" authorId="0" shapeId="0" xr:uid="{F8C584D9-2C2C-4BDD-B408-C65CE1ED4024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Ok to go negative until the end of 2026 per Marni</t>
        </r>
      </text>
    </comment>
    <comment ref="E22" authorId="0" shapeId="0" xr:uid="{E7AEF7FA-CAF2-418A-8A2A-878792BBFF37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4 x 10 hr days
</t>
        </r>
      </text>
    </comment>
    <comment ref="S47" authorId="1" shapeId="0" xr:uid="{A1FA5E83-2E99-404D-8963-3B5FEB475114}">
      <text>
        <r>
          <rPr>
            <sz val="11"/>
            <color theme="1"/>
            <rFont val="Calibri"/>
            <family val="2"/>
            <scheme val="minor"/>
          </rPr>
          <t>Alisha Duffield:
24hr PLO</t>
        </r>
      </text>
    </comment>
    <comment ref="A48" authorId="2" shapeId="0" xr:uid="{8CC55169-65AF-488E-AB46-C0881F8C2040}">
      <text>
        <r>
          <rPr>
            <b/>
            <sz val="9"/>
            <color indexed="81"/>
            <rFont val="Tahoma"/>
            <family val="2"/>
          </rPr>
          <t>Alisha Rogers:</t>
        </r>
        <r>
          <rPr>
            <sz val="9"/>
            <color indexed="81"/>
            <rFont val="Tahoma"/>
            <family val="2"/>
          </rPr>
          <t xml:space="preserve">
takes 1hrs of PTO every clinic day to get off 1hr early</t>
        </r>
      </text>
    </comment>
    <comment ref="E68" authorId="0" shapeId="0" xr:uid="{9722E30A-A016-47A3-A0D5-78D9F2E4AA29}">
      <text>
        <r>
          <rPr>
            <b/>
            <sz val="9"/>
            <color indexed="81"/>
            <rFont val="Tahoma"/>
            <family val="2"/>
          </rPr>
          <t>Cindy Grant:</t>
        </r>
        <r>
          <rPr>
            <sz val="9"/>
            <color indexed="81"/>
            <rFont val="Tahoma"/>
            <family val="2"/>
          </rPr>
          <t xml:space="preserve">
Fri + Sat = 8 hours
Sun = 24 hours</t>
        </r>
      </text>
    </comment>
  </commentList>
</comments>
</file>

<file path=xl/sharedStrings.xml><?xml version="1.0" encoding="utf-8"?>
<sst xmlns="http://schemas.openxmlformats.org/spreadsheetml/2006/main" count="8021" uniqueCount="556">
  <si>
    <t>PAYROLL'S EDITS ONLY, Password: Payroll</t>
  </si>
  <si>
    <t>January</t>
  </si>
  <si>
    <t>February</t>
  </si>
  <si>
    <t>March</t>
  </si>
  <si>
    <t>Q1 EIB Balancing</t>
  </si>
  <si>
    <t>April</t>
  </si>
  <si>
    <t>May</t>
  </si>
  <si>
    <t>June</t>
  </si>
  <si>
    <t>Q2 EIB Balancing</t>
  </si>
  <si>
    <t>July</t>
  </si>
  <si>
    <t>August</t>
  </si>
  <si>
    <t>September</t>
  </si>
  <si>
    <t>Q3 EIB Balancing</t>
  </si>
  <si>
    <t>October</t>
  </si>
  <si>
    <t>November</t>
  </si>
  <si>
    <t>December</t>
  </si>
  <si>
    <t>Q4 EIB Balancing</t>
  </si>
  <si>
    <t>Name</t>
  </si>
  <si>
    <t>Type</t>
  </si>
  <si>
    <t>OW?</t>
  </si>
  <si>
    <t>PTO Plan Code</t>
  </si>
  <si>
    <t>Loc.</t>
  </si>
  <si>
    <t>FTE</t>
  </si>
  <si>
    <t>Monthly Accrual</t>
  </si>
  <si>
    <t>2026 EIB Carryover</t>
  </si>
  <si>
    <t>2027 EIB Frontload</t>
  </si>
  <si>
    <t>1/1/27 EIB Balance</t>
  </si>
  <si>
    <t xml:space="preserve">2026 PTO Carryover </t>
  </si>
  <si>
    <t>2027 PTO OW Frontload</t>
  </si>
  <si>
    <t>Accrued</t>
  </si>
  <si>
    <t>Used</t>
  </si>
  <si>
    <t>01/31/27 Spreadsheet Balance</t>
  </si>
  <si>
    <t>01/31/27 Paycom Balance</t>
  </si>
  <si>
    <t>Difference</t>
  </si>
  <si>
    <t>PTO Cash Out on 2/20 PR</t>
  </si>
  <si>
    <t>02/28/27 Spreadsheet Balance</t>
  </si>
  <si>
    <t>02/28/27 Paycom Balance</t>
  </si>
  <si>
    <t>03/31/27 Spreadsheet Balance</t>
  </si>
  <si>
    <t>03/31/27 Paycom Balance</t>
  </si>
  <si>
    <t>Spreadsheet Balance</t>
  </si>
  <si>
    <t>Paycom Balance</t>
  </si>
  <si>
    <t>04/30/27 Spreadsheet Balance</t>
  </si>
  <si>
    <t>04/30/27 Paycom Balance</t>
  </si>
  <si>
    <t>05/31/27 Spreadsheet Balance</t>
  </si>
  <si>
    <t>05/31/27 Paycom Balance</t>
  </si>
  <si>
    <t>06/30/27 Spreadsheet Balance</t>
  </si>
  <si>
    <t>06/30/27 Paycom Balance</t>
  </si>
  <si>
    <t>07/31/27 Spreadsheet Balance</t>
  </si>
  <si>
    <t>07/31/27 Paycom Balance</t>
  </si>
  <si>
    <t>08/31/27 Spreadsheet Balance</t>
  </si>
  <si>
    <t>08/31/27 Paycom Balance</t>
  </si>
  <si>
    <t>09/30/27 Spreadsheet Balance</t>
  </si>
  <si>
    <t>09/30/27 Paycom Balance</t>
  </si>
  <si>
    <t>10/31/27 Spreadsheet Balance</t>
  </si>
  <si>
    <t>10/31/27 Paycom Balance</t>
  </si>
  <si>
    <t>11/30/27 Spreadsheet Balance</t>
  </si>
  <si>
    <t>11/30/27 Paycom Balance</t>
  </si>
  <si>
    <t>12/31/27 Spreadsheet Balance</t>
  </si>
  <si>
    <t>01/01/28 Frontload</t>
  </si>
  <si>
    <t>12/31/27 Paycom Balance w/ Frontload</t>
  </si>
  <si>
    <t>01/01/28 EIB Frontload</t>
  </si>
  <si>
    <t>Paycom Balance w/ Frontload</t>
  </si>
  <si>
    <t>Allison, Gina</t>
  </si>
  <si>
    <t>A1U7</t>
  </si>
  <si>
    <t>MD</t>
  </si>
  <si>
    <t>Y</t>
  </si>
  <si>
    <t>OWM</t>
  </si>
  <si>
    <t>TN</t>
  </si>
  <si>
    <t>Andrews, Brooke</t>
  </si>
  <si>
    <t>A3N8</t>
  </si>
  <si>
    <t/>
  </si>
  <si>
    <t>SAM</t>
  </si>
  <si>
    <t>PKMD</t>
  </si>
  <si>
    <t>Atkinson, Paige</t>
  </si>
  <si>
    <t>A1VK</t>
  </si>
  <si>
    <t>APC</t>
  </si>
  <si>
    <t>SMA</t>
  </si>
  <si>
    <t>GW</t>
  </si>
  <si>
    <t>Austin, Allison</t>
  </si>
  <si>
    <t>A1VN</t>
  </si>
  <si>
    <t>BH</t>
  </si>
  <si>
    <t>Barske, Margaret</t>
  </si>
  <si>
    <t>A1WH</t>
  </si>
  <si>
    <t xml:space="preserve">NB </t>
  </si>
  <si>
    <t xml:space="preserve">Bayne, Lisa </t>
  </si>
  <si>
    <t>A3PK</t>
  </si>
  <si>
    <t>Bennett, Sylvana</t>
  </si>
  <si>
    <t>A1XP</t>
  </si>
  <si>
    <t>Bircher (Holttum), Jessica</t>
  </si>
  <si>
    <t>A2IN</t>
  </si>
  <si>
    <t>BR</t>
  </si>
  <si>
    <t>Bishop, Jennifer</t>
  </si>
  <si>
    <t>A1YF</t>
  </si>
  <si>
    <t>Boehm, Holly</t>
  </si>
  <si>
    <t>A1YX</t>
  </si>
  <si>
    <t>OWA</t>
  </si>
  <si>
    <t>OCmid</t>
  </si>
  <si>
    <t xml:space="preserve">Bondurant, Reid </t>
  </si>
  <si>
    <t>A1ZB</t>
  </si>
  <si>
    <t>PKmid</t>
  </si>
  <si>
    <t>Boyles, Sarah</t>
  </si>
  <si>
    <t>A3PJ</t>
  </si>
  <si>
    <t>Braun, Andrew</t>
  </si>
  <si>
    <t>A3NB</t>
  </si>
  <si>
    <t>Brennan, Thomas</t>
  </si>
  <si>
    <t>A209</t>
  </si>
  <si>
    <t>Bronson, Joline</t>
  </si>
  <si>
    <t>A20L</t>
  </si>
  <si>
    <t>OCMD</t>
  </si>
  <si>
    <t>Burgoine, Gary</t>
  </si>
  <si>
    <t>A21A</t>
  </si>
  <si>
    <t xml:space="preserve">Burke, Jamie  </t>
  </si>
  <si>
    <t>A21B</t>
  </si>
  <si>
    <t>Carlyle, Marni</t>
  </si>
  <si>
    <t>A22L</t>
  </si>
  <si>
    <t>MFM</t>
  </si>
  <si>
    <t>Chick, Rhonda</t>
  </si>
  <si>
    <t>A23E</t>
  </si>
  <si>
    <t>Cohen-MacGill, Misra</t>
  </si>
  <si>
    <t>A240</t>
  </si>
  <si>
    <t>Coiner, Bobbie</t>
  </si>
  <si>
    <t>A241</t>
  </si>
  <si>
    <t>Cook, Jonathan</t>
  </si>
  <si>
    <t>A24Q</t>
  </si>
  <si>
    <t>Craig, Haley</t>
  </si>
  <si>
    <t>A3ND</t>
  </si>
  <si>
    <t>Diepenhorst, Lisa</t>
  </si>
  <si>
    <t>A274</t>
  </si>
  <si>
    <t>DiPietro, Katie</t>
  </si>
  <si>
    <t>A277</t>
  </si>
  <si>
    <t>Elliottgreen, Kendra</t>
  </si>
  <si>
    <t>A28K</t>
  </si>
  <si>
    <t>Eppard, Greggory</t>
  </si>
  <si>
    <t>A28Z</t>
  </si>
  <si>
    <t>Farkouh, Lisa</t>
  </si>
  <si>
    <t>A29N</t>
  </si>
  <si>
    <t>NWP</t>
  </si>
  <si>
    <t xml:space="preserve">Fausel, Sarah  </t>
  </si>
  <si>
    <t>A29U</t>
  </si>
  <si>
    <t>Flores, Kendra</t>
  </si>
  <si>
    <t>A3PN</t>
  </si>
  <si>
    <t>Flowers, Miranda</t>
  </si>
  <si>
    <t>A3RX</t>
  </si>
  <si>
    <t>Fowler, Jessica</t>
  </si>
  <si>
    <t>A2AT</t>
  </si>
  <si>
    <t>Frank, Britney</t>
  </si>
  <si>
    <t>A2AZ</t>
  </si>
  <si>
    <t>Frederick (Miles), Carrie</t>
  </si>
  <si>
    <t>A2B1</t>
  </si>
  <si>
    <t>Gallagher, Mary</t>
  </si>
  <si>
    <t>A2BE</t>
  </si>
  <si>
    <t>Garvie-Loveland, Maryanne</t>
  </si>
  <si>
    <t>A2BQ</t>
  </si>
  <si>
    <t>Geller, Alina</t>
  </si>
  <si>
    <t>A2C3</t>
  </si>
  <si>
    <t>Geunes, Lindsey</t>
  </si>
  <si>
    <t>A2C9</t>
  </si>
  <si>
    <t>Giunio-Zorkin, Mackenzie</t>
  </si>
  <si>
    <t>A2CN</t>
  </si>
  <si>
    <t>Goranson, Lori</t>
  </si>
  <si>
    <t>A2D4</t>
  </si>
  <si>
    <t>Gorman, Margaret</t>
  </si>
  <si>
    <t>A2D7</t>
  </si>
  <si>
    <t>Hall, Wendy</t>
  </si>
  <si>
    <t>A2FO</t>
  </si>
  <si>
    <t>Hansen, Karen</t>
  </si>
  <si>
    <t>A2G1</t>
  </si>
  <si>
    <t>Heffron, Ari</t>
  </si>
  <si>
    <t>A2GV</t>
  </si>
  <si>
    <t>Hernandez Lomeli, Jessica</t>
  </si>
  <si>
    <t>A2HG</t>
  </si>
  <si>
    <t>Hester, Naomi</t>
  </si>
  <si>
    <t>A3OE</t>
  </si>
  <si>
    <t>Himel, Katie</t>
  </si>
  <si>
    <t>A2HV</t>
  </si>
  <si>
    <t>Huggins, Rebecca</t>
  </si>
  <si>
    <t>A2JE</t>
  </si>
  <si>
    <t>Hull, Megan</t>
  </si>
  <si>
    <t>A2JH</t>
  </si>
  <si>
    <t>Jackson, April</t>
  </si>
  <si>
    <t>A3RY</t>
  </si>
  <si>
    <t>Jeffery, Avery</t>
  </si>
  <si>
    <t>A3OV</t>
  </si>
  <si>
    <t>Johnson, Ben</t>
  </si>
  <si>
    <t>A2L1</t>
  </si>
  <si>
    <t>PTT</t>
  </si>
  <si>
    <t>Johnson, Jenna</t>
  </si>
  <si>
    <t>A3OQ</t>
  </si>
  <si>
    <t>Johnson, Lisa</t>
  </si>
  <si>
    <t>A2LA</t>
  </si>
  <si>
    <t>TA</t>
  </si>
  <si>
    <t>Kane, Mia</t>
  </si>
  <si>
    <t>A3QE</t>
  </si>
  <si>
    <t>Kateley Williams, Catherine</t>
  </si>
  <si>
    <t>A3QF</t>
  </si>
  <si>
    <t>Kean, Jaime</t>
  </si>
  <si>
    <t>A2MF</t>
  </si>
  <si>
    <t>Kelly, Jennifer</t>
  </si>
  <si>
    <t>A2MS</t>
  </si>
  <si>
    <t>Kerstetter, Jessica</t>
  </si>
  <si>
    <t>A2N4</t>
  </si>
  <si>
    <t>Koh Stewart, Marguerite</t>
  </si>
  <si>
    <t>A2O1</t>
  </si>
  <si>
    <t>Koltenuk, Erica</t>
  </si>
  <si>
    <t>A2O3</t>
  </si>
  <si>
    <t>Kondrat, Angela</t>
  </si>
  <si>
    <t>A2O4</t>
  </si>
  <si>
    <t>Koski Vogt, Mary</t>
  </si>
  <si>
    <t>A2O9</t>
  </si>
  <si>
    <t>Kratzer, Jennifer</t>
  </si>
  <si>
    <t>A3QG</t>
  </si>
  <si>
    <t>Labby, Elizabeth</t>
  </si>
  <si>
    <t>A2OV</t>
  </si>
  <si>
    <t>Lannon, Sophia</t>
  </si>
  <si>
    <t>A2P6</t>
  </si>
  <si>
    <t>Larson, Sydney</t>
  </si>
  <si>
    <t>A38T</t>
  </si>
  <si>
    <t>Lebenbaum, Allison</t>
  </si>
  <si>
    <t>A2PM</t>
  </si>
  <si>
    <t>Lee, Stephanie</t>
  </si>
  <si>
    <t>A2PQ</t>
  </si>
  <si>
    <t>Lewis, Megan</t>
  </si>
  <si>
    <t>A2Q4</t>
  </si>
  <si>
    <t>Lin, Jennifer</t>
  </si>
  <si>
    <t>A2QC</t>
  </si>
  <si>
    <t>Lindwall, Jody</t>
  </si>
  <si>
    <t>A2QF</t>
  </si>
  <si>
    <t>Lohr, Dafna</t>
  </si>
  <si>
    <t>A2QO</t>
  </si>
  <si>
    <t>Lomeli, Lynsey</t>
  </si>
  <si>
    <t>A3N7</t>
  </si>
  <si>
    <t xml:space="preserve">Ma, Shirley </t>
  </si>
  <si>
    <t>A2RL</t>
  </si>
  <si>
    <t>MacKenzie, Lauren</t>
  </si>
  <si>
    <t>A2RS</t>
  </si>
  <si>
    <t xml:space="preserve">Manewal, Monica </t>
  </si>
  <si>
    <t>A2SB</t>
  </si>
  <si>
    <t>Martinez, Alyssa</t>
  </si>
  <si>
    <t>A2ST</t>
  </si>
  <si>
    <t>McBride, Erin</t>
  </si>
  <si>
    <t>A3RD</t>
  </si>
  <si>
    <t>McCammon, Kristen Nicole</t>
  </si>
  <si>
    <t>A2TJ</t>
  </si>
  <si>
    <t>McCook, Heather</t>
  </si>
  <si>
    <t>A3M7</t>
  </si>
  <si>
    <t>Milanovich, Jeri</t>
  </si>
  <si>
    <t>A2V9</t>
  </si>
  <si>
    <t>Miller, Elizabeth</t>
  </si>
  <si>
    <t>A3PH</t>
  </si>
  <si>
    <t xml:space="preserve">Milne, Molly </t>
  </si>
  <si>
    <t>A2VP</t>
  </si>
  <si>
    <t>Monnie, Michelle</t>
  </si>
  <si>
    <t>A2W1</t>
  </si>
  <si>
    <t>Morris, Nicole</t>
  </si>
  <si>
    <t>A2WR</t>
  </si>
  <si>
    <t>Nguyen, Jessica</t>
  </si>
  <si>
    <t>A2Y6</t>
  </si>
  <si>
    <t>Olmstead, Drea</t>
  </si>
  <si>
    <t>A2Z9</t>
  </si>
  <si>
    <t>Padilla, Shannon</t>
  </si>
  <si>
    <t>A2ZY</t>
  </si>
  <si>
    <t xml:space="preserve">Parker, Nathan     </t>
  </si>
  <si>
    <t>A309</t>
  </si>
  <si>
    <t>Park-Kwon, Janice</t>
  </si>
  <si>
    <t>A30C</t>
  </si>
  <si>
    <t>Pew, Lisa</t>
  </si>
  <si>
    <t>A31K</t>
  </si>
  <si>
    <t>Potts, Janelle</t>
  </si>
  <si>
    <t>A32J</t>
  </si>
  <si>
    <t>Quinn, Michele</t>
  </si>
  <si>
    <t>A334</t>
  </si>
  <si>
    <t>Raffaelli, Anna</t>
  </si>
  <si>
    <t>A33I</t>
  </si>
  <si>
    <t>Rajska, Barbara</t>
  </si>
  <si>
    <t>A33K</t>
  </si>
  <si>
    <t>Rangel, Emily</t>
  </si>
  <si>
    <t>A33P</t>
  </si>
  <si>
    <t>Regueyra, lauren</t>
  </si>
  <si>
    <t>A3NF</t>
  </si>
  <si>
    <t>Rhinehart, Hannah</t>
  </si>
  <si>
    <t>A3MW</t>
  </si>
  <si>
    <t>Richardson, Kara</t>
  </si>
  <si>
    <t>A34H</t>
  </si>
  <si>
    <t>Rodriguez, Yvette</t>
  </si>
  <si>
    <t>A356</t>
  </si>
  <si>
    <t>Rogers, Nicki</t>
  </si>
  <si>
    <t>A35D</t>
  </si>
  <si>
    <t>Ruiz, Rebecca</t>
  </si>
  <si>
    <t>A368</t>
  </si>
  <si>
    <t>Saito, Tanya</t>
  </si>
  <si>
    <t>A3OF</t>
  </si>
  <si>
    <t>Salzano, Courtney</t>
  </si>
  <si>
    <t>A36V</t>
  </si>
  <si>
    <t>Saulson, Ashlen</t>
  </si>
  <si>
    <t>A37E</t>
  </si>
  <si>
    <t>Siegele, Carolyn</t>
  </si>
  <si>
    <t>A39K</t>
  </si>
  <si>
    <t xml:space="preserve">Sienas, Laura  </t>
  </si>
  <si>
    <t>A39M</t>
  </si>
  <si>
    <t>Smith Morales, Molly</t>
  </si>
  <si>
    <t>A3AN</t>
  </si>
  <si>
    <t>Smrtka, Michael</t>
  </si>
  <si>
    <t>A3AO</t>
  </si>
  <si>
    <t>Spence, Brandi</t>
  </si>
  <si>
    <t>A3B5</t>
  </si>
  <si>
    <t>Stuva, Deidra (Delaney)</t>
  </si>
  <si>
    <t>A26S</t>
  </si>
  <si>
    <t>St. Lawrence, Julia</t>
  </si>
  <si>
    <t>A3BE</t>
  </si>
  <si>
    <t>Thorsen, Amber</t>
  </si>
  <si>
    <t>A3S4</t>
  </si>
  <si>
    <t>PK</t>
  </si>
  <si>
    <t>Tsuji, Mazarine</t>
  </si>
  <si>
    <t>A3S5</t>
  </si>
  <si>
    <t>Tronnes, Ashlie</t>
  </si>
  <si>
    <t>A3FZ</t>
  </si>
  <si>
    <t>Vanden Heuvel, Rebekah "Beka"</t>
  </si>
  <si>
    <t>A3GX</t>
  </si>
  <si>
    <t>Vasquez, Brandi</t>
  </si>
  <si>
    <t>A3H6</t>
  </si>
  <si>
    <t>Walter, Ashlee</t>
  </si>
  <si>
    <t>A3IA</t>
  </si>
  <si>
    <t>Warhus, Damon</t>
  </si>
  <si>
    <t>A3IG</t>
  </si>
  <si>
    <t>Weinstein, Danielle</t>
  </si>
  <si>
    <t>A3J5</t>
  </si>
  <si>
    <t>Williams, Meredith</t>
  </si>
  <si>
    <t>A3K8</t>
  </si>
  <si>
    <t>Termed or On-Call EE's</t>
  </si>
  <si>
    <t xml:space="preserve">**Watch for Holidays **Owners are highlighted in blue
</t>
  </si>
  <si>
    <t>Password: Payroll</t>
  </si>
  <si>
    <t>Loc</t>
  </si>
  <si>
    <t>Hrs/ day</t>
  </si>
  <si>
    <t>Wed</t>
  </si>
  <si>
    <t>Thu</t>
  </si>
  <si>
    <t>Fri</t>
  </si>
  <si>
    <t>Sat</t>
  </si>
  <si>
    <t>Sun</t>
  </si>
  <si>
    <t>Mon</t>
  </si>
  <si>
    <t>Tue</t>
  </si>
  <si>
    <t>ID</t>
  </si>
  <si>
    <t>TOTAL:</t>
  </si>
  <si>
    <t>Notes</t>
  </si>
  <si>
    <t>Password: PK</t>
  </si>
  <si>
    <t>Bayne, Lisa</t>
  </si>
  <si>
    <t>Hodge, Cassandra</t>
  </si>
  <si>
    <t>A2I4</t>
  </si>
  <si>
    <t>?</t>
  </si>
  <si>
    <t>Bondurant, Reid</t>
  </si>
  <si>
    <t>8or12</t>
  </si>
  <si>
    <t>Koski-Vogt, Mary (MKV)</t>
  </si>
  <si>
    <t xml:space="preserve">Lewis, Megan </t>
  </si>
  <si>
    <t>Password: GW</t>
  </si>
  <si>
    <t xml:space="preserve">Burke, Jamie </t>
  </si>
  <si>
    <t>Regueyra, Lauren</t>
  </si>
  <si>
    <t>Parker, Nathan</t>
  </si>
  <si>
    <t>Once per Quarter</t>
  </si>
  <si>
    <t>Password: NB</t>
  </si>
  <si>
    <t>Barske, Margaret (EB)</t>
  </si>
  <si>
    <t>Bennett, Sylvana (SxB)</t>
  </si>
  <si>
    <t>Eppard, Gregory (GxE)</t>
  </si>
  <si>
    <t>Geller, Alina (AxG)</t>
  </si>
  <si>
    <t>Huggins, Rebecca (RCH)</t>
  </si>
  <si>
    <t>8/24</t>
  </si>
  <si>
    <t>Koltenuk, Erica (ExK)</t>
  </si>
  <si>
    <t>Kratzer, Jennifer (JxK)</t>
  </si>
  <si>
    <t>McCook, Heather (HxM)</t>
  </si>
  <si>
    <t>Rajska, Barbara (BxR)</t>
  </si>
  <si>
    <t>Siegele, Carolyn (CWS)</t>
  </si>
  <si>
    <t>Spence, Brandi (BxS)</t>
  </si>
  <si>
    <t>Password: NWP</t>
  </si>
  <si>
    <t>Farkouh, Lisa (LF)</t>
  </si>
  <si>
    <t>Hansen, Karen (KH)</t>
  </si>
  <si>
    <t>Lannon, Sophia (SRL)</t>
  </si>
  <si>
    <t>Lebenbaum, Allison (AL)</t>
  </si>
  <si>
    <t>Milanovich, Jeri (JM)</t>
  </si>
  <si>
    <t>Sienas, Laura (LES)</t>
  </si>
  <si>
    <t>Smrtka, Michael (MPS)</t>
  </si>
  <si>
    <t>Tronnes, Ashlie (AT)</t>
  </si>
  <si>
    <t>Williams, Meredith (MW)</t>
  </si>
  <si>
    <t>Password: OC</t>
  </si>
  <si>
    <t>Bronson, Joline (JB)</t>
  </si>
  <si>
    <t>Hall, Wendy (WSH)</t>
  </si>
  <si>
    <t>Heffron, Ari (AH)</t>
  </si>
  <si>
    <t>Lee, Stephanie (SL)</t>
  </si>
  <si>
    <t>Quinn, Michele (MQ)</t>
  </si>
  <si>
    <t>Vasquez, Brandi (BLV)</t>
  </si>
  <si>
    <t>Boehm, Holly (HB)</t>
  </si>
  <si>
    <t>Cohen-MacGill, Misra (MCM)</t>
  </si>
  <si>
    <t>Frank, Britney (BLF)</t>
  </si>
  <si>
    <t>Himel, Katie (KH)</t>
  </si>
  <si>
    <t>McCammon, Kristen (KM)</t>
  </si>
  <si>
    <t>St. Lawrence, Julia (JSL)</t>
  </si>
  <si>
    <t>Stuva, Deidra (DRD)</t>
  </si>
  <si>
    <t>Austin, Allison (AA)</t>
  </si>
  <si>
    <t>Coiner, Bobbi (BC)</t>
  </si>
  <si>
    <t>Hernandez Lomeli, Jessica (JHL)</t>
  </si>
  <si>
    <t>Kateley-Williams, Catherine</t>
  </si>
  <si>
    <t>Manewal, Monica (MM)</t>
  </si>
  <si>
    <t>Ruiz, Rebecca (BMR)</t>
  </si>
  <si>
    <t>Salzano, Courtney (CS)</t>
  </si>
  <si>
    <t>Smith Morales, Molly (MSM)</t>
  </si>
  <si>
    <t>Vanden Heuvel, Rebekah "Beka" (BVH)</t>
  </si>
  <si>
    <t>Password: TN</t>
  </si>
  <si>
    <t>Allison, Gina (GA)</t>
  </si>
  <si>
    <t>Burgoine, Gary (GB)</t>
  </si>
  <si>
    <t>DiPietro, Katie (KmD)</t>
  </si>
  <si>
    <t>Fowler, Jessica (JDF)</t>
  </si>
  <si>
    <t>Goranson, Lori (LG)</t>
  </si>
  <si>
    <t>Jeffery, Avery (AJ)</t>
  </si>
  <si>
    <t>Kelly, Jennifer (JK)</t>
  </si>
  <si>
    <t>Koh Stewart, Marguerite (MS)</t>
  </si>
  <si>
    <t>Lin, Jennifer (JxL)</t>
  </si>
  <si>
    <t>Lindwall, Jody (JmL)</t>
  </si>
  <si>
    <t>Milne, Molly (MxM)</t>
  </si>
  <si>
    <t>Olmstead, Drea (DO)</t>
  </si>
  <si>
    <t>Padilla, Shannon (SxP)</t>
  </si>
  <si>
    <t>Park Kwon, Janice (JxP)</t>
  </si>
  <si>
    <t>Pew, Lisa (LP)</t>
  </si>
  <si>
    <t>Raffaelli, Anna (ALR)</t>
  </si>
  <si>
    <t>Rogers, Nicki (NxR)</t>
  </si>
  <si>
    <t>10.7</t>
  </si>
  <si>
    <t xml:space="preserve">Instructions: </t>
  </si>
  <si>
    <t xml:space="preserve">Take off any terms and add any new hires. Get their plan code from Paycom company maint. &gt; accruals &gt; look at EE lists, then drag formulas down.  </t>
  </si>
  <si>
    <t>Change the formula in D (after the Vlookup) to include columns B through the balance column for the month you are working on, then change the number after to be the number before the "used" column for the month</t>
  </si>
  <si>
    <t>Example: "B:P" is through January's balances, "14" is the January "used" column.</t>
  </si>
  <si>
    <t>Update formula in F to get the balance from the PTO Summary page current month "used" column</t>
  </si>
  <si>
    <t>Copy/paste values from below data to csv upload file. If it does not save correct, select all of column A &gt; go to Data &gt; Text to Columns &gt; Next &gt; select "Space" box &gt; Next &gt; Finish</t>
  </si>
  <si>
    <t xml:space="preserve">Fix any double decimals (i.e. 10.7.00), anyone with negative PTO will need to be deleted from CSV and added manually in Paycom </t>
  </si>
  <si>
    <t>Upload CSV in Paycom under Employees &gt; Add New Employee &gt; Import Employe Changes</t>
  </si>
  <si>
    <t>WILL NEED TO ADD EIB, Jury Duty, and negative credits MANUALLY ON FORM 6</t>
  </si>
  <si>
    <t>Paycom ID</t>
  </si>
  <si>
    <t>Import</t>
  </si>
  <si>
    <t>PTO Plan</t>
  </si>
  <si>
    <t>Import Text</t>
  </si>
  <si>
    <t>PTO Hrs Used</t>
  </si>
  <si>
    <t>ACR_Import</t>
  </si>
  <si>
    <t>Total</t>
  </si>
  <si>
    <t>Employee_Name</t>
  </si>
  <si>
    <t>Employee_Code</t>
  </si>
  <si>
    <t>Full-Time_Employee_Factor</t>
  </si>
  <si>
    <t>Hire_Date</t>
  </si>
  <si>
    <t>Rehire_Date</t>
  </si>
  <si>
    <t>PTO_MP_Accrual_Rate</t>
  </si>
  <si>
    <t>PTO_Accrual_Rate</t>
  </si>
  <si>
    <t>ALLISON, GINA R</t>
  </si>
  <si>
    <t>N/A</t>
  </si>
  <si>
    <t>ANDREWS, BROOKE CHARLTON</t>
  </si>
  <si>
    <t>ATKINSON, PAIGE ERIN</t>
  </si>
  <si>
    <t>AUSTIN, ALLISON MARIE</t>
  </si>
  <si>
    <t>BARSKE, MARGARET ELISA</t>
  </si>
  <si>
    <t>BENNETT, SYLVANA ELSPETH</t>
  </si>
  <si>
    <t>BIRCHER, JESSICA KIMBERLEY</t>
  </si>
  <si>
    <t>BISHOP, JENNIFER L</t>
  </si>
  <si>
    <t>BOEHM, HOLLY A</t>
  </si>
  <si>
    <t>BONDURANT, REID PEARL</t>
  </si>
  <si>
    <t>BRAUN, ANDREW JOSEPH</t>
  </si>
  <si>
    <t>BRENNAN, THOMAS</t>
  </si>
  <si>
    <t>BRONSON, JOLINE S</t>
  </si>
  <si>
    <t>BURGOINE, GARY A</t>
  </si>
  <si>
    <t>BURKE, JAMIE ANN</t>
  </si>
  <si>
    <t>CARLYLE, MARNI SUE</t>
  </si>
  <si>
    <t>CHICK, RHONDA JEAN</t>
  </si>
  <si>
    <t>COHEN-MACGILL, MISRA ROSE</t>
  </si>
  <si>
    <t>COINER, BARBARA ELIZABETH</t>
  </si>
  <si>
    <t>COOK, JONATHAN CHRISTIAN</t>
  </si>
  <si>
    <t>CRAIG, HALEY HATSUKO</t>
  </si>
  <si>
    <t>Stuva, DEIDRA RAE (Delaney)</t>
  </si>
  <si>
    <t>DIEPENHORST, LISA L</t>
  </si>
  <si>
    <t>DIPIETRO, KATHERINE MYCHAL</t>
  </si>
  <si>
    <t>ELLIOTTGREEN, KENDRA IRENE</t>
  </si>
  <si>
    <t>EPPARD, GREGORY GRAYSTON</t>
  </si>
  <si>
    <t>FARKOUH, LISA J</t>
  </si>
  <si>
    <t>FAUSEL, SARAH COLLEEN</t>
  </si>
  <si>
    <t>FOWLER, JESSICA DIANE</t>
  </si>
  <si>
    <t>FRANK, BRITNEY L</t>
  </si>
  <si>
    <t>FREDERICK, CARRIE MILES</t>
  </si>
  <si>
    <t>GALLAGHER, MARY LUCARELLI</t>
  </si>
  <si>
    <t>GARVIE-LOVELAND, MARYANNE B</t>
  </si>
  <si>
    <t>GELLER, ALINA</t>
  </si>
  <si>
    <t>GEUNES, LINDSEY A</t>
  </si>
  <si>
    <t>GIUNIO-ZORKIN, MACKENZIE JOY</t>
  </si>
  <si>
    <t>GORANSON, LORI L</t>
  </si>
  <si>
    <t>GORMAN, MARGARET CATHERINE</t>
  </si>
  <si>
    <t>HALL, WENDY S</t>
  </si>
  <si>
    <t>HANSEN, KAREN E</t>
  </si>
  <si>
    <t>HEFFRON, ARI M</t>
  </si>
  <si>
    <t>HERNANDEZ LOMELI, JESSICA JANETH</t>
  </si>
  <si>
    <t>HIMEL, KATIE</t>
  </si>
  <si>
    <t>HODGE, CASSANDRA EVELYN</t>
  </si>
  <si>
    <t>HUGGINS, REBECCA C</t>
  </si>
  <si>
    <t>HULL, MEGAN B</t>
  </si>
  <si>
    <t>JOHNSON, BEN W</t>
  </si>
  <si>
    <t>JOHNSON, LISA K</t>
  </si>
  <si>
    <t>KEAN, JAIME E</t>
  </si>
  <si>
    <t>KELLY, BRIAN P</t>
  </si>
  <si>
    <t>A2MP</t>
  </si>
  <si>
    <t>KELLY, JENNIFER S</t>
  </si>
  <si>
    <t>KERSTETTER, JESSICA R</t>
  </si>
  <si>
    <t>KOH, MARGUERITE STEWART</t>
  </si>
  <si>
    <t>OSL</t>
  </si>
  <si>
    <t>KOLTENUK, ERICA</t>
  </si>
  <si>
    <t>KONDRAT, ANGELA M</t>
  </si>
  <si>
    <t>LABBY, ELIZABETH A</t>
  </si>
  <si>
    <t>LANNON, SOPHIA MARGARETA ROTHBERGER</t>
  </si>
  <si>
    <t>LARSON, SYDNEY LEA</t>
  </si>
  <si>
    <t>LEBENBAUM, ALLISON ABBOTT</t>
  </si>
  <si>
    <t>LEE, STEPHANIE R</t>
  </si>
  <si>
    <t>LEWIS, MEGAN JEAN</t>
  </si>
  <si>
    <t>LIN, JENNIFER E</t>
  </si>
  <si>
    <t>LINDWALL, JODY M</t>
  </si>
  <si>
    <t>LOHR, DAFNA</t>
  </si>
  <si>
    <t>LOMELI, LYNSEY ANN</t>
  </si>
  <si>
    <t>MA, SHIRLEY WENG-YING</t>
  </si>
  <si>
    <t>MACKENZIE, LAUREN S</t>
  </si>
  <si>
    <t>MANEWAL, MONICA CHERISE</t>
  </si>
  <si>
    <t>MARTINEZ, ALYSSA ANNE</t>
  </si>
  <si>
    <t>MCCAMMON, KRISTEN NICOLE</t>
  </si>
  <si>
    <t>MCCOOK, HEATHER NICOLE</t>
  </si>
  <si>
    <t>MILANOVICH, JERI L</t>
  </si>
  <si>
    <t>MILNE, MOLLY PHILLIPS</t>
  </si>
  <si>
    <t>MONNIE, MICHELLE LYNNETTE</t>
  </si>
  <si>
    <t>MORRIS, NICOLE B</t>
  </si>
  <si>
    <t>NAM, JOANA H</t>
  </si>
  <si>
    <t>A2XK</t>
  </si>
  <si>
    <t>NGUYEN, JESSICA BUIVU</t>
  </si>
  <si>
    <t>OLMSTEAD, ANDREA C</t>
  </si>
  <si>
    <t>PADILLA, SHANNON R</t>
  </si>
  <si>
    <t>PARKER, NATHAN DANIEL</t>
  </si>
  <si>
    <t>PARK-KWON, JANICE HAESUN</t>
  </si>
  <si>
    <t>PEW, LISA C</t>
  </si>
  <si>
    <t>QUINN, MICHELE T</t>
  </si>
  <si>
    <t>RAFFAELLI, ANNA L</t>
  </si>
  <si>
    <t>RAJSKA, BARBARA</t>
  </si>
  <si>
    <t>RANGEL, EMILY</t>
  </si>
  <si>
    <t>RHINEHART, HANNAH</t>
  </si>
  <si>
    <t>RICHARDSON, KARA ANU</t>
  </si>
  <si>
    <t>RODRIGUEZ, YVETTE</t>
  </si>
  <si>
    <t>ROGERS, NICKI L</t>
  </si>
  <si>
    <t>RUIZ, REBECCA MONIQUE</t>
  </si>
  <si>
    <t>SALZANO, COURTNEY EMMA</t>
  </si>
  <si>
    <t>SAULSON, ASHLEN TORREY</t>
  </si>
  <si>
    <t>SIEGELE, CAROLYN W</t>
  </si>
  <si>
    <t>SIENAS, LAURA ELIZABETH</t>
  </si>
  <si>
    <t>SMITH MORALES, MOLLY KATHERINE</t>
  </si>
  <si>
    <t>SPENCE, BRANDI JEAN</t>
  </si>
  <si>
    <t>ST LAWRENCE, JULIA B</t>
  </si>
  <si>
    <t>TRONNES, ASHLIE ANN ROSELLE</t>
  </si>
  <si>
    <t>VANDEN HEUVEL, REBEKAH ELIZABETH</t>
  </si>
  <si>
    <t>VASQUEZ, BRANDI L</t>
  </si>
  <si>
    <t>WALTER, ASHLEE FAYE</t>
  </si>
  <si>
    <t>WARHUS, DAMON A</t>
  </si>
  <si>
    <t>WEINSTEIN, DANIELLE C</t>
  </si>
  <si>
    <t>WILLIAMS, MEREDITH K</t>
  </si>
  <si>
    <t>WRAY, KAILIA</t>
  </si>
  <si>
    <t>A3L4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</si>
</sst>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mm/dd/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sz val="12"/>
      <color rgb="FF7030A0"/>
      <name val="Calibri"/>
      <family val="2"/>
      <scheme val="minor"/>
    </font>
    <font>
      <b/>
      <sz val="12"/>
      <name val="Calibri"/>
      <family val="2"/>
    </font>
    <font>
      <b/>
      <sz val="12"/>
      <color rgb="FFC00000"/>
      <name val="Calibri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9"/>
      <color rgb="FF1B1B1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0" fontId="4" fillId="0" borderId="0"/>
    <xf numFmtId="0" fontId="14" fillId="0" borderId="0"/>
    <xf numFmtId="0" fontId="4" fillId="0" borderId="0"/>
  </cellStyleXfs>
  <cellXfs count="177">
    <xf numFmtId="0" fontId="0" fillId="0" borderId="0" xfId="0"/>
    <xf numFmtId="43" fontId="0" fillId="2" borderId="0" xfId="0" applyNumberFormat="1" applyFill="1"/>
    <xf numFmtId="43" fontId="0" fillId="0" borderId="0" xfId="0" applyNumberFormat="1"/>
    <xf numFmtId="43" fontId="0" fillId="0" borderId="1" xfId="0" applyNumberFormat="1" applyBorder="1"/>
    <xf numFmtId="43" fontId="0" fillId="0" borderId="2" xfId="0" applyNumberFormat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4" fillId="3" borderId="0" xfId="0" applyNumberFormat="1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3" fontId="0" fillId="3" borderId="0" xfId="0" applyNumberFormat="1" applyFill="1" applyAlignment="1">
      <alignment horizontal="center"/>
    </xf>
    <xf numFmtId="0" fontId="0" fillId="0" borderId="0" xfId="3" applyFont="1" applyAlignment="1">
      <alignment horizontal="left"/>
    </xf>
    <xf numFmtId="0" fontId="0" fillId="6" borderId="3" xfId="0" applyFill="1" applyBorder="1"/>
    <xf numFmtId="43" fontId="0" fillId="6" borderId="3" xfId="0" applyNumberFormat="1" applyFill="1" applyBorder="1"/>
    <xf numFmtId="43" fontId="0" fillId="6" borderId="4" xfId="0" applyNumberFormat="1" applyFill="1" applyBorder="1"/>
    <xf numFmtId="43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4" fontId="4" fillId="6" borderId="3" xfId="0" applyNumberFormat="1" applyFont="1" applyFill="1" applyBorder="1"/>
    <xf numFmtId="0" fontId="4" fillId="6" borderId="3" xfId="0" applyFont="1" applyFill="1" applyBorder="1"/>
    <xf numFmtId="0" fontId="4" fillId="6" borderId="3" xfId="0" applyFont="1" applyFill="1" applyBorder="1" applyAlignment="1">
      <alignment horizontal="center"/>
    </xf>
    <xf numFmtId="0" fontId="0" fillId="0" borderId="5" xfId="0" applyBorder="1"/>
    <xf numFmtId="43" fontId="0" fillId="2" borderId="5" xfId="0" applyNumberFormat="1" applyFill="1" applyBorder="1"/>
    <xf numFmtId="43" fontId="0" fillId="0" borderId="5" xfId="0" applyNumberFormat="1" applyBorder="1"/>
    <xf numFmtId="43" fontId="0" fillId="0" borderId="6" xfId="0" applyNumberFormat="1" applyBorder="1"/>
    <xf numFmtId="0" fontId="0" fillId="3" borderId="5" xfId="0" applyFill="1" applyBorder="1" applyAlignment="1">
      <alignment horizontal="center"/>
    </xf>
    <xf numFmtId="164" fontId="4" fillId="3" borderId="5" xfId="0" applyNumberFormat="1" applyFont="1" applyFill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43" fontId="0" fillId="4" borderId="2" xfId="0" applyNumberFormat="1" applyFill="1" applyBorder="1"/>
    <xf numFmtId="43" fontId="0" fillId="4" borderId="0" xfId="0" applyNumberFormat="1" applyFill="1"/>
    <xf numFmtId="43" fontId="0" fillId="2" borderId="7" xfId="0" applyNumberFormat="1" applyFill="1" applyBorder="1"/>
    <xf numFmtId="43" fontId="0" fillId="2" borderId="8" xfId="0" applyNumberFormat="1" applyFill="1" applyBorder="1"/>
    <xf numFmtId="43" fontId="0" fillId="4" borderId="0" xfId="0" applyNumberFormat="1" applyFill="1" applyAlignment="1">
      <alignment horizontal="center"/>
    </xf>
    <xf numFmtId="0" fontId="4" fillId="4" borderId="0" xfId="0" applyFont="1" applyFill="1"/>
    <xf numFmtId="0" fontId="3" fillId="0" borderId="0" xfId="3" applyFont="1" applyAlignment="1">
      <alignment horizontal="left"/>
    </xf>
    <xf numFmtId="9" fontId="0" fillId="0" borderId="0" xfId="2" applyFont="1" applyFill="1"/>
    <xf numFmtId="0" fontId="4" fillId="0" borderId="0" xfId="2" applyNumberFormat="1" applyFont="1" applyFill="1"/>
    <xf numFmtId="0" fontId="6" fillId="0" borderId="0" xfId="4"/>
    <xf numFmtId="0" fontId="0" fillId="0" borderId="0" xfId="0" quotePrefix="1"/>
    <xf numFmtId="0" fontId="1" fillId="0" borderId="0" xfId="3" applyAlignment="1">
      <alignment horizontal="left"/>
    </xf>
    <xf numFmtId="0" fontId="0" fillId="0" borderId="3" xfId="0" applyBorder="1"/>
    <xf numFmtId="43" fontId="4" fillId="2" borderId="3" xfId="1" applyFont="1" applyFill="1" applyBorder="1" applyAlignment="1">
      <alignment horizontal="center" wrapText="1"/>
    </xf>
    <xf numFmtId="43" fontId="4" fillId="0" borderId="3" xfId="1" applyFont="1" applyFill="1" applyBorder="1" applyAlignment="1">
      <alignment horizontal="center" wrapText="1"/>
    </xf>
    <xf numFmtId="43" fontId="4" fillId="0" borderId="4" xfId="1" applyFont="1" applyFill="1" applyBorder="1" applyAlignment="1">
      <alignment horizontal="center" wrapText="1"/>
    </xf>
    <xf numFmtId="43" fontId="4" fillId="4" borderId="9" xfId="1" applyFont="1" applyFill="1" applyBorder="1" applyAlignment="1">
      <alignment horizontal="center" wrapText="1"/>
    </xf>
    <xf numFmtId="43" fontId="4" fillId="4" borderId="3" xfId="1" applyFont="1" applyFill="1" applyBorder="1" applyAlignment="1">
      <alignment horizontal="center" wrapText="1"/>
    </xf>
    <xf numFmtId="43" fontId="4" fillId="2" borderId="10" xfId="1" applyFont="1" applyFill="1" applyBorder="1" applyAlignment="1">
      <alignment horizontal="center" wrapText="1"/>
    </xf>
    <xf numFmtId="0" fontId="4" fillId="2" borderId="3" xfId="1" applyNumberFormat="1" applyFont="1" applyFill="1" applyBorder="1" applyAlignment="1">
      <alignment horizontal="center" wrapText="1"/>
    </xf>
    <xf numFmtId="0" fontId="4" fillId="2" borderId="11" xfId="1" applyNumberFormat="1" applyFont="1" applyFill="1" applyBorder="1" applyAlignment="1">
      <alignment horizontal="center" wrapText="1"/>
    </xf>
    <xf numFmtId="0" fontId="4" fillId="3" borderId="3" xfId="1" applyNumberFormat="1" applyFont="1" applyFill="1" applyBorder="1" applyAlignment="1">
      <alignment horizontal="center" wrapText="1"/>
    </xf>
    <xf numFmtId="164" fontId="4" fillId="3" borderId="3" xfId="0" applyNumberFormat="1" applyFont="1" applyFill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43" fontId="0" fillId="2" borderId="13" xfId="0" applyNumberFormat="1" applyFill="1" applyBorder="1"/>
    <xf numFmtId="43" fontId="0" fillId="2" borderId="14" xfId="0" applyNumberFormat="1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16" xfId="0" applyFont="1" applyBorder="1"/>
    <xf numFmtId="0" fontId="11" fillId="0" borderId="16" xfId="0" applyFont="1" applyBorder="1" applyAlignment="1">
      <alignment horizontal="left"/>
    </xf>
    <xf numFmtId="0" fontId="11" fillId="0" borderId="16" xfId="0" applyFont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6" xfId="3" applyFont="1" applyBorder="1" applyAlignment="1">
      <alignment horizontal="center"/>
    </xf>
    <xf numFmtId="0" fontId="10" fillId="0" borderId="16" xfId="0" applyFont="1" applyBorder="1"/>
    <xf numFmtId="0" fontId="11" fillId="2" borderId="0" xfId="0" applyFont="1" applyFill="1"/>
    <xf numFmtId="0" fontId="11" fillId="5" borderId="0" xfId="0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0" fontId="11" fillId="0" borderId="0" xfId="3" applyFont="1" applyAlignment="1">
      <alignment horizontal="center"/>
    </xf>
    <xf numFmtId="0" fontId="10" fillId="4" borderId="0" xfId="0" applyFont="1" applyFill="1"/>
    <xf numFmtId="0" fontId="11" fillId="0" borderId="0" xfId="0" applyFont="1" applyAlignment="1">
      <alignment horizontal="left"/>
    </xf>
    <xf numFmtId="0" fontId="12" fillId="0" borderId="0" xfId="5" quotePrefix="1" applyFont="1" applyAlignment="1">
      <alignment vertical="top"/>
    </xf>
    <xf numFmtId="0" fontId="9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0" fillId="7" borderId="17" xfId="0" applyFont="1" applyFill="1" applyBorder="1"/>
    <xf numFmtId="0" fontId="9" fillId="0" borderId="16" xfId="0" applyFont="1" applyBorder="1" applyAlignment="1">
      <alignment horizontal="left"/>
    </xf>
    <xf numFmtId="0" fontId="11" fillId="2" borderId="16" xfId="0" applyFont="1" applyFill="1" applyBorder="1"/>
    <xf numFmtId="0" fontId="9" fillId="0" borderId="16" xfId="0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13" fillId="0" borderId="16" xfId="3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9" fillId="0" borderId="16" xfId="3" applyFont="1" applyBorder="1" applyAlignment="1">
      <alignment horizontal="center"/>
    </xf>
    <xf numFmtId="0" fontId="1" fillId="0" borderId="16" xfId="3" applyBorder="1" applyAlignment="1">
      <alignment horizontal="left"/>
    </xf>
    <xf numFmtId="0" fontId="0" fillId="0" borderId="16" xfId="0" applyBorder="1"/>
    <xf numFmtId="0" fontId="9" fillId="5" borderId="16" xfId="0" applyFont="1" applyFill="1" applyBorder="1"/>
    <xf numFmtId="0" fontId="9" fillId="0" borderId="16" xfId="0" applyFont="1" applyBorder="1"/>
    <xf numFmtId="0" fontId="0" fillId="0" borderId="16" xfId="0" quotePrefix="1" applyBorder="1"/>
    <xf numFmtId="0" fontId="12" fillId="0" borderId="0" xfId="5" quotePrefix="1" applyFont="1" applyAlignment="1">
      <alignment horizontal="left" vertical="top"/>
    </xf>
    <xf numFmtId="16" fontId="10" fillId="0" borderId="0" xfId="0" quotePrefix="1" applyNumberFormat="1" applyFont="1" applyAlignment="1">
      <alignment horizontal="center"/>
    </xf>
    <xf numFmtId="0" fontId="9" fillId="5" borderId="0" xfId="0" applyFont="1" applyFill="1"/>
    <xf numFmtId="0" fontId="1" fillId="0" borderId="0" xfId="3" quotePrefix="1" applyAlignment="1">
      <alignment horizontal="left"/>
    </xf>
    <xf numFmtId="0" fontId="12" fillId="0" borderId="0" xfId="5" applyFont="1" applyAlignment="1">
      <alignment vertical="top"/>
    </xf>
    <xf numFmtId="0" fontId="1" fillId="0" borderId="0" xfId="6" applyFont="1" applyAlignment="1">
      <alignment horizontal="left"/>
    </xf>
    <xf numFmtId="0" fontId="15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9" fillId="2" borderId="0" xfId="0" applyFont="1" applyFill="1"/>
    <xf numFmtId="14" fontId="9" fillId="2" borderId="0" xfId="0" applyNumberFormat="1" applyFont="1" applyFill="1" applyAlignment="1">
      <alignment horizontal="center" textRotation="90"/>
    </xf>
    <xf numFmtId="14" fontId="9" fillId="5" borderId="0" xfId="0" applyNumberFormat="1" applyFont="1" applyFill="1" applyAlignment="1">
      <alignment horizontal="center" textRotation="90"/>
    </xf>
    <xf numFmtId="0" fontId="16" fillId="0" borderId="0" xfId="0" applyFont="1" applyAlignment="1">
      <alignment horizontal="center" wrapText="1"/>
    </xf>
    <xf numFmtId="0" fontId="9" fillId="0" borderId="18" xfId="0" applyFont="1" applyBorder="1"/>
    <xf numFmtId="0" fontId="11" fillId="2" borderId="0" xfId="0" applyFont="1" applyFill="1" applyAlignment="1">
      <alignment horizontal="center"/>
    </xf>
    <xf numFmtId="0" fontId="16" fillId="7" borderId="0" xfId="0" applyFont="1" applyFill="1" applyAlignment="1">
      <alignment horizontal="center" wrapText="1"/>
    </xf>
    <xf numFmtId="2" fontId="9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  <xf numFmtId="0" fontId="11" fillId="8" borderId="16" xfId="0" applyFont="1" applyFill="1" applyBorder="1" applyAlignment="1">
      <alignment horizontal="center"/>
    </xf>
    <xf numFmtId="2" fontId="9" fillId="8" borderId="0" xfId="0" applyNumberFormat="1" applyFont="1" applyFill="1" applyAlignment="1">
      <alignment horizontal="center"/>
    </xf>
    <xf numFmtId="1" fontId="11" fillId="8" borderId="0" xfId="0" applyNumberFormat="1" applyFont="1" applyFill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0" fillId="8" borderId="0" xfId="0" applyFill="1"/>
    <xf numFmtId="0" fontId="9" fillId="8" borderId="16" xfId="0" applyFont="1" applyFill="1" applyBorder="1"/>
    <xf numFmtId="0" fontId="9" fillId="8" borderId="0" xfId="0" applyFont="1" applyFill="1"/>
    <xf numFmtId="0" fontId="15" fillId="8" borderId="0" xfId="0" applyFont="1" applyFill="1" applyAlignment="1">
      <alignment horizontal="center"/>
    </xf>
    <xf numFmtId="14" fontId="9" fillId="8" borderId="0" xfId="0" applyNumberFormat="1" applyFont="1" applyFill="1" applyAlignment="1">
      <alignment horizontal="center" textRotation="90"/>
    </xf>
    <xf numFmtId="0" fontId="0" fillId="8" borderId="16" xfId="0" applyFill="1" applyBorder="1"/>
    <xf numFmtId="0" fontId="11" fillId="8" borderId="0" xfId="0" applyFont="1" applyFill="1" applyAlignment="1">
      <alignment horizontal="left"/>
    </xf>
    <xf numFmtId="0" fontId="0" fillId="5" borderId="0" xfId="0" applyFill="1"/>
    <xf numFmtId="40" fontId="0" fillId="0" borderId="0" xfId="0" applyNumberFormat="1" applyAlignment="1">
      <alignment horizontal="center"/>
    </xf>
    <xf numFmtId="40" fontId="2" fillId="0" borderId="0" xfId="0" applyNumberFormat="1" applyFont="1" applyAlignment="1">
      <alignment horizontal="left"/>
    </xf>
    <xf numFmtId="0" fontId="2" fillId="0" borderId="0" xfId="0" applyFont="1"/>
    <xf numFmtId="0" fontId="0" fillId="9" borderId="0" xfId="0" applyFill="1"/>
    <xf numFmtId="14" fontId="6" fillId="0" borderId="0" xfId="4" applyNumberFormat="1"/>
    <xf numFmtId="0" fontId="18" fillId="0" borderId="0" xfId="0" applyFont="1"/>
    <xf numFmtId="165" fontId="6" fillId="0" borderId="0" xfId="4" applyNumberFormat="1"/>
    <xf numFmtId="0" fontId="19" fillId="0" borderId="0" xfId="4" applyFont="1"/>
    <xf numFmtId="14" fontId="19" fillId="0" borderId="0" xfId="4" applyNumberFormat="1" applyFont="1"/>
    <xf numFmtId="40" fontId="0" fillId="9" borderId="0" xfId="0" applyNumberFormat="1" applyFill="1" applyAlignment="1">
      <alignment horizontal="center"/>
    </xf>
    <xf numFmtId="40" fontId="2" fillId="0" borderId="19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6" fontId="10" fillId="0" borderId="0" xfId="0" applyNumberFormat="1" applyFont="1" applyAlignment="1">
      <alignment horizontal="center"/>
    </xf>
    <xf numFmtId="0" fontId="21" fillId="0" borderId="0" xfId="0" applyFont="1"/>
    <xf numFmtId="0" fontId="20" fillId="5" borderId="0" xfId="0" applyFont="1" applyFill="1" applyAlignment="1">
      <alignment horizontal="center"/>
    </xf>
    <xf numFmtId="43" fontId="0" fillId="5" borderId="0" xfId="0" applyNumberFormat="1" applyFill="1" applyAlignment="1">
      <alignment horizontal="center"/>
    </xf>
    <xf numFmtId="43" fontId="4" fillId="0" borderId="4" xfId="1" applyFont="1" applyFill="1" applyBorder="1" applyAlignment="1" applyProtection="1">
      <alignment horizontal="center" wrapText="1"/>
    </xf>
    <xf numFmtId="43" fontId="4" fillId="4" borderId="3" xfId="1" applyFont="1" applyFill="1" applyBorder="1" applyAlignment="1" applyProtection="1">
      <alignment horizontal="center" wrapText="1"/>
    </xf>
    <xf numFmtId="43" fontId="4" fillId="4" borderId="9" xfId="1" applyFont="1" applyFill="1" applyBorder="1" applyAlignment="1" applyProtection="1">
      <alignment horizontal="center" wrapText="1"/>
    </xf>
    <xf numFmtId="43" fontId="4" fillId="2" borderId="3" xfId="1" applyFont="1" applyFill="1" applyBorder="1" applyAlignment="1" applyProtection="1">
      <alignment horizontal="center" wrapText="1"/>
    </xf>
    <xf numFmtId="43" fontId="4" fillId="5" borderId="0" xfId="1" applyFont="1" applyFill="1" applyBorder="1" applyAlignment="1">
      <alignment horizontal="center" wrapText="1"/>
    </xf>
    <xf numFmtId="43" fontId="0" fillId="5" borderId="0" xfId="0" applyNumberFormat="1" applyFill="1"/>
    <xf numFmtId="43" fontId="0" fillId="6" borderId="0" xfId="0" applyNumberFormat="1" applyFill="1"/>
    <xf numFmtId="1" fontId="11" fillId="0" borderId="0" xfId="0" applyNumberFormat="1" applyFont="1" applyAlignment="1">
      <alignment horizontal="center"/>
    </xf>
    <xf numFmtId="1" fontId="9" fillId="8" borderId="0" xfId="0" applyNumberFormat="1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0" fillId="5" borderId="16" xfId="0" applyFill="1" applyBorder="1"/>
    <xf numFmtId="43" fontId="4" fillId="0" borderId="6" xfId="1" applyFont="1" applyFill="1" applyBorder="1" applyAlignment="1">
      <alignment horizontal="center" wrapText="1"/>
    </xf>
    <xf numFmtId="43" fontId="0" fillId="6" borderId="1" xfId="0" applyNumberFormat="1" applyFill="1" applyBorder="1"/>
    <xf numFmtId="49" fontId="11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7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43" fontId="2" fillId="0" borderId="4" xfId="0" applyNumberFormat="1" applyFont="1" applyBorder="1" applyAlignment="1">
      <alignment horizontal="center"/>
    </xf>
    <xf numFmtId="43" fontId="2" fillId="0" borderId="3" xfId="0" applyNumberFormat="1" applyFont="1" applyBorder="1" applyAlignment="1">
      <alignment horizontal="center"/>
    </xf>
    <xf numFmtId="43" fontId="2" fillId="0" borderId="9" xfId="0" applyNumberFormat="1" applyFont="1" applyBorder="1" applyAlignment="1">
      <alignment horizontal="center"/>
    </xf>
    <xf numFmtId="43" fontId="2" fillId="0" borderId="5" xfId="0" applyNumberFormat="1" applyFont="1" applyBorder="1" applyAlignment="1">
      <alignment horizontal="center"/>
    </xf>
    <xf numFmtId="43" fontId="2" fillId="0" borderId="12" xfId="0" applyNumberFormat="1" applyFont="1" applyBorder="1" applyAlignment="1">
      <alignment horizontal="center"/>
    </xf>
    <xf numFmtId="43" fontId="2" fillId="0" borderId="6" xfId="0" applyNumberFormat="1" applyFont="1" applyBorder="1" applyAlignment="1">
      <alignment horizontal="center" wrapText="1"/>
    </xf>
    <xf numFmtId="43" fontId="2" fillId="0" borderId="5" xfId="0" applyNumberFormat="1" applyFont="1" applyBorder="1" applyAlignment="1">
      <alignment horizontal="center" wrapText="1"/>
    </xf>
    <xf numFmtId="43" fontId="2" fillId="0" borderId="12" xfId="0" applyNumberFormat="1" applyFont="1" applyBorder="1" applyAlignment="1">
      <alignment horizontal="center" wrapText="1"/>
    </xf>
    <xf numFmtId="43" fontId="2" fillId="0" borderId="6" xfId="0" applyNumberFormat="1" applyFont="1" applyBorder="1" applyAlignment="1">
      <alignment horizontal="center"/>
    </xf>
  </cellXfs>
  <cellStyles count="8">
    <cellStyle name="Comma" xfId="1" builtinId="3"/>
    <cellStyle name="Normal" xfId="0" builtinId="0"/>
    <cellStyle name="Normal 2" xfId="4" xr:uid="{A895C326-EC63-4B84-949B-B6FA7036A231}"/>
    <cellStyle name="Normal 3 2" xfId="5" xr:uid="{DE3BF41B-660B-46ED-9822-F3DCBFAFCEDF}"/>
    <cellStyle name="Normal 6" xfId="6" xr:uid="{291E598F-2972-4A45-BCAA-B5B12F1CF8A3}"/>
    <cellStyle name="Normal 7" xfId="7" xr:uid="{E4EF24E4-D73A-4810-96B3-5502B4F9F7CB}"/>
    <cellStyle name="Normal 9" xfId="3" xr:uid="{4482026B-1538-4A29-A6FF-C76B8A94EDE7}"/>
    <cellStyle name="Percent" xfId="2" builtinId="5"/>
  </cellStyles>
  <dxfs count="135">
    <dxf>
      <fill>
        <patternFill patternType="solid">
          <fgColor rgb="FFBDD7E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16EF5"/>
      <color rgb="FFE1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0C6F3923-EBCF-4DBB-9999-CCB85304A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63333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E38EADFB-6F1E-4871-A9B2-BE420F4D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F95E8580-156C-4D4B-A861-D01645590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8FD1CD8F-4737-4EC0-BB88-6C2F466BB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EEA7A859-B40B-45C6-8918-622DF976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93CB8DE5-F417-49BA-8505-E20E258A1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489016C2-FCC5-4569-9182-9EED9F6CB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5DAB2C1F-C7DE-4901-8DAB-2A35A88D5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1239A46F-F23B-492A-A9F8-BE7BCF5C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6C7E82E7-9FF7-4A4D-88C3-DDF798F5F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E4E912DF-C0F3-4933-8E9D-256B5EB7E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1160583</xdr:colOff>
      <xdr:row>0</xdr:row>
      <xdr:rowOff>17584</xdr:rowOff>
    </xdr:from>
    <xdr:ext cx="1855935" cy="1136772"/>
    <xdr:pic>
      <xdr:nvPicPr>
        <xdr:cNvPr id="2" name="Picture 1">
          <a:extLst>
            <a:ext uri="{FF2B5EF4-FFF2-40B4-BE49-F238E27FC236}">
              <a16:creationId xmlns:a16="http://schemas.microsoft.com/office/drawing/2014/main" id="{938BD0E4-18C0-4184-8839-1382B4CFB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4528" y="17584"/>
          <a:ext cx="1855935" cy="11367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B452-98C5-4757-8788-C99B90890485}">
  <dimension ref="A1:CN141"/>
  <sheetViews>
    <sheetView zoomScaleNormal="100" workbookViewId="0">
      <pane xSplit="2" ySplit="2" topLeftCell="C100" activePane="bottomRight" state="frozen"/>
      <selection pane="bottomRight" activeCell="E117" sqref="E117"/>
      <selection pane="bottomLeft" activeCell="A3" sqref="A3"/>
      <selection pane="topRight" activeCell="C1" sqref="C1"/>
    </sheetView>
  </sheetViews>
  <sheetFormatPr defaultColWidth="8.7109375" defaultRowHeight="14.45"/>
  <cols>
    <col min="1" max="1" width="19.7109375" style="8" customWidth="1"/>
    <col min="2" max="2" width="7" style="8" bestFit="1" customWidth="1"/>
    <col min="3" max="3" width="5.140625" style="8" customWidth="1"/>
    <col min="4" max="4" width="6.28515625" style="9" hidden="1" customWidth="1"/>
    <col min="5" max="5" width="6.28515625" style="9" customWidth="1"/>
    <col min="6" max="6" width="6.85546875" style="8" bestFit="1" customWidth="1"/>
    <col min="7" max="7" width="7.7109375" style="7" bestFit="1" customWidth="1"/>
    <col min="8" max="8" width="10.7109375" style="6" customWidth="1"/>
    <col min="9" max="9" width="10.7109375" style="5" customWidth="1"/>
    <col min="10" max="10" width="15.140625" style="5" customWidth="1"/>
    <col min="11" max="11" width="10.7109375" style="5" customWidth="1"/>
    <col min="12" max="12" width="11.42578125" style="1" customWidth="1"/>
    <col min="13" max="13" width="11.140625" style="1" customWidth="1"/>
    <col min="14" max="14" width="10.7109375" style="3" customWidth="1"/>
    <col min="15" max="15" width="11.140625" style="2" customWidth="1"/>
    <col min="16" max="18" width="12.28515625" style="1" customWidth="1"/>
    <col min="19" max="19" width="10" style="3" customWidth="1"/>
    <col min="20" max="20" width="10" style="2" bestFit="1" customWidth="1"/>
    <col min="21" max="21" width="9.28515625" style="2" customWidth="1"/>
    <col min="22" max="22" width="12.140625" style="1" customWidth="1"/>
    <col min="23" max="24" width="12.28515625" style="1" customWidth="1"/>
    <col min="25" max="25" width="10.42578125" style="3" customWidth="1"/>
    <col min="26" max="26" width="9.85546875" style="2" customWidth="1"/>
    <col min="27" max="29" width="12.28515625" style="1" customWidth="1"/>
    <col min="30" max="30" width="10.140625" style="3" customWidth="1"/>
    <col min="31" max="32" width="12.28515625" style="2" customWidth="1"/>
    <col min="33" max="33" width="12.28515625" style="4" customWidth="1"/>
    <col min="34" max="34" width="10.85546875" style="2" customWidth="1"/>
    <col min="35" max="35" width="10.140625" style="2" customWidth="1"/>
    <col min="36" max="38" width="12.28515625" style="1" customWidth="1"/>
    <col min="39" max="39" width="10.28515625" style="3" customWidth="1"/>
    <col min="40" max="40" width="10" style="2" customWidth="1"/>
    <col min="41" max="41" width="12" style="1" customWidth="1"/>
    <col min="42" max="43" width="12.28515625" style="1" customWidth="1"/>
    <col min="44" max="44" width="10.5703125" style="3" customWidth="1"/>
    <col min="45" max="45" width="11.7109375" style="2" customWidth="1"/>
    <col min="46" max="48" width="12.28515625" style="1" customWidth="1"/>
    <col min="49" max="49" width="10.140625" style="3" customWidth="1"/>
    <col min="50" max="51" width="12.28515625" style="2" customWidth="1"/>
    <col min="52" max="52" width="12.28515625" style="4" customWidth="1"/>
    <col min="53" max="53" width="10.28515625" style="3" customWidth="1"/>
    <col min="54" max="54" width="9.85546875" style="2" customWidth="1"/>
    <col min="55" max="57" width="12.28515625" style="1" customWidth="1"/>
    <col min="58" max="58" width="9.7109375" style="3" customWidth="1"/>
    <col min="59" max="59" width="9.7109375" style="2" customWidth="1"/>
    <col min="60" max="62" width="12.28515625" style="1" customWidth="1"/>
    <col min="63" max="63" width="10" style="3" customWidth="1"/>
    <col min="64" max="64" width="9.5703125" style="2" customWidth="1"/>
    <col min="65" max="65" width="11.28515625" style="1" customWidth="1"/>
    <col min="66" max="67" width="12.28515625" style="1" customWidth="1"/>
    <col min="68" max="68" width="10.140625" style="3" customWidth="1"/>
    <col min="69" max="70" width="12.28515625" style="2" customWidth="1"/>
    <col min="71" max="71" width="12.28515625" style="4" customWidth="1"/>
    <col min="72" max="72" width="10" style="3" customWidth="1"/>
    <col min="73" max="73" width="10" style="2" bestFit="1" customWidth="1"/>
    <col min="74" max="74" width="11.5703125" style="1" customWidth="1"/>
    <col min="75" max="76" width="12.28515625" style="1" customWidth="1"/>
    <col min="77" max="77" width="9.28515625" style="3" customWidth="1"/>
    <col min="78" max="78" width="8" style="2" customWidth="1"/>
    <col min="79" max="79" width="12.140625" style="1" customWidth="1"/>
    <col min="80" max="81" width="12.28515625" style="1" customWidth="1"/>
    <col min="82" max="82" width="9.85546875" style="3" customWidth="1"/>
    <col min="83" max="83" width="9.28515625" style="2" customWidth="1"/>
    <col min="84" max="85" width="11.7109375" style="1" customWidth="1"/>
    <col min="86" max="87" width="12.28515625" style="1" customWidth="1"/>
    <col min="88" max="88" width="10.140625" style="3" customWidth="1"/>
    <col min="89" max="91" width="12.28515625" style="2" customWidth="1"/>
    <col min="92" max="92" width="12.28515625" style="4" customWidth="1"/>
  </cols>
  <sheetData>
    <row r="1" spans="1:92">
      <c r="A1" s="61" t="s">
        <v>0</v>
      </c>
      <c r="B1" s="61"/>
      <c r="C1" s="61"/>
      <c r="D1" s="60"/>
      <c r="E1" s="60"/>
      <c r="I1" s="59"/>
      <c r="J1" s="58"/>
      <c r="K1" s="58"/>
      <c r="L1" s="57"/>
      <c r="M1" s="56"/>
      <c r="N1" s="171" t="s">
        <v>1</v>
      </c>
      <c r="O1" s="171"/>
      <c r="P1" s="171"/>
      <c r="Q1" s="171"/>
      <c r="R1" s="172"/>
      <c r="S1" s="176" t="s">
        <v>2</v>
      </c>
      <c r="T1" s="171"/>
      <c r="U1" s="171"/>
      <c r="V1" s="171"/>
      <c r="W1" s="171"/>
      <c r="X1" s="172"/>
      <c r="Y1" s="176" t="s">
        <v>3</v>
      </c>
      <c r="Z1" s="171"/>
      <c r="AA1" s="171"/>
      <c r="AB1" s="171"/>
      <c r="AC1" s="172"/>
      <c r="AD1" s="168" t="s">
        <v>4</v>
      </c>
      <c r="AE1" s="169"/>
      <c r="AF1" s="169"/>
      <c r="AG1" s="170"/>
      <c r="AH1" s="173" t="s">
        <v>5</v>
      </c>
      <c r="AI1" s="174"/>
      <c r="AJ1" s="174"/>
      <c r="AK1" s="174"/>
      <c r="AL1" s="175"/>
      <c r="AM1" s="176" t="s">
        <v>6</v>
      </c>
      <c r="AN1" s="171"/>
      <c r="AO1" s="171"/>
      <c r="AP1" s="171"/>
      <c r="AQ1" s="172"/>
      <c r="AR1" s="176" t="s">
        <v>7</v>
      </c>
      <c r="AS1" s="171"/>
      <c r="AT1" s="171"/>
      <c r="AU1" s="171"/>
      <c r="AV1" s="172"/>
      <c r="AW1" s="168" t="s">
        <v>8</v>
      </c>
      <c r="AX1" s="169"/>
      <c r="AY1" s="169"/>
      <c r="AZ1" s="170"/>
      <c r="BA1" s="176" t="s">
        <v>9</v>
      </c>
      <c r="BB1" s="171"/>
      <c r="BC1" s="171"/>
      <c r="BD1" s="171"/>
      <c r="BE1" s="172"/>
      <c r="BF1" s="176" t="s">
        <v>10</v>
      </c>
      <c r="BG1" s="171"/>
      <c r="BH1" s="171"/>
      <c r="BI1" s="171"/>
      <c r="BJ1" s="172"/>
      <c r="BK1" s="176" t="s">
        <v>11</v>
      </c>
      <c r="BL1" s="171"/>
      <c r="BM1" s="171"/>
      <c r="BN1" s="171"/>
      <c r="BO1" s="172"/>
      <c r="BP1" s="168" t="s">
        <v>12</v>
      </c>
      <c r="BQ1" s="169"/>
      <c r="BR1" s="169"/>
      <c r="BS1" s="170"/>
      <c r="BT1" s="176" t="s">
        <v>13</v>
      </c>
      <c r="BU1" s="171"/>
      <c r="BV1" s="171"/>
      <c r="BW1" s="171"/>
      <c r="BX1" s="172"/>
      <c r="BY1" s="176" t="s">
        <v>14</v>
      </c>
      <c r="BZ1" s="171"/>
      <c r="CA1" s="171"/>
      <c r="CB1" s="171"/>
      <c r="CC1" s="172"/>
      <c r="CD1" s="176" t="s">
        <v>15</v>
      </c>
      <c r="CE1" s="171"/>
      <c r="CF1" s="171"/>
      <c r="CG1" s="171"/>
      <c r="CH1" s="171"/>
      <c r="CI1" s="172"/>
      <c r="CJ1" s="168" t="s">
        <v>16</v>
      </c>
      <c r="CK1" s="169"/>
      <c r="CL1" s="169"/>
      <c r="CM1" s="169"/>
      <c r="CN1" s="170"/>
    </row>
    <row r="2" spans="1:92" s="42" customFormat="1" ht="62.45" customHeight="1">
      <c r="A2" s="53" t="s">
        <v>17</v>
      </c>
      <c r="B2" s="53"/>
      <c r="C2" s="53" t="s">
        <v>18</v>
      </c>
      <c r="D2" s="55" t="s">
        <v>19</v>
      </c>
      <c r="E2" s="54" t="s">
        <v>20</v>
      </c>
      <c r="F2" s="53" t="s">
        <v>21</v>
      </c>
      <c r="G2" s="52" t="s">
        <v>22</v>
      </c>
      <c r="H2" s="51" t="s">
        <v>23</v>
      </c>
      <c r="I2" s="50" t="s">
        <v>24</v>
      </c>
      <c r="J2" s="49" t="s">
        <v>25</v>
      </c>
      <c r="K2" s="49" t="s">
        <v>26</v>
      </c>
      <c r="L2" s="43" t="s">
        <v>27</v>
      </c>
      <c r="M2" s="48" t="s">
        <v>28</v>
      </c>
      <c r="N2" s="44" t="s">
        <v>29</v>
      </c>
      <c r="O2" s="44" t="s">
        <v>30</v>
      </c>
      <c r="P2" s="43" t="s">
        <v>31</v>
      </c>
      <c r="Q2" s="43" t="s">
        <v>32</v>
      </c>
      <c r="R2" s="43" t="s">
        <v>33</v>
      </c>
      <c r="S2" s="45" t="s">
        <v>29</v>
      </c>
      <c r="T2" s="44" t="s">
        <v>30</v>
      </c>
      <c r="U2" s="153" t="s">
        <v>34</v>
      </c>
      <c r="V2" s="152" t="s">
        <v>35</v>
      </c>
      <c r="W2" s="152" t="s">
        <v>36</v>
      </c>
      <c r="X2" s="43" t="s">
        <v>33</v>
      </c>
      <c r="Y2" s="160" t="s">
        <v>29</v>
      </c>
      <c r="Z2" s="44" t="s">
        <v>30</v>
      </c>
      <c r="AA2" s="152" t="s">
        <v>37</v>
      </c>
      <c r="AB2" s="152" t="s">
        <v>38</v>
      </c>
      <c r="AC2" s="43" t="s">
        <v>33</v>
      </c>
      <c r="AD2" s="45" t="s">
        <v>30</v>
      </c>
      <c r="AE2" s="47" t="s">
        <v>39</v>
      </c>
      <c r="AF2" s="47" t="s">
        <v>40</v>
      </c>
      <c r="AG2" s="46" t="s">
        <v>33</v>
      </c>
      <c r="AH2" s="44" t="s">
        <v>29</v>
      </c>
      <c r="AI2" s="44" t="s">
        <v>30</v>
      </c>
      <c r="AJ2" s="152" t="s">
        <v>41</v>
      </c>
      <c r="AK2" s="152" t="s">
        <v>42</v>
      </c>
      <c r="AL2" s="43" t="s">
        <v>33</v>
      </c>
      <c r="AM2" s="45" t="s">
        <v>29</v>
      </c>
      <c r="AN2" s="44" t="s">
        <v>30</v>
      </c>
      <c r="AO2" s="152" t="s">
        <v>43</v>
      </c>
      <c r="AP2" s="152" t="s">
        <v>44</v>
      </c>
      <c r="AQ2" s="43" t="s">
        <v>33</v>
      </c>
      <c r="AR2" s="45" t="s">
        <v>29</v>
      </c>
      <c r="AS2" s="44" t="s">
        <v>30</v>
      </c>
      <c r="AT2" s="152" t="s">
        <v>45</v>
      </c>
      <c r="AU2" s="152" t="s">
        <v>46</v>
      </c>
      <c r="AV2" s="43" t="s">
        <v>33</v>
      </c>
      <c r="AW2" s="149" t="s">
        <v>30</v>
      </c>
      <c r="AX2" s="150" t="s">
        <v>39</v>
      </c>
      <c r="AY2" s="150" t="s">
        <v>40</v>
      </c>
      <c r="AZ2" s="151" t="s">
        <v>33</v>
      </c>
      <c r="BA2" s="45" t="s">
        <v>29</v>
      </c>
      <c r="BB2" s="44" t="s">
        <v>30</v>
      </c>
      <c r="BC2" s="152" t="s">
        <v>47</v>
      </c>
      <c r="BD2" s="152" t="s">
        <v>48</v>
      </c>
      <c r="BE2" s="43" t="s">
        <v>33</v>
      </c>
      <c r="BF2" s="45" t="s">
        <v>29</v>
      </c>
      <c r="BG2" s="44" t="s">
        <v>30</v>
      </c>
      <c r="BH2" s="152" t="s">
        <v>49</v>
      </c>
      <c r="BI2" s="152" t="s">
        <v>50</v>
      </c>
      <c r="BJ2" s="43" t="s">
        <v>33</v>
      </c>
      <c r="BK2" s="45" t="s">
        <v>29</v>
      </c>
      <c r="BL2" s="44" t="s">
        <v>30</v>
      </c>
      <c r="BM2" s="152" t="s">
        <v>51</v>
      </c>
      <c r="BN2" s="152" t="s">
        <v>52</v>
      </c>
      <c r="BO2" s="43" t="s">
        <v>33</v>
      </c>
      <c r="BP2" s="149" t="s">
        <v>30</v>
      </c>
      <c r="BQ2" s="150" t="s">
        <v>39</v>
      </c>
      <c r="BR2" s="150" t="s">
        <v>40</v>
      </c>
      <c r="BS2" s="151" t="s">
        <v>33</v>
      </c>
      <c r="BT2" s="45" t="s">
        <v>29</v>
      </c>
      <c r="BU2" s="44" t="s">
        <v>30</v>
      </c>
      <c r="BV2" s="152" t="s">
        <v>53</v>
      </c>
      <c r="BW2" s="152" t="s">
        <v>54</v>
      </c>
      <c r="BX2" s="43" t="s">
        <v>33</v>
      </c>
      <c r="BY2" s="45" t="s">
        <v>29</v>
      </c>
      <c r="BZ2" s="44" t="s">
        <v>30</v>
      </c>
      <c r="CA2" s="152" t="s">
        <v>55</v>
      </c>
      <c r="CB2" s="152" t="s">
        <v>56</v>
      </c>
      <c r="CC2" s="43" t="s">
        <v>33</v>
      </c>
      <c r="CD2" s="45" t="s">
        <v>29</v>
      </c>
      <c r="CE2" s="44" t="s">
        <v>30</v>
      </c>
      <c r="CF2" s="152" t="s">
        <v>57</v>
      </c>
      <c r="CG2" s="152" t="s">
        <v>58</v>
      </c>
      <c r="CH2" s="152" t="s">
        <v>59</v>
      </c>
      <c r="CI2" s="43" t="s">
        <v>33</v>
      </c>
      <c r="CJ2" s="149" t="s">
        <v>30</v>
      </c>
      <c r="CK2" s="150" t="s">
        <v>39</v>
      </c>
      <c r="CL2" s="150" t="s">
        <v>60</v>
      </c>
      <c r="CM2" s="150" t="s">
        <v>61</v>
      </c>
      <c r="CN2" s="151" t="s">
        <v>33</v>
      </c>
    </row>
    <row r="3" spans="1:92">
      <c r="A3" s="35" t="s">
        <v>62</v>
      </c>
      <c r="B3" s="8" t="s">
        <v>63</v>
      </c>
      <c r="C3" s="8" t="s">
        <v>64</v>
      </c>
      <c r="D3" s="9" t="s">
        <v>65</v>
      </c>
      <c r="E3" s="36" t="s">
        <v>66</v>
      </c>
      <c r="F3" s="12" t="s">
        <v>67</v>
      </c>
      <c r="G3" s="7">
        <v>0.87</v>
      </c>
      <c r="H3" s="34">
        <v>0</v>
      </c>
      <c r="I3" s="33">
        <v>0</v>
      </c>
      <c r="J3" s="1">
        <v>0</v>
      </c>
      <c r="K3" s="1">
        <v>0</v>
      </c>
      <c r="L3" s="1">
        <v>0</v>
      </c>
      <c r="M3" s="32">
        <v>0</v>
      </c>
      <c r="N3" s="2">
        <f>H3</f>
        <v>0</v>
      </c>
      <c r="O3" s="2">
        <f>SUMIF('January 2027'!$B:$B,'PTO SUMMARY 2027'!B3,'January 2027'!$AK:$AK)</f>
        <v>0</v>
      </c>
      <c r="P3" s="1">
        <f t="shared" ref="P3:P35" si="0">L3+M3+N3-O3</f>
        <v>0</v>
      </c>
      <c r="Q3" s="1">
        <v>0</v>
      </c>
      <c r="R3" s="1">
        <v>0</v>
      </c>
      <c r="S3" s="3">
        <f>H3</f>
        <v>0</v>
      </c>
      <c r="T3" s="2">
        <f>SUMIF('February 2027'!$B:$B,'PTO SUMMARY 2027'!G3,'February 2027'!$AK:$AK)</f>
        <v>0</v>
      </c>
      <c r="U3" s="154">
        <v>0</v>
      </c>
      <c r="V3" s="1">
        <f t="shared" ref="V3:V35" si="1">P3+S3-T3</f>
        <v>0</v>
      </c>
      <c r="W3" s="1">
        <v>0</v>
      </c>
      <c r="X3" s="1">
        <v>0</v>
      </c>
      <c r="Y3" s="3">
        <f>H3</f>
        <v>0</v>
      </c>
      <c r="Z3" s="2">
        <f>SUMIF('March 2027'!$B:$B,'PTO SUMMARY 2027'!M3,'March 2027'!$AK:$AK)</f>
        <v>0</v>
      </c>
      <c r="AA3" s="1">
        <f t="shared" ref="AA3:AA17" si="2">V3+Y3-Z3</f>
        <v>0</v>
      </c>
      <c r="AB3" s="1">
        <v>0</v>
      </c>
      <c r="AC3" s="1">
        <v>0</v>
      </c>
      <c r="AD3" s="3">
        <v>0</v>
      </c>
      <c r="AE3" s="31">
        <f t="shared" ref="AE3:AE34" si="3">K3-AD3</f>
        <v>0</v>
      </c>
      <c r="AF3" s="31">
        <v>0</v>
      </c>
      <c r="AG3" s="30">
        <f t="shared" ref="AG3:AG35" si="4">AE3-AF3</f>
        <v>0</v>
      </c>
      <c r="AH3" s="2">
        <f>H3</f>
        <v>0</v>
      </c>
      <c r="AI3" s="2">
        <f>SUMIF('April 2027'!$B:$B,'PTO SUMMARY 2027'!V3,'April 2027'!$AK:$AK)</f>
        <v>0</v>
      </c>
      <c r="AJ3" s="1">
        <f t="shared" ref="AJ3:AJ35" si="5">AA3+AH3-AI3</f>
        <v>0</v>
      </c>
      <c r="AK3" s="1">
        <v>0</v>
      </c>
      <c r="AL3" s="1">
        <v>0</v>
      </c>
      <c r="AM3" s="3">
        <f>H3</f>
        <v>0</v>
      </c>
      <c r="AN3" s="2">
        <f>SUMIF('May 2027'!$B:$B,'PTO SUMMARY 2027'!AA3,'May 2027'!$AK:$AK)</f>
        <v>0</v>
      </c>
      <c r="AO3" s="1">
        <f t="shared" ref="AO3:AO35" si="6">ROUND((AJ3+AM3-AN3),2)</f>
        <v>0</v>
      </c>
      <c r="AP3" s="1">
        <v>0</v>
      </c>
      <c r="AQ3" s="1">
        <v>0</v>
      </c>
      <c r="AR3" s="3">
        <f>H3</f>
        <v>0</v>
      </c>
      <c r="AS3" s="2">
        <f>SUMIF('June 2027'!$B:$B,'PTO SUMMARY 2027'!AF3,'June 2027'!$AK:$AK)</f>
        <v>0</v>
      </c>
      <c r="AT3" s="1">
        <f t="shared" ref="AT3:AT35" si="7">AO3+AR3-AS3</f>
        <v>0</v>
      </c>
      <c r="AU3" s="1">
        <v>0</v>
      </c>
      <c r="AV3" s="1">
        <v>0</v>
      </c>
      <c r="AW3" s="3">
        <v>0</v>
      </c>
      <c r="AX3" s="31">
        <v>0</v>
      </c>
      <c r="AY3" s="31">
        <v>0</v>
      </c>
      <c r="AZ3" s="30">
        <f t="shared" ref="AZ3:AZ66" si="8">AX3-AY3</f>
        <v>0</v>
      </c>
      <c r="BA3" s="3">
        <f>H3</f>
        <v>0</v>
      </c>
      <c r="BB3" s="2">
        <f>SUMIF('July 2027'!$B:$B,'PTO SUMMARY 2027'!AK3,'July 2027'!$AK:$AK)</f>
        <v>0</v>
      </c>
      <c r="BC3" s="1">
        <f t="shared" ref="BC3:BC66" si="9">AT3+BA3-BB3</f>
        <v>0</v>
      </c>
      <c r="BD3" s="1">
        <v>0</v>
      </c>
      <c r="BE3" s="1">
        <v>0</v>
      </c>
      <c r="BF3" s="3">
        <f>H3</f>
        <v>0</v>
      </c>
      <c r="BG3" s="2">
        <f>SUMIF('August 2027'!$B:$B,'PTO SUMMARY 2027'!AP3,'August 2027'!$AK:$AK)</f>
        <v>0</v>
      </c>
      <c r="BH3" s="1">
        <f t="shared" ref="BH3:BH40" si="10">BC3+BF3-BG3</f>
        <v>0</v>
      </c>
      <c r="BI3" s="1">
        <v>0</v>
      </c>
      <c r="BJ3" s="1">
        <v>0</v>
      </c>
      <c r="BK3" s="3">
        <f>H3</f>
        <v>0</v>
      </c>
      <c r="BL3" s="2">
        <f>SUMIF('September 2027'!$B:$B,'PTO SUMMARY 2027'!AU3,'September 2027'!$AK:$AK)</f>
        <v>0</v>
      </c>
      <c r="BM3" s="1">
        <f t="shared" ref="BM3:BM35" si="11">BH3+BK3-BL3</f>
        <v>0</v>
      </c>
      <c r="BN3" s="1">
        <v>0</v>
      </c>
      <c r="BO3" s="1">
        <v>0</v>
      </c>
      <c r="BP3" s="3">
        <v>0</v>
      </c>
      <c r="BQ3" s="31">
        <v>0</v>
      </c>
      <c r="BR3" s="31">
        <v>0</v>
      </c>
      <c r="BS3" s="30">
        <f t="shared" ref="BS3:BS65" si="12">BQ3-BR3</f>
        <v>0</v>
      </c>
      <c r="BT3" s="3">
        <f>H3</f>
        <v>0</v>
      </c>
      <c r="BU3" s="2">
        <f>SUMIF('October 2027'!$B:$B,'PTO SUMMARY 2027'!BH3,'October 2027'!$AK:$AK)</f>
        <v>0</v>
      </c>
      <c r="BV3" s="1">
        <f t="shared" ref="BV3:BV35" si="13">BM3+BT3-BU3</f>
        <v>0</v>
      </c>
      <c r="BW3" s="1">
        <v>0</v>
      </c>
      <c r="BX3" s="1">
        <v>0</v>
      </c>
      <c r="BY3" s="3">
        <f>H3</f>
        <v>0</v>
      </c>
      <c r="BZ3" s="2">
        <f>SUMIF('November 2027'!$B:$B,'PTO SUMMARY 2027'!BM3,'November 2027'!$AK:$AK)</f>
        <v>0</v>
      </c>
      <c r="CA3" s="1">
        <f t="shared" ref="CA3:CA35" si="14">BV3+BY3-BZ3</f>
        <v>0</v>
      </c>
      <c r="CB3" s="1">
        <v>0</v>
      </c>
      <c r="CC3" s="1">
        <v>0</v>
      </c>
      <c r="CD3" s="3">
        <f>H3</f>
        <v>0</v>
      </c>
      <c r="CE3" s="2">
        <f>SUMIF('December 2027'!$B:$B,'PTO SUMMARY 2027'!$B:$B,'December 2027'!$AK:$AK)</f>
        <v>0</v>
      </c>
      <c r="CF3" s="1">
        <f t="shared" ref="CF3:CF35" si="15">CA3+CD3-CE3</f>
        <v>0</v>
      </c>
      <c r="CG3" s="1">
        <v>0</v>
      </c>
      <c r="CH3" s="1">
        <v>0</v>
      </c>
      <c r="CI3" s="1">
        <v>0</v>
      </c>
      <c r="CJ3" s="3">
        <v>0</v>
      </c>
      <c r="CK3" s="31">
        <v>0</v>
      </c>
      <c r="CL3" s="31">
        <v>0</v>
      </c>
      <c r="CM3" s="31">
        <v>0</v>
      </c>
      <c r="CN3" s="30">
        <f>CK3+CL3-CM3</f>
        <v>0</v>
      </c>
    </row>
    <row r="4" spans="1:92">
      <c r="A4" s="8" t="s">
        <v>68</v>
      </c>
      <c r="B4" s="8" t="s">
        <v>69</v>
      </c>
      <c r="C4" s="8" t="s">
        <v>64</v>
      </c>
      <c r="D4" s="9" t="s">
        <v>70</v>
      </c>
      <c r="E4" t="s">
        <v>71</v>
      </c>
      <c r="F4" s="12" t="s">
        <v>72</v>
      </c>
      <c r="G4" s="7">
        <v>1</v>
      </c>
      <c r="H4" s="11">
        <f>((G4*86.67)*2)*(SUMIF('Accrual Rates'!B:B,'PTO SUMMARY 2027'!B4,'Accrual Rates'!G:G))</f>
        <v>15.999975360000001</v>
      </c>
      <c r="I4" s="33">
        <v>0</v>
      </c>
      <c r="J4" s="1">
        <v>0</v>
      </c>
      <c r="K4" s="1">
        <v>0</v>
      </c>
      <c r="L4" s="1">
        <v>0</v>
      </c>
      <c r="M4" s="32">
        <v>0</v>
      </c>
      <c r="N4" s="2">
        <f t="shared" ref="N4:N67" si="16">H4</f>
        <v>15.999975360000001</v>
      </c>
      <c r="O4" s="2">
        <f>SUMIF('January 2027'!$B:$B,'PTO SUMMARY 2027'!B4,'January 2027'!$AK:$AK)</f>
        <v>0</v>
      </c>
      <c r="P4" s="1">
        <f t="shared" si="0"/>
        <v>15.999975360000001</v>
      </c>
      <c r="Q4" s="1">
        <v>0</v>
      </c>
      <c r="R4" s="1">
        <v>0</v>
      </c>
      <c r="S4" s="3">
        <f t="shared" ref="S4:S67" si="17">H4</f>
        <v>15.999975360000001</v>
      </c>
      <c r="T4" s="2">
        <f>SUMIF('February 2027'!$B:$B,'PTO SUMMARY 2027'!G4,'February 2027'!$AK:$AK)</f>
        <v>0</v>
      </c>
      <c r="U4" s="154">
        <v>0</v>
      </c>
      <c r="V4" s="1">
        <f t="shared" si="1"/>
        <v>31.999950720000001</v>
      </c>
      <c r="W4" s="1">
        <v>0</v>
      </c>
      <c r="X4" s="1">
        <v>0</v>
      </c>
      <c r="Y4" s="3">
        <f t="shared" ref="Y4:Y67" si="18">H4</f>
        <v>15.999975360000001</v>
      </c>
      <c r="Z4" s="2">
        <f>SUMIF('March 2027'!$B:$B,'PTO SUMMARY 2027'!M4,'March 2027'!$AK:$AK)</f>
        <v>0</v>
      </c>
      <c r="AA4" s="1">
        <f t="shared" si="2"/>
        <v>47.999926080000002</v>
      </c>
      <c r="AB4" s="1">
        <v>0</v>
      </c>
      <c r="AC4" s="1">
        <v>0</v>
      </c>
      <c r="AD4" s="3">
        <v>0</v>
      </c>
      <c r="AE4" s="31">
        <f t="shared" si="3"/>
        <v>0</v>
      </c>
      <c r="AF4" s="31">
        <v>0</v>
      </c>
      <c r="AG4" s="30">
        <f t="shared" si="4"/>
        <v>0</v>
      </c>
      <c r="AH4" s="2">
        <f t="shared" ref="AH4:AH67" si="19">H4</f>
        <v>15.999975360000001</v>
      </c>
      <c r="AI4" s="2">
        <f>SUMIF('April 2027'!$B:$B,'PTO SUMMARY 2027'!V4,'April 2027'!$AK:$AK)</f>
        <v>0</v>
      </c>
      <c r="AJ4" s="1">
        <f t="shared" si="5"/>
        <v>63.999901440000002</v>
      </c>
      <c r="AK4" s="1">
        <v>0</v>
      </c>
      <c r="AL4" s="1">
        <v>0</v>
      </c>
      <c r="AM4" s="3">
        <f t="shared" ref="AM4:AM67" si="20">H4</f>
        <v>15.999975360000001</v>
      </c>
      <c r="AN4" s="2">
        <f>SUMIF('May 2027'!$B:$B,'PTO SUMMARY 2027'!AA4,'May 2027'!$AK:$AK)</f>
        <v>0</v>
      </c>
      <c r="AO4" s="1">
        <f t="shared" si="6"/>
        <v>80</v>
      </c>
      <c r="AP4" s="1">
        <v>0</v>
      </c>
      <c r="AQ4" s="1">
        <v>0</v>
      </c>
      <c r="AR4" s="3">
        <f t="shared" ref="AR4:AR67" si="21">H4</f>
        <v>15.999975360000001</v>
      </c>
      <c r="AS4" s="2">
        <f>SUMIF('June 2027'!$B:$B,'PTO SUMMARY 2027'!AF4,'June 2027'!$AK:$AK)</f>
        <v>0</v>
      </c>
      <c r="AT4" s="1">
        <f t="shared" si="7"/>
        <v>95.999975360000008</v>
      </c>
      <c r="AU4" s="1">
        <v>0</v>
      </c>
      <c r="AV4" s="1">
        <v>0</v>
      </c>
      <c r="AW4" s="3">
        <v>0</v>
      </c>
      <c r="AX4" s="31">
        <v>0</v>
      </c>
      <c r="AY4" s="31">
        <v>0</v>
      </c>
      <c r="AZ4" s="30">
        <f t="shared" si="8"/>
        <v>0</v>
      </c>
      <c r="BA4" s="3">
        <f t="shared" ref="BA4:BA67" si="22">H4</f>
        <v>15.999975360000001</v>
      </c>
      <c r="BB4" s="2">
        <f>SUMIF('July 2027'!$B:$B,'PTO SUMMARY 2027'!AK4,'July 2027'!$AK:$AK)</f>
        <v>0</v>
      </c>
      <c r="BC4" s="1">
        <f t="shared" si="9"/>
        <v>111.99995072000002</v>
      </c>
      <c r="BD4" s="1">
        <v>0</v>
      </c>
      <c r="BE4" s="1">
        <v>0</v>
      </c>
      <c r="BF4" s="3">
        <f t="shared" ref="BF4:BF67" si="23">H4</f>
        <v>15.999975360000001</v>
      </c>
      <c r="BG4" s="2">
        <f>SUMIF('August 2027'!$B:$B,'PTO SUMMARY 2027'!AP4,'August 2027'!$AK:$AK)</f>
        <v>0</v>
      </c>
      <c r="BH4" s="1">
        <f t="shared" si="10"/>
        <v>127.99992608000002</v>
      </c>
      <c r="BI4" s="1">
        <v>0</v>
      </c>
      <c r="BJ4" s="1">
        <v>0</v>
      </c>
      <c r="BK4" s="3">
        <f t="shared" ref="BK4:BK67" si="24">H4</f>
        <v>15.999975360000001</v>
      </c>
      <c r="BL4" s="2">
        <f>SUMIF('September 2027'!$B:$B,'PTO SUMMARY 2027'!AU4,'September 2027'!$AK:$AK)</f>
        <v>0</v>
      </c>
      <c r="BM4" s="1">
        <f t="shared" si="11"/>
        <v>143.99990144000003</v>
      </c>
      <c r="BN4" s="1">
        <v>0</v>
      </c>
      <c r="BO4" s="1">
        <v>0</v>
      </c>
      <c r="BP4" s="3">
        <v>0</v>
      </c>
      <c r="BQ4" s="31">
        <v>0</v>
      </c>
      <c r="BR4" s="31">
        <v>0</v>
      </c>
      <c r="BS4" s="30">
        <f t="shared" si="12"/>
        <v>0</v>
      </c>
      <c r="BT4" s="3">
        <f t="shared" ref="BT4:BT67" si="25">H4</f>
        <v>15.999975360000001</v>
      </c>
      <c r="BU4" s="2">
        <f>SUMIF('October 2027'!$B:$B,'PTO SUMMARY 2027'!BH4,'October 2027'!$AK:$AK)</f>
        <v>0</v>
      </c>
      <c r="BV4" s="1">
        <f t="shared" si="13"/>
        <v>159.99987680000004</v>
      </c>
      <c r="BW4" s="1">
        <v>0</v>
      </c>
      <c r="BX4" s="1">
        <v>0</v>
      </c>
      <c r="BY4" s="3">
        <f t="shared" ref="BY4:BY67" si="26">H4</f>
        <v>15.999975360000001</v>
      </c>
      <c r="BZ4" s="2">
        <f>SUMIF('November 2027'!$B:$B,'PTO SUMMARY 2027'!BM4,'November 2027'!$AK:$AK)</f>
        <v>0</v>
      </c>
      <c r="CA4" s="1">
        <f t="shared" si="14"/>
        <v>175.99985216000005</v>
      </c>
      <c r="CB4" s="1">
        <v>0</v>
      </c>
      <c r="CC4" s="1">
        <v>0</v>
      </c>
      <c r="CD4" s="3">
        <f t="shared" ref="CD4:CD67" si="27">H4</f>
        <v>15.999975360000001</v>
      </c>
      <c r="CE4" s="2">
        <f>SUMIF('December 2027'!$B:$B,'PTO SUMMARY 2027'!$B:$B,'December 2027'!$AK:$AK)</f>
        <v>0</v>
      </c>
      <c r="CF4" s="1">
        <f t="shared" si="15"/>
        <v>191.99982752000005</v>
      </c>
      <c r="CG4" s="1">
        <v>0</v>
      </c>
      <c r="CH4" s="1">
        <v>0</v>
      </c>
      <c r="CI4" s="1">
        <v>0</v>
      </c>
      <c r="CJ4" s="3">
        <v>0</v>
      </c>
      <c r="CK4" s="31">
        <v>0</v>
      </c>
      <c r="CL4" s="31">
        <v>0</v>
      </c>
      <c r="CM4" s="31">
        <v>0</v>
      </c>
      <c r="CN4" s="30">
        <f t="shared" ref="CN4:CN67" si="28">CK4+CL4-CM4</f>
        <v>0</v>
      </c>
    </row>
    <row r="5" spans="1:92">
      <c r="A5" s="8" t="s">
        <v>73</v>
      </c>
      <c r="B5" s="8" t="s">
        <v>74</v>
      </c>
      <c r="C5" s="8" t="s">
        <v>75</v>
      </c>
      <c r="D5" s="9" t="s">
        <v>70</v>
      </c>
      <c r="E5" t="s">
        <v>76</v>
      </c>
      <c r="F5" s="12" t="s">
        <v>77</v>
      </c>
      <c r="G5" s="7">
        <v>1</v>
      </c>
      <c r="H5" s="11">
        <f>((G5*86.67)*2)*(SUMIF('Accrual Rates'!B:B,'PTO SUMMARY 2027'!B5,'Accrual Rates'!G:G))</f>
        <v>17.33330664</v>
      </c>
      <c r="I5" s="33">
        <v>0</v>
      </c>
      <c r="J5" s="1">
        <v>0</v>
      </c>
      <c r="K5" s="1">
        <v>0</v>
      </c>
      <c r="L5" s="1">
        <v>0</v>
      </c>
      <c r="M5" s="32">
        <v>0</v>
      </c>
      <c r="N5" s="2">
        <f t="shared" si="16"/>
        <v>17.33330664</v>
      </c>
      <c r="O5" s="2">
        <f>SUMIF('January 2027'!$B:$B,'PTO SUMMARY 2027'!B5,'January 2027'!$AK:$AK)</f>
        <v>0</v>
      </c>
      <c r="P5" s="1">
        <f t="shared" si="0"/>
        <v>17.33330664</v>
      </c>
      <c r="Q5" s="1">
        <v>0</v>
      </c>
      <c r="R5" s="1">
        <v>0</v>
      </c>
      <c r="S5" s="3">
        <f t="shared" si="17"/>
        <v>17.33330664</v>
      </c>
      <c r="T5" s="2">
        <f>SUMIF('February 2027'!$B:$B,'PTO SUMMARY 2027'!G5,'February 2027'!$AK:$AK)</f>
        <v>0</v>
      </c>
      <c r="U5" s="154">
        <v>0</v>
      </c>
      <c r="V5" s="1">
        <f t="shared" si="1"/>
        <v>34.66661328</v>
      </c>
      <c r="W5" s="1">
        <v>0</v>
      </c>
      <c r="X5" s="1">
        <v>0</v>
      </c>
      <c r="Y5" s="3">
        <f t="shared" si="18"/>
        <v>17.33330664</v>
      </c>
      <c r="Z5" s="2">
        <f>SUMIF('March 2027'!$B:$B,'PTO SUMMARY 2027'!M5,'March 2027'!$AK:$AK)</f>
        <v>0</v>
      </c>
      <c r="AA5" s="1">
        <f t="shared" si="2"/>
        <v>51.999919919999996</v>
      </c>
      <c r="AB5" s="1">
        <v>0</v>
      </c>
      <c r="AC5" s="1">
        <v>0</v>
      </c>
      <c r="AD5" s="3">
        <v>0</v>
      </c>
      <c r="AE5" s="31">
        <f t="shared" si="3"/>
        <v>0</v>
      </c>
      <c r="AF5" s="31">
        <v>0</v>
      </c>
      <c r="AG5" s="30">
        <f t="shared" si="4"/>
        <v>0</v>
      </c>
      <c r="AH5" s="2">
        <f t="shared" si="19"/>
        <v>17.33330664</v>
      </c>
      <c r="AI5" s="2">
        <f>SUMIF('April 2027'!$B:$B,'PTO SUMMARY 2027'!V5,'April 2027'!$AK:$AK)</f>
        <v>0</v>
      </c>
      <c r="AJ5" s="1">
        <f t="shared" si="5"/>
        <v>69.33322656</v>
      </c>
      <c r="AK5" s="1">
        <v>0</v>
      </c>
      <c r="AL5" s="1">
        <v>0</v>
      </c>
      <c r="AM5" s="3">
        <f t="shared" si="20"/>
        <v>17.33330664</v>
      </c>
      <c r="AN5" s="2">
        <f>SUMIF('May 2027'!$B:$B,'PTO SUMMARY 2027'!AA5,'May 2027'!$AK:$AK)</f>
        <v>0</v>
      </c>
      <c r="AO5" s="1">
        <f t="shared" si="6"/>
        <v>86.67</v>
      </c>
      <c r="AP5" s="1">
        <v>0</v>
      </c>
      <c r="AQ5" s="1">
        <v>0</v>
      </c>
      <c r="AR5" s="3">
        <f t="shared" si="21"/>
        <v>17.33330664</v>
      </c>
      <c r="AS5" s="2">
        <f>SUMIF('June 2027'!$B:$B,'PTO SUMMARY 2027'!AF5,'June 2027'!$AK:$AK)</f>
        <v>0</v>
      </c>
      <c r="AT5" s="1">
        <f t="shared" si="7"/>
        <v>104.00330664000001</v>
      </c>
      <c r="AU5" s="1">
        <v>0</v>
      </c>
      <c r="AV5" s="1">
        <v>0</v>
      </c>
      <c r="AW5" s="3">
        <v>0</v>
      </c>
      <c r="AX5" s="31">
        <v>0</v>
      </c>
      <c r="AY5" s="31">
        <v>0</v>
      </c>
      <c r="AZ5" s="30">
        <f t="shared" si="8"/>
        <v>0</v>
      </c>
      <c r="BA5" s="3">
        <f t="shared" si="22"/>
        <v>17.33330664</v>
      </c>
      <c r="BB5" s="2">
        <f>SUMIF('July 2027'!$B:$B,'PTO SUMMARY 2027'!AK5,'July 2027'!$AK:$AK)</f>
        <v>0</v>
      </c>
      <c r="BC5" s="1">
        <f t="shared" si="9"/>
        <v>121.33661328000001</v>
      </c>
      <c r="BD5" s="1">
        <v>0</v>
      </c>
      <c r="BE5" s="1">
        <v>0</v>
      </c>
      <c r="BF5" s="3">
        <f t="shared" si="23"/>
        <v>17.33330664</v>
      </c>
      <c r="BG5" s="2">
        <f>SUMIF('August 2027'!$B:$B,'PTO SUMMARY 2027'!AP5,'August 2027'!$AK:$AK)</f>
        <v>0</v>
      </c>
      <c r="BH5" s="1">
        <f t="shared" si="10"/>
        <v>138.66991992000001</v>
      </c>
      <c r="BI5" s="1">
        <v>0</v>
      </c>
      <c r="BJ5" s="1">
        <v>0</v>
      </c>
      <c r="BK5" s="3">
        <f t="shared" si="24"/>
        <v>17.33330664</v>
      </c>
      <c r="BL5" s="2">
        <f>SUMIF('September 2027'!$B:$B,'PTO SUMMARY 2027'!AU5,'September 2027'!$AK:$AK)</f>
        <v>0</v>
      </c>
      <c r="BM5" s="1">
        <f t="shared" si="11"/>
        <v>156.00322656</v>
      </c>
      <c r="BN5" s="1">
        <v>0</v>
      </c>
      <c r="BO5" s="1">
        <v>0</v>
      </c>
      <c r="BP5" s="3">
        <v>0</v>
      </c>
      <c r="BQ5" s="31">
        <v>0</v>
      </c>
      <c r="BR5" s="31">
        <v>0</v>
      </c>
      <c r="BS5" s="30">
        <f t="shared" si="12"/>
        <v>0</v>
      </c>
      <c r="BT5" s="3">
        <f t="shared" si="25"/>
        <v>17.33330664</v>
      </c>
      <c r="BU5" s="2">
        <f>SUMIF('October 2027'!$B:$B,'PTO SUMMARY 2027'!BH5,'October 2027'!$AK:$AK)</f>
        <v>0</v>
      </c>
      <c r="BV5" s="1">
        <f t="shared" si="13"/>
        <v>173.33653319999999</v>
      </c>
      <c r="BW5" s="1">
        <v>0</v>
      </c>
      <c r="BX5" s="1">
        <v>0</v>
      </c>
      <c r="BY5" s="3">
        <f t="shared" si="26"/>
        <v>17.33330664</v>
      </c>
      <c r="BZ5" s="2">
        <f>SUMIF('November 2027'!$B:$B,'PTO SUMMARY 2027'!BM5,'November 2027'!$AK:$AK)</f>
        <v>0</v>
      </c>
      <c r="CA5" s="1">
        <f t="shared" si="14"/>
        <v>190.66983983999998</v>
      </c>
      <c r="CB5" s="1">
        <v>0</v>
      </c>
      <c r="CC5" s="1">
        <v>0</v>
      </c>
      <c r="CD5" s="3">
        <f t="shared" si="27"/>
        <v>17.33330664</v>
      </c>
      <c r="CE5" s="2">
        <f>SUMIF('December 2027'!$B:$B,'PTO SUMMARY 2027'!$B:$B,'December 2027'!$AK:$AK)</f>
        <v>0</v>
      </c>
      <c r="CF5" s="1">
        <f t="shared" si="15"/>
        <v>208.00314647999997</v>
      </c>
      <c r="CG5" s="1">
        <v>0</v>
      </c>
      <c r="CH5" s="1">
        <v>0</v>
      </c>
      <c r="CI5" s="1">
        <v>0</v>
      </c>
      <c r="CJ5" s="3">
        <v>0</v>
      </c>
      <c r="CK5" s="31">
        <v>0</v>
      </c>
      <c r="CL5" s="31">
        <v>0</v>
      </c>
      <c r="CM5" s="31">
        <v>0</v>
      </c>
      <c r="CN5" s="30">
        <f t="shared" si="28"/>
        <v>0</v>
      </c>
    </row>
    <row r="6" spans="1:92">
      <c r="A6" s="8" t="s">
        <v>78</v>
      </c>
      <c r="B6" s="8" t="s">
        <v>79</v>
      </c>
      <c r="C6" s="8" t="s">
        <v>75</v>
      </c>
      <c r="D6" s="9" t="s">
        <v>70</v>
      </c>
      <c r="E6" t="s">
        <v>76</v>
      </c>
      <c r="F6" s="12" t="s">
        <v>80</v>
      </c>
      <c r="G6" s="7">
        <v>1</v>
      </c>
      <c r="H6" s="11">
        <f>((G6*86.67)*2)*(SUMIF('Accrual Rates'!B:B,'PTO SUMMARY 2027'!B6,'Accrual Rates'!G:G))</f>
        <v>13.3333128</v>
      </c>
      <c r="I6" s="33">
        <v>0</v>
      </c>
      <c r="J6" s="1">
        <v>0</v>
      </c>
      <c r="K6" s="1">
        <v>0</v>
      </c>
      <c r="L6" s="1">
        <v>0</v>
      </c>
      <c r="M6" s="32">
        <v>0</v>
      </c>
      <c r="N6" s="2">
        <f t="shared" si="16"/>
        <v>13.3333128</v>
      </c>
      <c r="O6" s="2">
        <f>SUMIF('January 2027'!$B:$B,'PTO SUMMARY 2027'!B6,'January 2027'!$AK:$AK)</f>
        <v>0</v>
      </c>
      <c r="P6" s="1">
        <f t="shared" si="0"/>
        <v>13.3333128</v>
      </c>
      <c r="Q6" s="1">
        <v>0</v>
      </c>
      <c r="R6" s="1">
        <v>0</v>
      </c>
      <c r="S6" s="3">
        <f t="shared" si="17"/>
        <v>13.3333128</v>
      </c>
      <c r="T6" s="2">
        <f>SUMIF('February 2027'!$B:$B,'PTO SUMMARY 2027'!G6,'February 2027'!$AK:$AK)</f>
        <v>0</v>
      </c>
      <c r="U6" s="154">
        <v>0</v>
      </c>
      <c r="V6" s="1">
        <f t="shared" si="1"/>
        <v>26.6666256</v>
      </c>
      <c r="W6" s="1">
        <v>0</v>
      </c>
      <c r="X6" s="1">
        <v>0</v>
      </c>
      <c r="Y6" s="3">
        <f t="shared" si="18"/>
        <v>13.3333128</v>
      </c>
      <c r="Z6" s="2">
        <f>SUMIF('March 2027'!$B:$B,'PTO SUMMARY 2027'!M6,'March 2027'!$AK:$AK)</f>
        <v>0</v>
      </c>
      <c r="AA6" s="1">
        <f t="shared" si="2"/>
        <v>39.999938399999998</v>
      </c>
      <c r="AB6" s="1">
        <v>0</v>
      </c>
      <c r="AC6" s="1">
        <v>0</v>
      </c>
      <c r="AD6" s="3">
        <v>0</v>
      </c>
      <c r="AE6" s="31">
        <f t="shared" si="3"/>
        <v>0</v>
      </c>
      <c r="AF6" s="31">
        <v>0</v>
      </c>
      <c r="AG6" s="30">
        <f t="shared" si="4"/>
        <v>0</v>
      </c>
      <c r="AH6" s="2">
        <f t="shared" si="19"/>
        <v>13.3333128</v>
      </c>
      <c r="AI6" s="2">
        <f>SUMIF('April 2027'!$B:$B,'PTO SUMMARY 2027'!V6,'April 2027'!$AK:$AK)</f>
        <v>0</v>
      </c>
      <c r="AJ6" s="1">
        <f t="shared" si="5"/>
        <v>53.333251199999999</v>
      </c>
      <c r="AK6" s="1">
        <v>0</v>
      </c>
      <c r="AL6" s="1">
        <v>0</v>
      </c>
      <c r="AM6" s="3">
        <f t="shared" si="20"/>
        <v>13.3333128</v>
      </c>
      <c r="AN6" s="2">
        <f>SUMIF('May 2027'!$B:$B,'PTO SUMMARY 2027'!AA6,'May 2027'!$AK:$AK)</f>
        <v>0</v>
      </c>
      <c r="AO6" s="1">
        <f t="shared" si="6"/>
        <v>66.67</v>
      </c>
      <c r="AP6" s="1">
        <v>0</v>
      </c>
      <c r="AQ6" s="1">
        <v>0</v>
      </c>
      <c r="AR6" s="3">
        <f t="shared" si="21"/>
        <v>13.3333128</v>
      </c>
      <c r="AS6" s="2">
        <f>SUMIF('June 2027'!$B:$B,'PTO SUMMARY 2027'!AF6,'June 2027'!$AK:$AK)</f>
        <v>0</v>
      </c>
      <c r="AT6" s="1">
        <f t="shared" si="7"/>
        <v>80.003312800000003</v>
      </c>
      <c r="AU6" s="1">
        <v>0</v>
      </c>
      <c r="AV6" s="1">
        <v>0</v>
      </c>
      <c r="AW6" s="3">
        <v>0</v>
      </c>
      <c r="AX6" s="31">
        <v>0</v>
      </c>
      <c r="AY6" s="31">
        <v>0</v>
      </c>
      <c r="AZ6" s="30">
        <f t="shared" si="8"/>
        <v>0</v>
      </c>
      <c r="BA6" s="3">
        <f t="shared" si="22"/>
        <v>13.3333128</v>
      </c>
      <c r="BB6" s="2">
        <f>SUMIF('July 2027'!$B:$B,'PTO SUMMARY 2027'!AK6,'July 2027'!$AK:$AK)</f>
        <v>0</v>
      </c>
      <c r="BC6" s="1">
        <f t="shared" si="9"/>
        <v>93.336625600000005</v>
      </c>
      <c r="BD6" s="1">
        <v>0</v>
      </c>
      <c r="BE6" s="1">
        <v>0</v>
      </c>
      <c r="BF6" s="3">
        <f t="shared" si="23"/>
        <v>13.3333128</v>
      </c>
      <c r="BG6" s="2">
        <f>SUMIF('August 2027'!$B:$B,'PTO SUMMARY 2027'!AP6,'August 2027'!$AK:$AK)</f>
        <v>0</v>
      </c>
      <c r="BH6" s="1">
        <f t="shared" si="10"/>
        <v>106.66993840000001</v>
      </c>
      <c r="BI6" s="1">
        <v>0</v>
      </c>
      <c r="BJ6" s="1">
        <v>0</v>
      </c>
      <c r="BK6" s="3">
        <f t="shared" si="24"/>
        <v>13.3333128</v>
      </c>
      <c r="BL6" s="2">
        <f>SUMIF('September 2027'!$B:$B,'PTO SUMMARY 2027'!AU6,'September 2027'!$AK:$AK)</f>
        <v>0</v>
      </c>
      <c r="BM6" s="1">
        <f t="shared" si="11"/>
        <v>120.00325120000001</v>
      </c>
      <c r="BN6" s="1">
        <v>0</v>
      </c>
      <c r="BO6" s="1">
        <v>0</v>
      </c>
      <c r="BP6" s="3">
        <v>0</v>
      </c>
      <c r="BQ6" s="31">
        <v>0</v>
      </c>
      <c r="BR6" s="31">
        <v>0</v>
      </c>
      <c r="BS6" s="30">
        <f t="shared" si="12"/>
        <v>0</v>
      </c>
      <c r="BT6" s="3">
        <f t="shared" si="25"/>
        <v>13.3333128</v>
      </c>
      <c r="BU6" s="2">
        <f>SUMIF('October 2027'!$B:$B,'PTO SUMMARY 2027'!BH6,'October 2027'!$AK:$AK)</f>
        <v>0</v>
      </c>
      <c r="BV6" s="1">
        <f t="shared" si="13"/>
        <v>133.33656400000001</v>
      </c>
      <c r="BW6" s="1">
        <v>0</v>
      </c>
      <c r="BX6" s="1">
        <v>0</v>
      </c>
      <c r="BY6" s="3">
        <f t="shared" si="26"/>
        <v>13.3333128</v>
      </c>
      <c r="BZ6" s="2">
        <f>SUMIF('November 2027'!$B:$B,'PTO SUMMARY 2027'!BM6,'November 2027'!$AK:$AK)</f>
        <v>0</v>
      </c>
      <c r="CA6" s="1">
        <f t="shared" si="14"/>
        <v>146.6698768</v>
      </c>
      <c r="CB6" s="1">
        <v>0</v>
      </c>
      <c r="CC6" s="1">
        <v>0</v>
      </c>
      <c r="CD6" s="3">
        <f t="shared" si="27"/>
        <v>13.3333128</v>
      </c>
      <c r="CE6" s="2">
        <f>SUMIF('December 2027'!$B:$B,'PTO SUMMARY 2027'!$B:$B,'December 2027'!$AK:$AK)</f>
        <v>0</v>
      </c>
      <c r="CF6" s="1">
        <f t="shared" si="15"/>
        <v>160.00318959999998</v>
      </c>
      <c r="CG6" s="1">
        <v>0</v>
      </c>
      <c r="CH6" s="1">
        <v>0</v>
      </c>
      <c r="CI6" s="1">
        <v>0</v>
      </c>
      <c r="CJ6" s="3">
        <v>0</v>
      </c>
      <c r="CK6" s="31">
        <v>0</v>
      </c>
      <c r="CL6" s="31">
        <v>0</v>
      </c>
      <c r="CM6" s="31">
        <v>0</v>
      </c>
      <c r="CN6" s="30">
        <f t="shared" si="28"/>
        <v>0</v>
      </c>
    </row>
    <row r="7" spans="1:92">
      <c r="A7" s="35" t="s">
        <v>81</v>
      </c>
      <c r="B7" s="8" t="s">
        <v>82</v>
      </c>
      <c r="C7" s="8" t="s">
        <v>64</v>
      </c>
      <c r="D7" s="9" t="s">
        <v>65</v>
      </c>
      <c r="E7" s="36" t="s">
        <v>66</v>
      </c>
      <c r="F7" s="12" t="s">
        <v>83</v>
      </c>
      <c r="G7" s="7">
        <v>0.875</v>
      </c>
      <c r="H7" s="34">
        <v>0</v>
      </c>
      <c r="I7" s="33">
        <v>0</v>
      </c>
      <c r="J7" s="1">
        <v>0</v>
      </c>
      <c r="K7" s="1">
        <v>0</v>
      </c>
      <c r="L7" s="1">
        <v>0</v>
      </c>
      <c r="M7" s="32">
        <v>0</v>
      </c>
      <c r="N7" s="2">
        <f t="shared" si="16"/>
        <v>0</v>
      </c>
      <c r="O7" s="2">
        <f>SUMIF('January 2027'!$B:$B,'PTO SUMMARY 2027'!B7,'January 2027'!$AK:$AK)</f>
        <v>0</v>
      </c>
      <c r="P7" s="1">
        <f t="shared" si="0"/>
        <v>0</v>
      </c>
      <c r="Q7" s="1">
        <v>0</v>
      </c>
      <c r="R7" s="1">
        <v>0</v>
      </c>
      <c r="S7" s="3">
        <f t="shared" si="17"/>
        <v>0</v>
      </c>
      <c r="T7" s="2">
        <f>SUMIF('February 2027'!$B:$B,'PTO SUMMARY 2027'!G7,'February 2027'!$AK:$AK)</f>
        <v>0</v>
      </c>
      <c r="U7" s="154">
        <v>0</v>
      </c>
      <c r="V7" s="1">
        <f t="shared" si="1"/>
        <v>0</v>
      </c>
      <c r="W7" s="1">
        <v>0</v>
      </c>
      <c r="X7" s="1">
        <v>0</v>
      </c>
      <c r="Y7" s="3">
        <f t="shared" si="18"/>
        <v>0</v>
      </c>
      <c r="Z7" s="2">
        <f>SUMIF('March 2027'!$B:$B,'PTO SUMMARY 2027'!M7,'March 2027'!$AK:$AK)</f>
        <v>0</v>
      </c>
      <c r="AA7" s="1">
        <f t="shared" si="2"/>
        <v>0</v>
      </c>
      <c r="AB7" s="1">
        <v>0</v>
      </c>
      <c r="AC7" s="1">
        <v>0</v>
      </c>
      <c r="AD7" s="3">
        <v>0</v>
      </c>
      <c r="AE7" s="31">
        <f t="shared" si="3"/>
        <v>0</v>
      </c>
      <c r="AF7" s="31">
        <v>0</v>
      </c>
      <c r="AG7" s="30">
        <f t="shared" si="4"/>
        <v>0</v>
      </c>
      <c r="AH7" s="2">
        <f t="shared" si="19"/>
        <v>0</v>
      </c>
      <c r="AI7" s="2">
        <f>SUMIF('April 2027'!$B:$B,'PTO SUMMARY 2027'!V7,'April 2027'!$AK:$AK)</f>
        <v>0</v>
      </c>
      <c r="AJ7" s="1">
        <f t="shared" si="5"/>
        <v>0</v>
      </c>
      <c r="AK7" s="1">
        <v>0</v>
      </c>
      <c r="AL7" s="1">
        <v>0</v>
      </c>
      <c r="AM7" s="3">
        <f t="shared" si="20"/>
        <v>0</v>
      </c>
      <c r="AN7" s="2">
        <f>SUMIF('May 2027'!$B:$B,'PTO SUMMARY 2027'!AA7,'May 2027'!$AK:$AK)</f>
        <v>0</v>
      </c>
      <c r="AO7" s="1">
        <f t="shared" si="6"/>
        <v>0</v>
      </c>
      <c r="AP7" s="1">
        <v>0</v>
      </c>
      <c r="AQ7" s="1">
        <v>0</v>
      </c>
      <c r="AR7" s="3">
        <f t="shared" si="21"/>
        <v>0</v>
      </c>
      <c r="AS7" s="2">
        <f>SUMIF('June 2027'!$B:$B,'PTO SUMMARY 2027'!AF7,'June 2027'!$AK:$AK)</f>
        <v>0</v>
      </c>
      <c r="AT7" s="1">
        <f t="shared" si="7"/>
        <v>0</v>
      </c>
      <c r="AU7" s="1">
        <v>0</v>
      </c>
      <c r="AV7" s="1">
        <v>0</v>
      </c>
      <c r="AW7" s="3">
        <v>0</v>
      </c>
      <c r="AX7" s="31">
        <v>0</v>
      </c>
      <c r="AY7" s="31">
        <v>0</v>
      </c>
      <c r="AZ7" s="30">
        <f t="shared" si="8"/>
        <v>0</v>
      </c>
      <c r="BA7" s="3">
        <f t="shared" si="22"/>
        <v>0</v>
      </c>
      <c r="BB7" s="2">
        <f>SUMIF('July 2027'!$B:$B,'PTO SUMMARY 2027'!AK7,'July 2027'!$AK:$AK)</f>
        <v>0</v>
      </c>
      <c r="BC7" s="1">
        <f t="shared" si="9"/>
        <v>0</v>
      </c>
      <c r="BD7" s="1">
        <v>0</v>
      </c>
      <c r="BE7" s="1">
        <v>0</v>
      </c>
      <c r="BF7" s="3">
        <f t="shared" si="23"/>
        <v>0</v>
      </c>
      <c r="BG7" s="2">
        <f>SUMIF('August 2027'!$B:$B,'PTO SUMMARY 2027'!AP7,'August 2027'!$AK:$AK)</f>
        <v>0</v>
      </c>
      <c r="BH7" s="1">
        <f t="shared" si="10"/>
        <v>0</v>
      </c>
      <c r="BI7" s="1">
        <v>0</v>
      </c>
      <c r="BJ7" s="1">
        <v>0</v>
      </c>
      <c r="BK7" s="3">
        <f t="shared" si="24"/>
        <v>0</v>
      </c>
      <c r="BL7" s="2">
        <f>SUMIF('September 2027'!$B:$B,'PTO SUMMARY 2027'!AU7,'September 2027'!$AK:$AK)</f>
        <v>0</v>
      </c>
      <c r="BM7" s="1">
        <f t="shared" si="11"/>
        <v>0</v>
      </c>
      <c r="BN7" s="1">
        <v>0</v>
      </c>
      <c r="BO7" s="1">
        <v>0</v>
      </c>
      <c r="BP7" s="3">
        <v>0</v>
      </c>
      <c r="BQ7" s="31">
        <v>0</v>
      </c>
      <c r="BR7" s="31">
        <v>0</v>
      </c>
      <c r="BS7" s="30">
        <f t="shared" si="12"/>
        <v>0</v>
      </c>
      <c r="BT7" s="3">
        <f t="shared" si="25"/>
        <v>0</v>
      </c>
      <c r="BU7" s="2">
        <f>SUMIF('October 2027'!$B:$B,'PTO SUMMARY 2027'!BH7,'October 2027'!$AK:$AK)</f>
        <v>0</v>
      </c>
      <c r="BV7" s="1">
        <f t="shared" si="13"/>
        <v>0</v>
      </c>
      <c r="BW7" s="1">
        <v>0</v>
      </c>
      <c r="BX7" s="1">
        <v>0</v>
      </c>
      <c r="BY7" s="3">
        <f t="shared" si="26"/>
        <v>0</v>
      </c>
      <c r="BZ7" s="2">
        <f>SUMIF('November 2027'!$B:$B,'PTO SUMMARY 2027'!BM7,'November 2027'!$AK:$AK)</f>
        <v>0</v>
      </c>
      <c r="CA7" s="1">
        <f t="shared" si="14"/>
        <v>0</v>
      </c>
      <c r="CB7" s="1">
        <v>0</v>
      </c>
      <c r="CC7" s="1">
        <v>0</v>
      </c>
      <c r="CD7" s="3">
        <f t="shared" si="27"/>
        <v>0</v>
      </c>
      <c r="CE7" s="2">
        <f>SUMIF('December 2027'!$B:$B,'PTO SUMMARY 2027'!$B:$B,'December 2027'!$AK:$AK)</f>
        <v>0</v>
      </c>
      <c r="CF7" s="1">
        <f t="shared" si="15"/>
        <v>0</v>
      </c>
      <c r="CG7" s="1">
        <v>0</v>
      </c>
      <c r="CH7" s="1">
        <v>0</v>
      </c>
      <c r="CI7" s="1">
        <v>0</v>
      </c>
      <c r="CJ7" s="3">
        <v>0</v>
      </c>
      <c r="CK7" s="31">
        <v>0</v>
      </c>
      <c r="CL7" s="31">
        <v>0</v>
      </c>
      <c r="CM7" s="31">
        <v>0</v>
      </c>
      <c r="CN7" s="30">
        <f t="shared" si="28"/>
        <v>0</v>
      </c>
    </row>
    <row r="8" spans="1:92">
      <c r="A8" s="8" t="s">
        <v>84</v>
      </c>
      <c r="B8" s="8" t="s">
        <v>85</v>
      </c>
      <c r="C8" s="8" t="s">
        <v>64</v>
      </c>
      <c r="D8" s="9" t="s">
        <v>70</v>
      </c>
      <c r="E8" t="s">
        <v>71</v>
      </c>
      <c r="F8" s="12" t="s">
        <v>72</v>
      </c>
      <c r="G8" s="7">
        <v>0.75</v>
      </c>
      <c r="H8" s="11">
        <f>((G8*86.67)*2)*(SUMIF('Accrual Rates'!B:B,'PTO SUMMARY 2027'!B8,'Accrual Rates'!G:G))</f>
        <v>9.9999845999999994</v>
      </c>
      <c r="I8" s="33">
        <v>0</v>
      </c>
      <c r="J8" s="1">
        <v>0</v>
      </c>
      <c r="K8" s="1">
        <v>0</v>
      </c>
      <c r="L8" s="1">
        <v>0</v>
      </c>
      <c r="M8" s="32">
        <v>0</v>
      </c>
      <c r="N8" s="2">
        <f t="shared" si="16"/>
        <v>9.9999845999999994</v>
      </c>
      <c r="O8" s="2">
        <f>SUMIF('January 2027'!$B:$B,'PTO SUMMARY 2027'!B8,'January 2027'!$AK:$AK)</f>
        <v>0</v>
      </c>
      <c r="P8" s="1">
        <f t="shared" si="0"/>
        <v>9.9999845999999994</v>
      </c>
      <c r="Q8" s="1">
        <v>0</v>
      </c>
      <c r="R8" s="1">
        <v>0</v>
      </c>
      <c r="S8" s="3">
        <f t="shared" si="17"/>
        <v>9.9999845999999994</v>
      </c>
      <c r="T8" s="2">
        <f>SUMIF('February 2027'!$B:$B,'PTO SUMMARY 2027'!G8,'February 2027'!$AK:$AK)</f>
        <v>0</v>
      </c>
      <c r="U8" s="154">
        <v>0</v>
      </c>
      <c r="V8" s="1">
        <f t="shared" si="1"/>
        <v>19.999969199999999</v>
      </c>
      <c r="W8" s="1">
        <v>0</v>
      </c>
      <c r="X8" s="1">
        <v>0</v>
      </c>
      <c r="Y8" s="3">
        <f t="shared" si="18"/>
        <v>9.9999845999999994</v>
      </c>
      <c r="Z8" s="2">
        <f>SUMIF('March 2027'!$B:$B,'PTO SUMMARY 2027'!M8,'March 2027'!$AK:$AK)</f>
        <v>0</v>
      </c>
      <c r="AA8" s="1">
        <f t="shared" si="2"/>
        <v>29.9999538</v>
      </c>
      <c r="AB8" s="1">
        <v>0</v>
      </c>
      <c r="AC8" s="1">
        <v>0</v>
      </c>
      <c r="AD8" s="3">
        <v>0</v>
      </c>
      <c r="AE8" s="31">
        <f t="shared" si="3"/>
        <v>0</v>
      </c>
      <c r="AF8" s="31">
        <v>0</v>
      </c>
      <c r="AG8" s="30">
        <f t="shared" si="4"/>
        <v>0</v>
      </c>
      <c r="AH8" s="2">
        <f t="shared" si="19"/>
        <v>9.9999845999999994</v>
      </c>
      <c r="AI8" s="2">
        <f>SUMIF('April 2027'!$B:$B,'PTO SUMMARY 2027'!V8,'April 2027'!$AK:$AK)</f>
        <v>0</v>
      </c>
      <c r="AJ8" s="1">
        <f t="shared" si="5"/>
        <v>39.999938399999998</v>
      </c>
      <c r="AK8" s="1">
        <v>0</v>
      </c>
      <c r="AL8" s="1">
        <v>0</v>
      </c>
      <c r="AM8" s="3">
        <f t="shared" si="20"/>
        <v>9.9999845999999994</v>
      </c>
      <c r="AN8" s="2">
        <f>SUMIF('May 2027'!$B:$B,'PTO SUMMARY 2027'!AA8,'May 2027'!$AK:$AK)</f>
        <v>0</v>
      </c>
      <c r="AO8" s="1">
        <f t="shared" si="6"/>
        <v>50</v>
      </c>
      <c r="AP8" s="1">
        <v>0</v>
      </c>
      <c r="AQ8" s="1">
        <v>0</v>
      </c>
      <c r="AR8" s="3">
        <f t="shared" si="21"/>
        <v>9.9999845999999994</v>
      </c>
      <c r="AS8" s="2">
        <f>SUMIF('June 2027'!$B:$B,'PTO SUMMARY 2027'!AF8,'June 2027'!$AK:$AK)</f>
        <v>0</v>
      </c>
      <c r="AT8" s="1">
        <f t="shared" si="7"/>
        <v>59.999984599999998</v>
      </c>
      <c r="AU8" s="1">
        <v>0</v>
      </c>
      <c r="AV8" s="1">
        <v>0</v>
      </c>
      <c r="AW8" s="3">
        <v>0</v>
      </c>
      <c r="AX8" s="31">
        <v>0</v>
      </c>
      <c r="AY8" s="31">
        <v>0</v>
      </c>
      <c r="AZ8" s="30">
        <f t="shared" si="8"/>
        <v>0</v>
      </c>
      <c r="BA8" s="3">
        <f t="shared" si="22"/>
        <v>9.9999845999999994</v>
      </c>
      <c r="BB8" s="2">
        <f>SUMIF('July 2027'!$B:$B,'PTO SUMMARY 2027'!AK8,'July 2027'!$AK:$AK)</f>
        <v>0</v>
      </c>
      <c r="BC8" s="1">
        <f t="shared" si="9"/>
        <v>69.999969199999995</v>
      </c>
      <c r="BD8" s="1">
        <v>0</v>
      </c>
      <c r="BE8" s="1">
        <v>0</v>
      </c>
      <c r="BF8" s="3">
        <f t="shared" si="23"/>
        <v>9.9999845999999994</v>
      </c>
      <c r="BG8" s="2">
        <f>SUMIF('August 2027'!$B:$B,'PTO SUMMARY 2027'!AP8,'August 2027'!$AK:$AK)</f>
        <v>0</v>
      </c>
      <c r="BH8" s="1">
        <f t="shared" si="10"/>
        <v>79.9999538</v>
      </c>
      <c r="BI8" s="1">
        <v>0</v>
      </c>
      <c r="BJ8" s="1">
        <v>0</v>
      </c>
      <c r="BK8" s="3">
        <f t="shared" si="24"/>
        <v>9.9999845999999994</v>
      </c>
      <c r="BL8" s="2">
        <f>SUMIF('September 2027'!$B:$B,'PTO SUMMARY 2027'!AU8,'September 2027'!$AK:$AK)</f>
        <v>0</v>
      </c>
      <c r="BM8" s="1">
        <f t="shared" si="11"/>
        <v>89.999938400000005</v>
      </c>
      <c r="BN8" s="1">
        <v>0</v>
      </c>
      <c r="BO8" s="1">
        <v>0</v>
      </c>
      <c r="BP8" s="3">
        <v>0</v>
      </c>
      <c r="BQ8" s="31">
        <v>0</v>
      </c>
      <c r="BR8" s="31">
        <v>0</v>
      </c>
      <c r="BS8" s="30">
        <f t="shared" si="12"/>
        <v>0</v>
      </c>
      <c r="BT8" s="3">
        <f t="shared" si="25"/>
        <v>9.9999845999999994</v>
      </c>
      <c r="BU8" s="2">
        <f>SUMIF('October 2027'!$B:$B,'PTO SUMMARY 2027'!BH8,'October 2027'!$AK:$AK)</f>
        <v>0</v>
      </c>
      <c r="BV8" s="1">
        <f t="shared" si="13"/>
        <v>99.99992300000001</v>
      </c>
      <c r="BW8" s="1">
        <v>0</v>
      </c>
      <c r="BX8" s="1">
        <v>0</v>
      </c>
      <c r="BY8" s="3">
        <f t="shared" si="26"/>
        <v>9.9999845999999994</v>
      </c>
      <c r="BZ8" s="2">
        <f>SUMIF('November 2027'!$B:$B,'PTO SUMMARY 2027'!BM8,'November 2027'!$AK:$AK)</f>
        <v>0</v>
      </c>
      <c r="CA8" s="1">
        <f t="shared" si="14"/>
        <v>109.99990760000001</v>
      </c>
      <c r="CB8" s="1">
        <v>0</v>
      </c>
      <c r="CC8" s="1">
        <v>0</v>
      </c>
      <c r="CD8" s="3">
        <f t="shared" si="27"/>
        <v>9.9999845999999994</v>
      </c>
      <c r="CE8" s="2">
        <f>SUMIF('December 2027'!$B:$B,'PTO SUMMARY 2027'!$B:$B,'December 2027'!$AK:$AK)</f>
        <v>0</v>
      </c>
      <c r="CF8" s="1">
        <f t="shared" si="15"/>
        <v>119.99989220000002</v>
      </c>
      <c r="CG8" s="1">
        <v>0</v>
      </c>
      <c r="CH8" s="1">
        <v>0</v>
      </c>
      <c r="CI8" s="1">
        <v>0</v>
      </c>
      <c r="CJ8" s="3">
        <v>0</v>
      </c>
      <c r="CK8" s="31">
        <v>0</v>
      </c>
      <c r="CL8" s="31">
        <v>0</v>
      </c>
      <c r="CM8" s="31">
        <v>0</v>
      </c>
      <c r="CN8" s="30">
        <f t="shared" si="28"/>
        <v>0</v>
      </c>
    </row>
    <row r="9" spans="1:92">
      <c r="A9" s="35" t="s">
        <v>86</v>
      </c>
      <c r="B9" s="8" t="s">
        <v>87</v>
      </c>
      <c r="C9" s="8" t="s">
        <v>64</v>
      </c>
      <c r="D9" s="9" t="s">
        <v>65</v>
      </c>
      <c r="E9" s="36" t="s">
        <v>66</v>
      </c>
      <c r="F9" s="12" t="s">
        <v>83</v>
      </c>
      <c r="G9" s="7">
        <v>1</v>
      </c>
      <c r="H9" s="34">
        <v>0</v>
      </c>
      <c r="I9" s="33">
        <v>0</v>
      </c>
      <c r="J9" s="1">
        <v>0</v>
      </c>
      <c r="K9" s="1">
        <v>0</v>
      </c>
      <c r="L9" s="1">
        <v>0</v>
      </c>
      <c r="M9" s="32">
        <v>0</v>
      </c>
      <c r="N9" s="2">
        <f t="shared" si="16"/>
        <v>0</v>
      </c>
      <c r="O9" s="2">
        <f>SUMIF('January 2027'!$B:$B,'PTO SUMMARY 2027'!B9,'January 2027'!$AK:$AK)</f>
        <v>0</v>
      </c>
      <c r="P9" s="1">
        <f t="shared" si="0"/>
        <v>0</v>
      </c>
      <c r="Q9" s="1">
        <v>0</v>
      </c>
      <c r="R9" s="1">
        <v>0</v>
      </c>
      <c r="S9" s="3">
        <f t="shared" si="17"/>
        <v>0</v>
      </c>
      <c r="T9" s="2">
        <f>SUMIF('February 2027'!$B:$B,'PTO SUMMARY 2027'!G9,'February 2027'!$AK:$AK)</f>
        <v>0</v>
      </c>
      <c r="U9" s="154">
        <v>0</v>
      </c>
      <c r="V9" s="1">
        <f t="shared" si="1"/>
        <v>0</v>
      </c>
      <c r="W9" s="1">
        <v>0</v>
      </c>
      <c r="X9" s="1">
        <v>0</v>
      </c>
      <c r="Y9" s="3">
        <f t="shared" si="18"/>
        <v>0</v>
      </c>
      <c r="Z9" s="2">
        <f>SUMIF('March 2027'!$B:$B,'PTO SUMMARY 2027'!M9,'March 2027'!$AK:$AK)</f>
        <v>0</v>
      </c>
      <c r="AA9" s="1">
        <f t="shared" si="2"/>
        <v>0</v>
      </c>
      <c r="AB9" s="1">
        <v>0</v>
      </c>
      <c r="AC9" s="1">
        <v>0</v>
      </c>
      <c r="AD9" s="3">
        <v>0</v>
      </c>
      <c r="AE9" s="31">
        <f t="shared" si="3"/>
        <v>0</v>
      </c>
      <c r="AF9" s="31">
        <v>0</v>
      </c>
      <c r="AG9" s="30">
        <f t="shared" si="4"/>
        <v>0</v>
      </c>
      <c r="AH9" s="2">
        <f t="shared" si="19"/>
        <v>0</v>
      </c>
      <c r="AI9" s="2">
        <f>SUMIF('April 2027'!$B:$B,'PTO SUMMARY 2027'!V9,'April 2027'!$AK:$AK)</f>
        <v>0</v>
      </c>
      <c r="AJ9" s="1">
        <f t="shared" si="5"/>
        <v>0</v>
      </c>
      <c r="AK9" s="1">
        <v>0</v>
      </c>
      <c r="AL9" s="1">
        <v>0</v>
      </c>
      <c r="AM9" s="3">
        <f t="shared" si="20"/>
        <v>0</v>
      </c>
      <c r="AN9" s="2">
        <f>SUMIF('May 2027'!$B:$B,'PTO SUMMARY 2027'!AA9,'May 2027'!$AK:$AK)</f>
        <v>0</v>
      </c>
      <c r="AO9" s="1">
        <f t="shared" si="6"/>
        <v>0</v>
      </c>
      <c r="AP9" s="1">
        <v>0</v>
      </c>
      <c r="AQ9" s="1">
        <v>0</v>
      </c>
      <c r="AR9" s="3">
        <f t="shared" si="21"/>
        <v>0</v>
      </c>
      <c r="AS9" s="2">
        <f>SUMIF('June 2027'!$B:$B,'PTO SUMMARY 2027'!AF9,'June 2027'!$AK:$AK)</f>
        <v>0</v>
      </c>
      <c r="AT9" s="1">
        <f t="shared" si="7"/>
        <v>0</v>
      </c>
      <c r="AU9" s="1">
        <v>0</v>
      </c>
      <c r="AV9" s="1">
        <v>0</v>
      </c>
      <c r="AW9" s="3">
        <v>0</v>
      </c>
      <c r="AX9" s="31">
        <v>0</v>
      </c>
      <c r="AY9" s="31">
        <v>0</v>
      </c>
      <c r="AZ9" s="30">
        <f t="shared" si="8"/>
        <v>0</v>
      </c>
      <c r="BA9" s="3">
        <f t="shared" si="22"/>
        <v>0</v>
      </c>
      <c r="BB9" s="2">
        <f>SUMIF('July 2027'!$B:$B,'PTO SUMMARY 2027'!AK9,'July 2027'!$AK:$AK)</f>
        <v>0</v>
      </c>
      <c r="BC9" s="1">
        <f t="shared" si="9"/>
        <v>0</v>
      </c>
      <c r="BD9" s="1">
        <v>0</v>
      </c>
      <c r="BE9" s="1">
        <v>0</v>
      </c>
      <c r="BF9" s="3">
        <f t="shared" si="23"/>
        <v>0</v>
      </c>
      <c r="BG9" s="2">
        <f>SUMIF('August 2027'!$B:$B,'PTO SUMMARY 2027'!AP9,'August 2027'!$AK:$AK)</f>
        <v>0</v>
      </c>
      <c r="BH9" s="1">
        <f t="shared" si="10"/>
        <v>0</v>
      </c>
      <c r="BI9" s="1">
        <v>0</v>
      </c>
      <c r="BJ9" s="1">
        <v>0</v>
      </c>
      <c r="BK9" s="3">
        <f t="shared" si="24"/>
        <v>0</v>
      </c>
      <c r="BL9" s="2">
        <f>SUMIF('September 2027'!$B:$B,'PTO SUMMARY 2027'!AU9,'September 2027'!$AK:$AK)</f>
        <v>0</v>
      </c>
      <c r="BM9" s="1">
        <f t="shared" si="11"/>
        <v>0</v>
      </c>
      <c r="BN9" s="1">
        <v>0</v>
      </c>
      <c r="BO9" s="1">
        <v>0</v>
      </c>
      <c r="BP9" s="3">
        <v>0</v>
      </c>
      <c r="BQ9" s="31">
        <v>0</v>
      </c>
      <c r="BR9" s="31">
        <v>0</v>
      </c>
      <c r="BS9" s="30">
        <f t="shared" si="12"/>
        <v>0</v>
      </c>
      <c r="BT9" s="3">
        <f t="shared" si="25"/>
        <v>0</v>
      </c>
      <c r="BU9" s="2">
        <f>SUMIF('October 2027'!$B:$B,'PTO SUMMARY 2027'!BH9,'October 2027'!$AK:$AK)</f>
        <v>0</v>
      </c>
      <c r="BV9" s="1">
        <f t="shared" si="13"/>
        <v>0</v>
      </c>
      <c r="BW9" s="1">
        <v>0</v>
      </c>
      <c r="BX9" s="1">
        <v>0</v>
      </c>
      <c r="BY9" s="3">
        <f t="shared" si="26"/>
        <v>0</v>
      </c>
      <c r="BZ9" s="2">
        <f>SUMIF('November 2027'!$B:$B,'PTO SUMMARY 2027'!BM9,'November 2027'!$AK:$AK)</f>
        <v>0</v>
      </c>
      <c r="CA9" s="1">
        <f t="shared" si="14"/>
        <v>0</v>
      </c>
      <c r="CB9" s="1">
        <v>0</v>
      </c>
      <c r="CC9" s="1">
        <v>0</v>
      </c>
      <c r="CD9" s="3">
        <f t="shared" si="27"/>
        <v>0</v>
      </c>
      <c r="CE9" s="2">
        <f>SUMIF('December 2027'!$B:$B,'PTO SUMMARY 2027'!$B:$B,'December 2027'!$AK:$AK)</f>
        <v>0</v>
      </c>
      <c r="CF9" s="1">
        <f t="shared" si="15"/>
        <v>0</v>
      </c>
      <c r="CG9" s="1">
        <v>0</v>
      </c>
      <c r="CH9" s="1">
        <v>0</v>
      </c>
      <c r="CI9" s="1">
        <v>0</v>
      </c>
      <c r="CJ9" s="3">
        <v>0</v>
      </c>
      <c r="CK9" s="31">
        <v>0</v>
      </c>
      <c r="CL9" s="31">
        <v>0</v>
      </c>
      <c r="CM9" s="31">
        <v>0</v>
      </c>
      <c r="CN9" s="30">
        <f t="shared" si="28"/>
        <v>0</v>
      </c>
    </row>
    <row r="10" spans="1:92">
      <c r="A10" s="35" t="s">
        <v>88</v>
      </c>
      <c r="B10" s="8" t="s">
        <v>89</v>
      </c>
      <c r="C10" s="8" t="s">
        <v>64</v>
      </c>
      <c r="D10" s="9" t="s">
        <v>65</v>
      </c>
      <c r="E10" s="36" t="s">
        <v>66</v>
      </c>
      <c r="F10" s="12" t="s">
        <v>90</v>
      </c>
      <c r="G10" s="7">
        <v>1</v>
      </c>
      <c r="H10" s="34">
        <v>0</v>
      </c>
      <c r="I10" s="33">
        <v>0</v>
      </c>
      <c r="J10" s="1">
        <v>0</v>
      </c>
      <c r="K10" s="1">
        <v>0</v>
      </c>
      <c r="L10" s="1">
        <v>0</v>
      </c>
      <c r="M10" s="32">
        <v>0</v>
      </c>
      <c r="N10" s="2">
        <f t="shared" si="16"/>
        <v>0</v>
      </c>
      <c r="O10" s="2">
        <f>SUMIF('January 2027'!$B:$B,'PTO SUMMARY 2027'!B10,'January 2027'!$AK:$AK)</f>
        <v>0</v>
      </c>
      <c r="P10" s="1">
        <f t="shared" si="0"/>
        <v>0</v>
      </c>
      <c r="Q10" s="1">
        <v>0</v>
      </c>
      <c r="R10" s="1">
        <v>0</v>
      </c>
      <c r="S10" s="3">
        <f t="shared" si="17"/>
        <v>0</v>
      </c>
      <c r="T10" s="2">
        <f>SUMIF('February 2027'!$B:$B,'PTO SUMMARY 2027'!G10,'February 2027'!$AK:$AK)</f>
        <v>0</v>
      </c>
      <c r="U10" s="154">
        <v>0</v>
      </c>
      <c r="V10" s="1">
        <f t="shared" si="1"/>
        <v>0</v>
      </c>
      <c r="W10" s="1">
        <v>0</v>
      </c>
      <c r="X10" s="1">
        <v>0</v>
      </c>
      <c r="Y10" s="3">
        <f t="shared" si="18"/>
        <v>0</v>
      </c>
      <c r="Z10" s="2">
        <f>SUMIF('March 2027'!$B:$B,'PTO SUMMARY 2027'!M10,'March 2027'!$AK:$AK)</f>
        <v>0</v>
      </c>
      <c r="AA10" s="1">
        <f t="shared" si="2"/>
        <v>0</v>
      </c>
      <c r="AB10" s="1">
        <v>0</v>
      </c>
      <c r="AC10" s="1">
        <v>0</v>
      </c>
      <c r="AD10" s="3">
        <v>0</v>
      </c>
      <c r="AE10" s="31">
        <f t="shared" si="3"/>
        <v>0</v>
      </c>
      <c r="AF10" s="31">
        <v>0</v>
      </c>
      <c r="AG10" s="30">
        <f t="shared" si="4"/>
        <v>0</v>
      </c>
      <c r="AH10" s="2">
        <f t="shared" si="19"/>
        <v>0</v>
      </c>
      <c r="AI10" s="2">
        <f>SUMIF('April 2027'!$B:$B,'PTO SUMMARY 2027'!V10,'April 2027'!$AK:$AK)</f>
        <v>0</v>
      </c>
      <c r="AJ10" s="1">
        <f t="shared" si="5"/>
        <v>0</v>
      </c>
      <c r="AK10" s="1">
        <v>0</v>
      </c>
      <c r="AL10" s="1">
        <v>0</v>
      </c>
      <c r="AM10" s="3">
        <f t="shared" si="20"/>
        <v>0</v>
      </c>
      <c r="AN10" s="2">
        <f>SUMIF('May 2027'!$B:$B,'PTO SUMMARY 2027'!AA10,'May 2027'!$AK:$AK)</f>
        <v>0</v>
      </c>
      <c r="AO10" s="1">
        <f t="shared" si="6"/>
        <v>0</v>
      </c>
      <c r="AP10" s="1">
        <v>0</v>
      </c>
      <c r="AQ10" s="1">
        <v>0</v>
      </c>
      <c r="AR10" s="3">
        <f t="shared" si="21"/>
        <v>0</v>
      </c>
      <c r="AS10" s="2">
        <f>SUMIF('June 2027'!$B:$B,'PTO SUMMARY 2027'!AF10,'June 2027'!$AK:$AK)</f>
        <v>0</v>
      </c>
      <c r="AT10" s="1">
        <f t="shared" si="7"/>
        <v>0</v>
      </c>
      <c r="AU10" s="1">
        <v>0</v>
      </c>
      <c r="AV10" s="1">
        <v>0</v>
      </c>
      <c r="AW10" s="3">
        <v>0</v>
      </c>
      <c r="AX10" s="31">
        <v>0</v>
      </c>
      <c r="AY10" s="31">
        <v>0</v>
      </c>
      <c r="AZ10" s="30">
        <f t="shared" si="8"/>
        <v>0</v>
      </c>
      <c r="BA10" s="3">
        <f t="shared" si="22"/>
        <v>0</v>
      </c>
      <c r="BB10" s="2">
        <f>SUMIF('July 2027'!$B:$B,'PTO SUMMARY 2027'!AK10,'July 2027'!$AK:$AK)</f>
        <v>0</v>
      </c>
      <c r="BC10" s="1">
        <f t="shared" si="9"/>
        <v>0</v>
      </c>
      <c r="BD10" s="1">
        <v>0</v>
      </c>
      <c r="BE10" s="1">
        <v>0</v>
      </c>
      <c r="BF10" s="3">
        <f t="shared" si="23"/>
        <v>0</v>
      </c>
      <c r="BG10" s="2">
        <f>SUMIF('August 2027'!$B:$B,'PTO SUMMARY 2027'!AP10,'August 2027'!$AK:$AK)</f>
        <v>0</v>
      </c>
      <c r="BH10" s="1">
        <f t="shared" si="10"/>
        <v>0</v>
      </c>
      <c r="BI10" s="1">
        <v>0</v>
      </c>
      <c r="BJ10" s="1">
        <v>0</v>
      </c>
      <c r="BK10" s="3">
        <f t="shared" si="24"/>
        <v>0</v>
      </c>
      <c r="BL10" s="2">
        <f>SUMIF('September 2027'!$B:$B,'PTO SUMMARY 2027'!AU10,'September 2027'!$AK:$AK)</f>
        <v>0</v>
      </c>
      <c r="BM10" s="1">
        <f t="shared" si="11"/>
        <v>0</v>
      </c>
      <c r="BN10" s="1">
        <v>0</v>
      </c>
      <c r="BO10" s="1">
        <v>0</v>
      </c>
      <c r="BP10" s="3">
        <v>0</v>
      </c>
      <c r="BQ10" s="31">
        <v>0</v>
      </c>
      <c r="BR10" s="31">
        <v>0</v>
      </c>
      <c r="BS10" s="30">
        <f t="shared" si="12"/>
        <v>0</v>
      </c>
      <c r="BT10" s="3">
        <f t="shared" si="25"/>
        <v>0</v>
      </c>
      <c r="BU10" s="2">
        <f>SUMIF('October 2027'!$B:$B,'PTO SUMMARY 2027'!BH10,'October 2027'!$AK:$AK)</f>
        <v>0</v>
      </c>
      <c r="BV10" s="1">
        <f t="shared" si="13"/>
        <v>0</v>
      </c>
      <c r="BW10" s="1">
        <v>0</v>
      </c>
      <c r="BX10" s="1">
        <v>0</v>
      </c>
      <c r="BY10" s="3">
        <f t="shared" si="26"/>
        <v>0</v>
      </c>
      <c r="BZ10" s="2">
        <f>SUMIF('November 2027'!$B:$B,'PTO SUMMARY 2027'!BM10,'November 2027'!$AK:$AK)</f>
        <v>0</v>
      </c>
      <c r="CA10" s="1">
        <f t="shared" si="14"/>
        <v>0</v>
      </c>
      <c r="CB10" s="1">
        <v>0</v>
      </c>
      <c r="CC10" s="1">
        <v>0</v>
      </c>
      <c r="CD10" s="3">
        <f t="shared" si="27"/>
        <v>0</v>
      </c>
      <c r="CE10" s="2">
        <f>SUMIF('December 2027'!$B:$B,'PTO SUMMARY 2027'!$B:$B,'December 2027'!$AK:$AK)</f>
        <v>0</v>
      </c>
      <c r="CF10" s="1">
        <f t="shared" si="15"/>
        <v>0</v>
      </c>
      <c r="CG10" s="1">
        <v>0</v>
      </c>
      <c r="CH10" s="1">
        <v>0</v>
      </c>
      <c r="CI10" s="1">
        <v>0</v>
      </c>
      <c r="CJ10" s="3">
        <v>0</v>
      </c>
      <c r="CK10" s="31">
        <v>0</v>
      </c>
      <c r="CL10" s="31">
        <v>0</v>
      </c>
      <c r="CM10" s="31">
        <v>0</v>
      </c>
      <c r="CN10" s="30">
        <f t="shared" si="28"/>
        <v>0</v>
      </c>
    </row>
    <row r="11" spans="1:92">
      <c r="A11" s="8" t="s">
        <v>91</v>
      </c>
      <c r="B11" s="8" t="s">
        <v>92</v>
      </c>
      <c r="C11" s="8" t="s">
        <v>75</v>
      </c>
      <c r="D11" s="9" t="s">
        <v>70</v>
      </c>
      <c r="E11" t="s">
        <v>76</v>
      </c>
      <c r="F11" s="12" t="s">
        <v>72</v>
      </c>
      <c r="G11" s="7">
        <v>0.8</v>
      </c>
      <c r="H11" s="11">
        <f>((G11*86.67)*2)*(SUMIF('Accrual Rates'!B:B,'PTO SUMMARY 2027'!B11,'Accrual Rates'!G:G))</f>
        <v>13.866645311999999</v>
      </c>
      <c r="I11" s="33">
        <v>0</v>
      </c>
      <c r="J11" s="1">
        <v>0</v>
      </c>
      <c r="K11" s="1">
        <v>0</v>
      </c>
      <c r="L11" s="1">
        <v>0</v>
      </c>
      <c r="M11" s="32">
        <v>0</v>
      </c>
      <c r="N11" s="2">
        <f t="shared" si="16"/>
        <v>13.866645311999999</v>
      </c>
      <c r="O11" s="2">
        <f>SUMIF('January 2027'!$B:$B,'PTO SUMMARY 2027'!B11,'January 2027'!$AK:$AK)</f>
        <v>0</v>
      </c>
      <c r="P11" s="1">
        <f t="shared" si="0"/>
        <v>13.866645311999999</v>
      </c>
      <c r="Q11" s="1">
        <v>0</v>
      </c>
      <c r="R11" s="1">
        <v>0</v>
      </c>
      <c r="S11" s="3">
        <f t="shared" si="17"/>
        <v>13.866645311999999</v>
      </c>
      <c r="T11" s="2">
        <f>SUMIF('February 2027'!$B:$B,'PTO SUMMARY 2027'!G11,'February 2027'!$AK:$AK)</f>
        <v>0</v>
      </c>
      <c r="U11" s="154">
        <v>0</v>
      </c>
      <c r="V11" s="1">
        <f t="shared" si="1"/>
        <v>27.733290623999999</v>
      </c>
      <c r="W11" s="1">
        <v>0</v>
      </c>
      <c r="X11" s="1">
        <v>0</v>
      </c>
      <c r="Y11" s="3">
        <f t="shared" si="18"/>
        <v>13.866645311999999</v>
      </c>
      <c r="Z11" s="2">
        <f>SUMIF('March 2027'!$B:$B,'PTO SUMMARY 2027'!M11,'March 2027'!$AK:$AK)</f>
        <v>0</v>
      </c>
      <c r="AA11" s="1">
        <f t="shared" si="2"/>
        <v>41.599935935999994</v>
      </c>
      <c r="AB11" s="1">
        <v>0</v>
      </c>
      <c r="AC11" s="1">
        <v>0</v>
      </c>
      <c r="AD11" s="3">
        <v>0</v>
      </c>
      <c r="AE11" s="31">
        <f t="shared" si="3"/>
        <v>0</v>
      </c>
      <c r="AF11" s="31">
        <v>0</v>
      </c>
      <c r="AG11" s="30">
        <f t="shared" si="4"/>
        <v>0</v>
      </c>
      <c r="AH11" s="2">
        <f t="shared" si="19"/>
        <v>13.866645311999999</v>
      </c>
      <c r="AI11" s="2">
        <f>SUMIF('April 2027'!$B:$B,'PTO SUMMARY 2027'!V11,'April 2027'!$AK:$AK)</f>
        <v>0</v>
      </c>
      <c r="AJ11" s="1">
        <f t="shared" si="5"/>
        <v>55.466581247999997</v>
      </c>
      <c r="AK11" s="1">
        <v>0</v>
      </c>
      <c r="AL11" s="1">
        <v>0</v>
      </c>
      <c r="AM11" s="3">
        <f t="shared" si="20"/>
        <v>13.866645311999999</v>
      </c>
      <c r="AN11" s="2">
        <f>SUMIF('May 2027'!$B:$B,'PTO SUMMARY 2027'!AA11,'May 2027'!$AK:$AK)</f>
        <v>0</v>
      </c>
      <c r="AO11" s="1">
        <f t="shared" si="6"/>
        <v>69.33</v>
      </c>
      <c r="AP11" s="1">
        <v>0</v>
      </c>
      <c r="AQ11" s="1">
        <v>0</v>
      </c>
      <c r="AR11" s="3">
        <f t="shared" si="21"/>
        <v>13.866645311999999</v>
      </c>
      <c r="AS11" s="2">
        <f>SUMIF('June 2027'!$B:$B,'PTO SUMMARY 2027'!AF11,'June 2027'!$AK:$AK)</f>
        <v>0</v>
      </c>
      <c r="AT11" s="1">
        <f t="shared" si="7"/>
        <v>83.196645312000001</v>
      </c>
      <c r="AU11" s="1">
        <v>0</v>
      </c>
      <c r="AV11" s="1">
        <v>0</v>
      </c>
      <c r="AW11" s="3">
        <v>0</v>
      </c>
      <c r="AX11" s="31">
        <v>0</v>
      </c>
      <c r="AY11" s="31">
        <v>0</v>
      </c>
      <c r="AZ11" s="30">
        <f t="shared" si="8"/>
        <v>0</v>
      </c>
      <c r="BA11" s="3">
        <f t="shared" si="22"/>
        <v>13.866645311999999</v>
      </c>
      <c r="BB11" s="2">
        <f>SUMIF('July 2027'!$B:$B,'PTO SUMMARY 2027'!AK11,'July 2027'!$AK:$AK)</f>
        <v>0</v>
      </c>
      <c r="BC11" s="1">
        <f t="shared" si="9"/>
        <v>97.063290624000004</v>
      </c>
      <c r="BD11" s="1">
        <v>0</v>
      </c>
      <c r="BE11" s="1">
        <v>0</v>
      </c>
      <c r="BF11" s="3">
        <f t="shared" si="23"/>
        <v>13.866645311999999</v>
      </c>
      <c r="BG11" s="2">
        <f>SUMIF('August 2027'!$B:$B,'PTO SUMMARY 2027'!AP11,'August 2027'!$AK:$AK)</f>
        <v>0</v>
      </c>
      <c r="BH11" s="1">
        <f t="shared" si="10"/>
        <v>110.92993593600001</v>
      </c>
      <c r="BI11" s="1">
        <v>0</v>
      </c>
      <c r="BJ11" s="1">
        <v>0</v>
      </c>
      <c r="BK11" s="3">
        <f t="shared" si="24"/>
        <v>13.866645311999999</v>
      </c>
      <c r="BL11" s="2">
        <f>SUMIF('September 2027'!$B:$B,'PTO SUMMARY 2027'!AU11,'September 2027'!$AK:$AK)</f>
        <v>0</v>
      </c>
      <c r="BM11" s="1">
        <f t="shared" si="11"/>
        <v>124.79658124800001</v>
      </c>
      <c r="BN11" s="1">
        <v>0</v>
      </c>
      <c r="BO11" s="1">
        <v>0</v>
      </c>
      <c r="BP11" s="3">
        <v>0</v>
      </c>
      <c r="BQ11" s="31">
        <v>0</v>
      </c>
      <c r="BR11" s="31">
        <v>0</v>
      </c>
      <c r="BS11" s="30">
        <f t="shared" si="12"/>
        <v>0</v>
      </c>
      <c r="BT11" s="3">
        <f t="shared" si="25"/>
        <v>13.866645311999999</v>
      </c>
      <c r="BU11" s="2">
        <f>SUMIF('October 2027'!$B:$B,'PTO SUMMARY 2027'!BH11,'October 2027'!$AK:$AK)</f>
        <v>0</v>
      </c>
      <c r="BV11" s="1">
        <f t="shared" si="13"/>
        <v>138.66322656</v>
      </c>
      <c r="BW11" s="1">
        <v>0</v>
      </c>
      <c r="BX11" s="1">
        <v>0</v>
      </c>
      <c r="BY11" s="3">
        <f t="shared" si="26"/>
        <v>13.866645311999999</v>
      </c>
      <c r="BZ11" s="2">
        <f>SUMIF('November 2027'!$B:$B,'PTO SUMMARY 2027'!BM11,'November 2027'!$AK:$AK)</f>
        <v>0</v>
      </c>
      <c r="CA11" s="1">
        <f t="shared" si="14"/>
        <v>152.529871872</v>
      </c>
      <c r="CB11" s="1">
        <v>0</v>
      </c>
      <c r="CC11" s="1">
        <v>0</v>
      </c>
      <c r="CD11" s="3">
        <f t="shared" si="27"/>
        <v>13.866645311999999</v>
      </c>
      <c r="CE11" s="2">
        <f>SUMIF('December 2027'!$B:$B,'PTO SUMMARY 2027'!$B:$B,'December 2027'!$AK:$AK)</f>
        <v>0</v>
      </c>
      <c r="CF11" s="1">
        <f t="shared" si="15"/>
        <v>166.396517184</v>
      </c>
      <c r="CG11" s="1">
        <v>0</v>
      </c>
      <c r="CH11" s="1">
        <v>0</v>
      </c>
      <c r="CI11" s="1">
        <v>0</v>
      </c>
      <c r="CJ11" s="3">
        <v>0</v>
      </c>
      <c r="CK11" s="31">
        <v>0</v>
      </c>
      <c r="CL11" s="31">
        <v>0</v>
      </c>
      <c r="CM11" s="31">
        <v>0</v>
      </c>
      <c r="CN11" s="30">
        <f t="shared" si="28"/>
        <v>0</v>
      </c>
    </row>
    <row r="12" spans="1:92">
      <c r="A12" s="35" t="s">
        <v>93</v>
      </c>
      <c r="B12" s="8" t="s">
        <v>94</v>
      </c>
      <c r="C12" s="8" t="s">
        <v>75</v>
      </c>
      <c r="D12" s="9" t="s">
        <v>65</v>
      </c>
      <c r="E12" t="s">
        <v>95</v>
      </c>
      <c r="F12" s="12" t="s">
        <v>96</v>
      </c>
      <c r="G12" s="7">
        <v>1</v>
      </c>
      <c r="H12" s="34">
        <v>0</v>
      </c>
      <c r="I12" s="33">
        <v>0</v>
      </c>
      <c r="J12" s="1">
        <v>0</v>
      </c>
      <c r="K12" s="1">
        <v>0</v>
      </c>
      <c r="L12" s="1">
        <v>0</v>
      </c>
      <c r="M12" s="32">
        <v>0</v>
      </c>
      <c r="N12" s="2">
        <f t="shared" si="16"/>
        <v>0</v>
      </c>
      <c r="O12" s="2">
        <f>SUMIF('January 2027'!$B:$B,'PTO SUMMARY 2027'!B12,'January 2027'!$AK:$AK)</f>
        <v>0</v>
      </c>
      <c r="P12" s="1">
        <f t="shared" si="0"/>
        <v>0</v>
      </c>
      <c r="Q12" s="1">
        <v>0</v>
      </c>
      <c r="R12" s="1">
        <v>0</v>
      </c>
      <c r="S12" s="3">
        <f t="shared" si="17"/>
        <v>0</v>
      </c>
      <c r="T12" s="2">
        <f>SUMIF('February 2027'!$B:$B,'PTO SUMMARY 2027'!G12,'February 2027'!$AK:$AK)</f>
        <v>0</v>
      </c>
      <c r="U12" s="154">
        <v>0</v>
      </c>
      <c r="V12" s="1">
        <f t="shared" si="1"/>
        <v>0</v>
      </c>
      <c r="W12" s="1">
        <v>0</v>
      </c>
      <c r="X12" s="1">
        <v>0</v>
      </c>
      <c r="Y12" s="3">
        <f t="shared" si="18"/>
        <v>0</v>
      </c>
      <c r="Z12" s="2">
        <f>SUMIF('March 2027'!$B:$B,'PTO SUMMARY 2027'!M12,'March 2027'!$AK:$AK)</f>
        <v>0</v>
      </c>
      <c r="AA12" s="1">
        <f t="shared" si="2"/>
        <v>0</v>
      </c>
      <c r="AB12" s="1">
        <v>0</v>
      </c>
      <c r="AC12" s="1">
        <v>0</v>
      </c>
      <c r="AD12" s="3">
        <v>0</v>
      </c>
      <c r="AE12" s="31">
        <f t="shared" si="3"/>
        <v>0</v>
      </c>
      <c r="AF12" s="31">
        <v>0</v>
      </c>
      <c r="AG12" s="30">
        <f t="shared" si="4"/>
        <v>0</v>
      </c>
      <c r="AH12" s="2">
        <f t="shared" si="19"/>
        <v>0</v>
      </c>
      <c r="AI12" s="2">
        <f>SUMIF('April 2027'!$B:$B,'PTO SUMMARY 2027'!V12,'April 2027'!$AK:$AK)</f>
        <v>0</v>
      </c>
      <c r="AJ12" s="1">
        <f t="shared" si="5"/>
        <v>0</v>
      </c>
      <c r="AK12" s="1">
        <v>0</v>
      </c>
      <c r="AL12" s="1">
        <v>0</v>
      </c>
      <c r="AM12" s="3">
        <f t="shared" si="20"/>
        <v>0</v>
      </c>
      <c r="AN12" s="2">
        <f>SUMIF('May 2027'!$B:$B,'PTO SUMMARY 2027'!AA12,'May 2027'!$AK:$AK)</f>
        <v>0</v>
      </c>
      <c r="AO12" s="1">
        <f t="shared" si="6"/>
        <v>0</v>
      </c>
      <c r="AP12" s="1">
        <v>0</v>
      </c>
      <c r="AQ12" s="1">
        <v>0</v>
      </c>
      <c r="AR12" s="3">
        <f t="shared" si="21"/>
        <v>0</v>
      </c>
      <c r="AS12" s="2">
        <f>SUMIF('June 2027'!$B:$B,'PTO SUMMARY 2027'!AF12,'June 2027'!$AK:$AK)</f>
        <v>0</v>
      </c>
      <c r="AT12" s="1">
        <f t="shared" si="7"/>
        <v>0</v>
      </c>
      <c r="AU12" s="1">
        <v>0</v>
      </c>
      <c r="AV12" s="1">
        <v>0</v>
      </c>
      <c r="AW12" s="3">
        <v>0</v>
      </c>
      <c r="AX12" s="31">
        <v>0</v>
      </c>
      <c r="AY12" s="31">
        <v>0</v>
      </c>
      <c r="AZ12" s="30">
        <f t="shared" si="8"/>
        <v>0</v>
      </c>
      <c r="BA12" s="3">
        <f t="shared" si="22"/>
        <v>0</v>
      </c>
      <c r="BB12" s="2">
        <f>SUMIF('July 2027'!$B:$B,'PTO SUMMARY 2027'!AK12,'July 2027'!$AK:$AK)</f>
        <v>0</v>
      </c>
      <c r="BC12" s="1">
        <f t="shared" si="9"/>
        <v>0</v>
      </c>
      <c r="BD12" s="1">
        <v>0</v>
      </c>
      <c r="BE12" s="1">
        <v>0</v>
      </c>
      <c r="BF12" s="3">
        <f t="shared" si="23"/>
        <v>0</v>
      </c>
      <c r="BG12" s="2">
        <f>SUMIF('August 2027'!$B:$B,'PTO SUMMARY 2027'!AP12,'August 2027'!$AK:$AK)</f>
        <v>0</v>
      </c>
      <c r="BH12" s="1">
        <f t="shared" si="10"/>
        <v>0</v>
      </c>
      <c r="BI12" s="1">
        <v>0</v>
      </c>
      <c r="BJ12" s="1">
        <v>0</v>
      </c>
      <c r="BK12" s="3">
        <f t="shared" si="24"/>
        <v>0</v>
      </c>
      <c r="BL12" s="2">
        <f>SUMIF('September 2027'!$B:$B,'PTO SUMMARY 2027'!AU12,'September 2027'!$AK:$AK)</f>
        <v>0</v>
      </c>
      <c r="BM12" s="1">
        <f t="shared" si="11"/>
        <v>0</v>
      </c>
      <c r="BN12" s="1">
        <v>0</v>
      </c>
      <c r="BO12" s="1">
        <v>0</v>
      </c>
      <c r="BP12" s="3">
        <v>0</v>
      </c>
      <c r="BQ12" s="31">
        <v>0</v>
      </c>
      <c r="BR12" s="31">
        <v>0</v>
      </c>
      <c r="BS12" s="30">
        <f t="shared" si="12"/>
        <v>0</v>
      </c>
      <c r="BT12" s="3">
        <f t="shared" si="25"/>
        <v>0</v>
      </c>
      <c r="BU12" s="2">
        <f>SUMIF('October 2027'!$B:$B,'PTO SUMMARY 2027'!BH12,'October 2027'!$AK:$AK)</f>
        <v>0</v>
      </c>
      <c r="BV12" s="1">
        <f t="shared" si="13"/>
        <v>0</v>
      </c>
      <c r="BW12" s="1">
        <v>0</v>
      </c>
      <c r="BX12" s="1">
        <v>0</v>
      </c>
      <c r="BY12" s="3">
        <f t="shared" si="26"/>
        <v>0</v>
      </c>
      <c r="BZ12" s="2">
        <f>SUMIF('November 2027'!$B:$B,'PTO SUMMARY 2027'!BM12,'November 2027'!$AK:$AK)</f>
        <v>0</v>
      </c>
      <c r="CA12" s="1">
        <f t="shared" si="14"/>
        <v>0</v>
      </c>
      <c r="CB12" s="1">
        <v>0</v>
      </c>
      <c r="CC12" s="1">
        <v>0</v>
      </c>
      <c r="CD12" s="3">
        <f t="shared" si="27"/>
        <v>0</v>
      </c>
      <c r="CE12" s="2">
        <f>SUMIF('December 2027'!$B:$B,'PTO SUMMARY 2027'!$B:$B,'December 2027'!$AK:$AK)</f>
        <v>0</v>
      </c>
      <c r="CF12" s="1">
        <f t="shared" si="15"/>
        <v>0</v>
      </c>
      <c r="CG12" s="1">
        <v>0</v>
      </c>
      <c r="CH12" s="1">
        <v>0</v>
      </c>
      <c r="CI12" s="1">
        <v>0</v>
      </c>
      <c r="CJ12" s="3">
        <v>0</v>
      </c>
      <c r="CK12" s="31">
        <v>0</v>
      </c>
      <c r="CL12" s="31">
        <v>0</v>
      </c>
      <c r="CM12" s="31">
        <v>0</v>
      </c>
      <c r="CN12" s="30">
        <f t="shared" si="28"/>
        <v>0</v>
      </c>
    </row>
    <row r="13" spans="1:92">
      <c r="A13" s="8" t="s">
        <v>97</v>
      </c>
      <c r="B13" s="8" t="s">
        <v>98</v>
      </c>
      <c r="C13" s="8" t="s">
        <v>75</v>
      </c>
      <c r="D13" s="9" t="s">
        <v>70</v>
      </c>
      <c r="E13" t="s">
        <v>76</v>
      </c>
      <c r="F13" s="12" t="s">
        <v>99</v>
      </c>
      <c r="G13" s="7">
        <v>1</v>
      </c>
      <c r="H13" s="11">
        <f>((G13*86.67)*2)*(SUMIF('Accrual Rates'!B:B,'PTO SUMMARY 2027'!B13,'Accrual Rates'!G:G))</f>
        <v>13.3333128</v>
      </c>
      <c r="I13" s="33">
        <v>0</v>
      </c>
      <c r="J13" s="1">
        <v>0</v>
      </c>
      <c r="K13" s="1">
        <v>0</v>
      </c>
      <c r="L13" s="1">
        <v>0</v>
      </c>
      <c r="M13" s="32">
        <v>0</v>
      </c>
      <c r="N13" s="2">
        <f t="shared" si="16"/>
        <v>13.3333128</v>
      </c>
      <c r="O13" s="2">
        <f>SUMIF('January 2027'!$B:$B,'PTO SUMMARY 2027'!B13,'January 2027'!$AK:$AK)</f>
        <v>0</v>
      </c>
      <c r="P13" s="1">
        <f t="shared" si="0"/>
        <v>13.3333128</v>
      </c>
      <c r="Q13" s="1">
        <v>0</v>
      </c>
      <c r="R13" s="1">
        <v>0</v>
      </c>
      <c r="S13" s="3">
        <f t="shared" si="17"/>
        <v>13.3333128</v>
      </c>
      <c r="T13" s="2">
        <f>SUMIF('February 2027'!$B:$B,'PTO SUMMARY 2027'!G13,'February 2027'!$AK:$AK)</f>
        <v>0</v>
      </c>
      <c r="U13" s="154">
        <v>0</v>
      </c>
      <c r="V13" s="1">
        <f t="shared" si="1"/>
        <v>26.6666256</v>
      </c>
      <c r="W13" s="1">
        <v>0</v>
      </c>
      <c r="X13" s="1">
        <v>0</v>
      </c>
      <c r="Y13" s="3">
        <f t="shared" si="18"/>
        <v>13.3333128</v>
      </c>
      <c r="Z13" s="2">
        <f>SUMIF('March 2027'!$B:$B,'PTO SUMMARY 2027'!M13,'March 2027'!$AK:$AK)</f>
        <v>0</v>
      </c>
      <c r="AA13" s="1">
        <f t="shared" si="2"/>
        <v>39.999938399999998</v>
      </c>
      <c r="AB13" s="1">
        <v>0</v>
      </c>
      <c r="AC13" s="1">
        <v>0</v>
      </c>
      <c r="AD13" s="3">
        <v>0</v>
      </c>
      <c r="AE13" s="31">
        <f t="shared" si="3"/>
        <v>0</v>
      </c>
      <c r="AF13" s="31">
        <v>0</v>
      </c>
      <c r="AG13" s="30">
        <f t="shared" si="4"/>
        <v>0</v>
      </c>
      <c r="AH13" s="2">
        <f t="shared" si="19"/>
        <v>13.3333128</v>
      </c>
      <c r="AI13" s="2">
        <f>SUMIF('April 2027'!$B:$B,'PTO SUMMARY 2027'!V13,'April 2027'!$AK:$AK)</f>
        <v>0</v>
      </c>
      <c r="AJ13" s="1">
        <f t="shared" si="5"/>
        <v>53.333251199999999</v>
      </c>
      <c r="AK13" s="1">
        <v>0</v>
      </c>
      <c r="AL13" s="1">
        <v>0</v>
      </c>
      <c r="AM13" s="3">
        <f t="shared" si="20"/>
        <v>13.3333128</v>
      </c>
      <c r="AN13" s="2">
        <f>SUMIF('May 2027'!$B:$B,'PTO SUMMARY 2027'!AA13,'May 2027'!$AK:$AK)</f>
        <v>0</v>
      </c>
      <c r="AO13" s="1">
        <f t="shared" si="6"/>
        <v>66.67</v>
      </c>
      <c r="AP13" s="1">
        <v>0</v>
      </c>
      <c r="AQ13" s="1">
        <v>0</v>
      </c>
      <c r="AR13" s="3">
        <f t="shared" si="21"/>
        <v>13.3333128</v>
      </c>
      <c r="AS13" s="2">
        <f>SUMIF('June 2027'!$B:$B,'PTO SUMMARY 2027'!AF13,'June 2027'!$AK:$AK)</f>
        <v>0</v>
      </c>
      <c r="AT13" s="1">
        <f t="shared" si="7"/>
        <v>80.003312800000003</v>
      </c>
      <c r="AU13" s="1">
        <v>0</v>
      </c>
      <c r="AV13" s="1">
        <v>0</v>
      </c>
      <c r="AW13" s="3">
        <v>0</v>
      </c>
      <c r="AX13" s="31">
        <v>0</v>
      </c>
      <c r="AY13" s="31">
        <v>0</v>
      </c>
      <c r="AZ13" s="30">
        <f t="shared" si="8"/>
        <v>0</v>
      </c>
      <c r="BA13" s="3">
        <f t="shared" si="22"/>
        <v>13.3333128</v>
      </c>
      <c r="BB13" s="2">
        <f>SUMIF('July 2027'!$B:$B,'PTO SUMMARY 2027'!AK13,'July 2027'!$AK:$AK)</f>
        <v>0</v>
      </c>
      <c r="BC13" s="1">
        <f t="shared" si="9"/>
        <v>93.336625600000005</v>
      </c>
      <c r="BD13" s="1">
        <v>0</v>
      </c>
      <c r="BE13" s="1">
        <v>0</v>
      </c>
      <c r="BF13" s="3">
        <f t="shared" si="23"/>
        <v>13.3333128</v>
      </c>
      <c r="BG13" s="2">
        <f>SUMIF('August 2027'!$B:$B,'PTO SUMMARY 2027'!AP13,'August 2027'!$AK:$AK)</f>
        <v>0</v>
      </c>
      <c r="BH13" s="1">
        <f t="shared" si="10"/>
        <v>106.66993840000001</v>
      </c>
      <c r="BI13" s="1">
        <v>0</v>
      </c>
      <c r="BJ13" s="1">
        <v>0</v>
      </c>
      <c r="BK13" s="3">
        <f t="shared" si="24"/>
        <v>13.3333128</v>
      </c>
      <c r="BL13" s="2">
        <f>SUMIF('September 2027'!$B:$B,'PTO SUMMARY 2027'!AU13,'September 2027'!$AK:$AK)</f>
        <v>0</v>
      </c>
      <c r="BM13" s="1">
        <f t="shared" si="11"/>
        <v>120.00325120000001</v>
      </c>
      <c r="BN13" s="1">
        <v>0</v>
      </c>
      <c r="BO13" s="1">
        <v>0</v>
      </c>
      <c r="BP13" s="3">
        <v>0</v>
      </c>
      <c r="BQ13" s="31">
        <v>0</v>
      </c>
      <c r="BR13" s="31">
        <v>0</v>
      </c>
      <c r="BS13" s="30">
        <f t="shared" si="12"/>
        <v>0</v>
      </c>
      <c r="BT13" s="3">
        <f t="shared" si="25"/>
        <v>13.3333128</v>
      </c>
      <c r="BU13" s="2">
        <f>SUMIF('October 2027'!$B:$B,'PTO SUMMARY 2027'!BH13,'October 2027'!$AK:$AK)</f>
        <v>0</v>
      </c>
      <c r="BV13" s="1">
        <f t="shared" si="13"/>
        <v>133.33656400000001</v>
      </c>
      <c r="BW13" s="1">
        <v>0</v>
      </c>
      <c r="BX13" s="1">
        <v>0</v>
      </c>
      <c r="BY13" s="3">
        <f t="shared" si="26"/>
        <v>13.3333128</v>
      </c>
      <c r="BZ13" s="2">
        <f>SUMIF('November 2027'!$B:$B,'PTO SUMMARY 2027'!BM13,'November 2027'!$AK:$AK)</f>
        <v>0</v>
      </c>
      <c r="CA13" s="1">
        <f t="shared" si="14"/>
        <v>146.6698768</v>
      </c>
      <c r="CB13" s="1">
        <v>0</v>
      </c>
      <c r="CC13" s="1">
        <v>0</v>
      </c>
      <c r="CD13" s="3">
        <f t="shared" si="27"/>
        <v>13.3333128</v>
      </c>
      <c r="CE13" s="2">
        <f>SUMIF('December 2027'!$B:$B,'PTO SUMMARY 2027'!$B:$B,'December 2027'!$AK:$AK)</f>
        <v>0</v>
      </c>
      <c r="CF13" s="1">
        <f t="shared" si="15"/>
        <v>160.00318959999998</v>
      </c>
      <c r="CG13" s="1">
        <v>0</v>
      </c>
      <c r="CH13" s="1">
        <v>0</v>
      </c>
      <c r="CI13" s="1">
        <v>0</v>
      </c>
      <c r="CJ13" s="3">
        <v>0</v>
      </c>
      <c r="CK13" s="31">
        <v>0</v>
      </c>
      <c r="CL13" s="31">
        <v>0</v>
      </c>
      <c r="CM13" s="31">
        <v>0</v>
      </c>
      <c r="CN13" s="30">
        <f t="shared" si="28"/>
        <v>0</v>
      </c>
    </row>
    <row r="14" spans="1:92">
      <c r="A14" s="8" t="s">
        <v>100</v>
      </c>
      <c r="B14" s="8" t="s">
        <v>101</v>
      </c>
      <c r="C14" s="8" t="s">
        <v>64</v>
      </c>
      <c r="D14" s="9" t="s">
        <v>70</v>
      </c>
      <c r="E14" t="s">
        <v>71</v>
      </c>
      <c r="F14" s="12" t="s">
        <v>72</v>
      </c>
      <c r="G14" s="7">
        <v>1</v>
      </c>
      <c r="H14" s="11">
        <f>((G14*86.67)*2)*(SUMIF('Accrual Rates'!B:B,'PTO SUMMARY 2027'!B14,'Accrual Rates'!G:G))</f>
        <v>13.3333128</v>
      </c>
      <c r="I14" s="33">
        <v>0</v>
      </c>
      <c r="J14" s="1">
        <v>0</v>
      </c>
      <c r="K14" s="1">
        <v>0</v>
      </c>
      <c r="L14" s="1">
        <v>0</v>
      </c>
      <c r="M14" s="32">
        <v>0</v>
      </c>
      <c r="N14" s="2">
        <f t="shared" si="16"/>
        <v>13.3333128</v>
      </c>
      <c r="O14" s="2">
        <f>SUMIF('January 2027'!$B:$B,'PTO SUMMARY 2027'!B14,'January 2027'!$AK:$AK)</f>
        <v>0</v>
      </c>
      <c r="P14" s="1">
        <f t="shared" si="0"/>
        <v>13.3333128</v>
      </c>
      <c r="Q14" s="1">
        <v>0</v>
      </c>
      <c r="R14" s="1">
        <v>0</v>
      </c>
      <c r="S14" s="3">
        <f t="shared" si="17"/>
        <v>13.3333128</v>
      </c>
      <c r="T14" s="2">
        <f>SUMIF('February 2027'!$B:$B,'PTO SUMMARY 2027'!G14,'February 2027'!$AK:$AK)</f>
        <v>0</v>
      </c>
      <c r="U14" s="154">
        <v>0</v>
      </c>
      <c r="V14" s="1">
        <f t="shared" si="1"/>
        <v>26.6666256</v>
      </c>
      <c r="W14" s="1">
        <v>0</v>
      </c>
      <c r="X14" s="1">
        <v>0</v>
      </c>
      <c r="Y14" s="3">
        <f t="shared" si="18"/>
        <v>13.3333128</v>
      </c>
      <c r="Z14" s="2">
        <f>SUMIF('March 2027'!$B:$B,'PTO SUMMARY 2027'!M14,'March 2027'!$AK:$AK)</f>
        <v>0</v>
      </c>
      <c r="AA14" s="1">
        <f t="shared" si="2"/>
        <v>39.999938399999998</v>
      </c>
      <c r="AB14" s="1">
        <v>0</v>
      </c>
      <c r="AC14" s="1">
        <v>0</v>
      </c>
      <c r="AD14" s="3">
        <v>0</v>
      </c>
      <c r="AE14" s="31">
        <f t="shared" si="3"/>
        <v>0</v>
      </c>
      <c r="AF14" s="31">
        <v>0</v>
      </c>
      <c r="AG14" s="30">
        <f t="shared" si="4"/>
        <v>0</v>
      </c>
      <c r="AH14" s="2">
        <f t="shared" si="19"/>
        <v>13.3333128</v>
      </c>
      <c r="AI14" s="2">
        <f>SUMIF('April 2027'!$B:$B,'PTO SUMMARY 2027'!V14,'April 2027'!$AK:$AK)</f>
        <v>0</v>
      </c>
      <c r="AJ14" s="1">
        <f t="shared" si="5"/>
        <v>53.333251199999999</v>
      </c>
      <c r="AK14" s="1">
        <v>0</v>
      </c>
      <c r="AL14" s="1">
        <v>0</v>
      </c>
      <c r="AM14" s="3">
        <f t="shared" si="20"/>
        <v>13.3333128</v>
      </c>
      <c r="AN14" s="2">
        <f>SUMIF('May 2027'!$B:$B,'PTO SUMMARY 2027'!AA14,'May 2027'!$AK:$AK)</f>
        <v>0</v>
      </c>
      <c r="AO14" s="1">
        <f t="shared" si="6"/>
        <v>66.67</v>
      </c>
      <c r="AP14" s="1">
        <v>0</v>
      </c>
      <c r="AQ14" s="1">
        <v>0</v>
      </c>
      <c r="AR14" s="3">
        <f t="shared" si="21"/>
        <v>13.3333128</v>
      </c>
      <c r="AS14" s="2">
        <f>SUMIF('June 2027'!$B:$B,'PTO SUMMARY 2027'!AF14,'June 2027'!$AK:$AK)</f>
        <v>0</v>
      </c>
      <c r="AT14" s="1">
        <f t="shared" si="7"/>
        <v>80.003312800000003</v>
      </c>
      <c r="AU14" s="1">
        <v>0</v>
      </c>
      <c r="AV14" s="1">
        <v>0</v>
      </c>
      <c r="AW14" s="3">
        <v>0</v>
      </c>
      <c r="AX14" s="31">
        <v>0</v>
      </c>
      <c r="AY14" s="31">
        <v>0</v>
      </c>
      <c r="AZ14" s="30">
        <f t="shared" si="8"/>
        <v>0</v>
      </c>
      <c r="BA14" s="3">
        <f t="shared" si="22"/>
        <v>13.3333128</v>
      </c>
      <c r="BB14" s="2">
        <f>SUMIF('July 2027'!$B:$B,'PTO SUMMARY 2027'!AK14,'July 2027'!$AK:$AK)</f>
        <v>0</v>
      </c>
      <c r="BC14" s="1">
        <f t="shared" si="9"/>
        <v>93.336625600000005</v>
      </c>
      <c r="BD14" s="1">
        <v>0</v>
      </c>
      <c r="BE14" s="1">
        <v>0</v>
      </c>
      <c r="BF14" s="3">
        <f t="shared" si="23"/>
        <v>13.3333128</v>
      </c>
      <c r="BG14" s="2">
        <f>SUMIF('August 2027'!$B:$B,'PTO SUMMARY 2027'!AP14,'August 2027'!$AK:$AK)</f>
        <v>0</v>
      </c>
      <c r="BH14" s="1">
        <f t="shared" si="10"/>
        <v>106.66993840000001</v>
      </c>
      <c r="BI14" s="1">
        <v>0</v>
      </c>
      <c r="BJ14" s="1">
        <v>0</v>
      </c>
      <c r="BK14" s="3">
        <f t="shared" si="24"/>
        <v>13.3333128</v>
      </c>
      <c r="BL14" s="2">
        <f>SUMIF('September 2027'!$B:$B,'PTO SUMMARY 2027'!AU14,'September 2027'!$AK:$AK)</f>
        <v>0</v>
      </c>
      <c r="BM14" s="1">
        <f t="shared" si="11"/>
        <v>120.00325120000001</v>
      </c>
      <c r="BN14" s="1">
        <v>0</v>
      </c>
      <c r="BO14" s="1">
        <v>0</v>
      </c>
      <c r="BP14" s="3">
        <v>0</v>
      </c>
      <c r="BQ14" s="31">
        <v>0</v>
      </c>
      <c r="BR14" s="31">
        <v>0</v>
      </c>
      <c r="BS14" s="30">
        <f t="shared" si="12"/>
        <v>0</v>
      </c>
      <c r="BT14" s="3">
        <f t="shared" si="25"/>
        <v>13.3333128</v>
      </c>
      <c r="BU14" s="2">
        <f>SUMIF('October 2027'!$B:$B,'PTO SUMMARY 2027'!BH14,'October 2027'!$AK:$AK)</f>
        <v>0</v>
      </c>
      <c r="BV14" s="1">
        <f t="shared" si="13"/>
        <v>133.33656400000001</v>
      </c>
      <c r="BW14" s="1">
        <v>0</v>
      </c>
      <c r="BX14" s="1">
        <v>0</v>
      </c>
      <c r="BY14" s="3">
        <f t="shared" si="26"/>
        <v>13.3333128</v>
      </c>
      <c r="BZ14" s="2">
        <f>SUMIF('November 2027'!$B:$B,'PTO SUMMARY 2027'!BM14,'November 2027'!$AK:$AK)</f>
        <v>0</v>
      </c>
      <c r="CA14" s="1">
        <f t="shared" si="14"/>
        <v>146.6698768</v>
      </c>
      <c r="CB14" s="1">
        <v>0</v>
      </c>
      <c r="CC14" s="1">
        <v>0</v>
      </c>
      <c r="CD14" s="3">
        <f t="shared" si="27"/>
        <v>13.3333128</v>
      </c>
      <c r="CE14" s="2">
        <f>SUMIF('December 2027'!$B:$B,'PTO SUMMARY 2027'!$B:$B,'December 2027'!$AK:$AK)</f>
        <v>0</v>
      </c>
      <c r="CF14" s="1">
        <f t="shared" si="15"/>
        <v>160.00318959999998</v>
      </c>
      <c r="CG14" s="1">
        <v>0</v>
      </c>
      <c r="CH14" s="1">
        <v>0</v>
      </c>
      <c r="CI14" s="1">
        <v>0</v>
      </c>
      <c r="CJ14" s="3">
        <v>0</v>
      </c>
      <c r="CK14" s="31">
        <v>0</v>
      </c>
      <c r="CL14" s="31">
        <v>0</v>
      </c>
      <c r="CM14" s="31">
        <v>0</v>
      </c>
      <c r="CN14" s="30">
        <f t="shared" si="28"/>
        <v>0</v>
      </c>
    </row>
    <row r="15" spans="1:92">
      <c r="A15" s="8" t="s">
        <v>102</v>
      </c>
      <c r="B15" s="8" t="s">
        <v>103</v>
      </c>
      <c r="C15" s="8" t="s">
        <v>64</v>
      </c>
      <c r="D15" s="9" t="s">
        <v>70</v>
      </c>
      <c r="E15" t="s">
        <v>71</v>
      </c>
      <c r="F15" s="12" t="s">
        <v>77</v>
      </c>
      <c r="G15" s="7">
        <v>1</v>
      </c>
      <c r="H15" s="11">
        <f>((G15*86.67)*2)*(SUMIF('Accrual Rates'!B:B,'PTO SUMMARY 2027'!B15,'Accrual Rates'!G:G))</f>
        <v>15.999975360000001</v>
      </c>
      <c r="I15" s="33">
        <v>0</v>
      </c>
      <c r="J15" s="1">
        <v>0</v>
      </c>
      <c r="K15" s="1">
        <v>0</v>
      </c>
      <c r="L15" s="1">
        <v>0</v>
      </c>
      <c r="M15" s="32">
        <v>0</v>
      </c>
      <c r="N15" s="2">
        <f t="shared" si="16"/>
        <v>15.999975360000001</v>
      </c>
      <c r="O15" s="2">
        <f>SUMIF('January 2027'!$B:$B,'PTO SUMMARY 2027'!B15,'January 2027'!$AK:$AK)</f>
        <v>0</v>
      </c>
      <c r="P15" s="1">
        <f t="shared" si="0"/>
        <v>15.999975360000001</v>
      </c>
      <c r="Q15" s="1">
        <v>0</v>
      </c>
      <c r="R15" s="1">
        <v>0</v>
      </c>
      <c r="S15" s="3">
        <f t="shared" si="17"/>
        <v>15.999975360000001</v>
      </c>
      <c r="T15" s="2">
        <f>SUMIF('February 2027'!$B:$B,'PTO SUMMARY 2027'!G15,'February 2027'!$AK:$AK)</f>
        <v>0</v>
      </c>
      <c r="U15" s="154">
        <v>0</v>
      </c>
      <c r="V15" s="1">
        <f t="shared" si="1"/>
        <v>31.999950720000001</v>
      </c>
      <c r="W15" s="1">
        <v>0</v>
      </c>
      <c r="X15" s="1">
        <v>0</v>
      </c>
      <c r="Y15" s="3">
        <f t="shared" si="18"/>
        <v>15.999975360000001</v>
      </c>
      <c r="Z15" s="2">
        <f>SUMIF('March 2027'!$B:$B,'PTO SUMMARY 2027'!M15,'March 2027'!$AK:$AK)</f>
        <v>0</v>
      </c>
      <c r="AA15" s="1">
        <f t="shared" si="2"/>
        <v>47.999926080000002</v>
      </c>
      <c r="AB15" s="1">
        <v>0</v>
      </c>
      <c r="AC15" s="1">
        <v>0</v>
      </c>
      <c r="AD15" s="3">
        <v>0</v>
      </c>
      <c r="AE15" s="31">
        <f t="shared" si="3"/>
        <v>0</v>
      </c>
      <c r="AF15" s="31">
        <v>0</v>
      </c>
      <c r="AG15" s="30">
        <f t="shared" si="4"/>
        <v>0</v>
      </c>
      <c r="AH15" s="2">
        <f t="shared" si="19"/>
        <v>15.999975360000001</v>
      </c>
      <c r="AI15" s="2">
        <f>SUMIF('April 2027'!$B:$B,'PTO SUMMARY 2027'!V15,'April 2027'!$AK:$AK)</f>
        <v>0</v>
      </c>
      <c r="AJ15" s="1">
        <f t="shared" si="5"/>
        <v>63.999901440000002</v>
      </c>
      <c r="AK15" s="1">
        <v>0</v>
      </c>
      <c r="AL15" s="1">
        <v>0</v>
      </c>
      <c r="AM15" s="3">
        <f t="shared" si="20"/>
        <v>15.999975360000001</v>
      </c>
      <c r="AN15" s="2">
        <f>SUMIF('May 2027'!$B:$B,'PTO SUMMARY 2027'!AA15,'May 2027'!$AK:$AK)</f>
        <v>0</v>
      </c>
      <c r="AO15" s="1">
        <f t="shared" si="6"/>
        <v>80</v>
      </c>
      <c r="AP15" s="1">
        <v>0</v>
      </c>
      <c r="AQ15" s="1">
        <v>0</v>
      </c>
      <c r="AR15" s="3">
        <f t="shared" si="21"/>
        <v>15.999975360000001</v>
      </c>
      <c r="AS15" s="2">
        <f>SUMIF('June 2027'!$B:$B,'PTO SUMMARY 2027'!AF15,'June 2027'!$AK:$AK)</f>
        <v>0</v>
      </c>
      <c r="AT15" s="1">
        <f t="shared" si="7"/>
        <v>95.999975360000008</v>
      </c>
      <c r="AU15" s="1">
        <v>0</v>
      </c>
      <c r="AV15" s="1">
        <v>0</v>
      </c>
      <c r="AW15" s="3">
        <v>0</v>
      </c>
      <c r="AX15" s="31">
        <v>0</v>
      </c>
      <c r="AY15" s="31">
        <v>0</v>
      </c>
      <c r="AZ15" s="30">
        <f t="shared" si="8"/>
        <v>0</v>
      </c>
      <c r="BA15" s="3">
        <f t="shared" si="22"/>
        <v>15.999975360000001</v>
      </c>
      <c r="BB15" s="2">
        <f>SUMIF('July 2027'!$B:$B,'PTO SUMMARY 2027'!AK15,'July 2027'!$AK:$AK)</f>
        <v>0</v>
      </c>
      <c r="BC15" s="1">
        <f t="shared" si="9"/>
        <v>111.99995072000002</v>
      </c>
      <c r="BD15" s="1">
        <v>0</v>
      </c>
      <c r="BE15" s="1">
        <v>0</v>
      </c>
      <c r="BF15" s="3">
        <f t="shared" si="23"/>
        <v>15.999975360000001</v>
      </c>
      <c r="BG15" s="2">
        <f>SUMIF('August 2027'!$B:$B,'PTO SUMMARY 2027'!AP15,'August 2027'!$AK:$AK)</f>
        <v>0</v>
      </c>
      <c r="BH15" s="1">
        <f t="shared" si="10"/>
        <v>127.99992608000002</v>
      </c>
      <c r="BI15" s="1">
        <v>0</v>
      </c>
      <c r="BJ15" s="1">
        <v>0</v>
      </c>
      <c r="BK15" s="3">
        <f t="shared" si="24"/>
        <v>15.999975360000001</v>
      </c>
      <c r="BL15" s="2">
        <f>SUMIF('September 2027'!$B:$B,'PTO SUMMARY 2027'!AU15,'September 2027'!$AK:$AK)</f>
        <v>0</v>
      </c>
      <c r="BM15" s="1">
        <f t="shared" si="11"/>
        <v>143.99990144000003</v>
      </c>
      <c r="BN15" s="1">
        <v>0</v>
      </c>
      <c r="BO15" s="1">
        <v>0</v>
      </c>
      <c r="BP15" s="3">
        <v>0</v>
      </c>
      <c r="BQ15" s="31">
        <v>0</v>
      </c>
      <c r="BR15" s="31">
        <v>0</v>
      </c>
      <c r="BS15" s="30">
        <f t="shared" si="12"/>
        <v>0</v>
      </c>
      <c r="BT15" s="3">
        <f t="shared" si="25"/>
        <v>15.999975360000001</v>
      </c>
      <c r="BU15" s="2">
        <f>SUMIF('October 2027'!$B:$B,'PTO SUMMARY 2027'!BH15,'October 2027'!$AK:$AK)</f>
        <v>0</v>
      </c>
      <c r="BV15" s="1">
        <f t="shared" si="13"/>
        <v>159.99987680000004</v>
      </c>
      <c r="BW15" s="1">
        <v>0</v>
      </c>
      <c r="BX15" s="1">
        <v>0</v>
      </c>
      <c r="BY15" s="3">
        <f t="shared" si="26"/>
        <v>15.999975360000001</v>
      </c>
      <c r="BZ15" s="2">
        <f>SUMIF('November 2027'!$B:$B,'PTO SUMMARY 2027'!BM15,'November 2027'!$AK:$AK)</f>
        <v>0</v>
      </c>
      <c r="CA15" s="1">
        <f t="shared" si="14"/>
        <v>175.99985216000005</v>
      </c>
      <c r="CB15" s="1">
        <v>0</v>
      </c>
      <c r="CC15" s="1">
        <v>0</v>
      </c>
      <c r="CD15" s="3">
        <f t="shared" si="27"/>
        <v>15.999975360000001</v>
      </c>
      <c r="CE15" s="2">
        <f>SUMIF('December 2027'!$B:$B,'PTO SUMMARY 2027'!$B:$B,'December 2027'!$AK:$AK)</f>
        <v>0</v>
      </c>
      <c r="CF15" s="1">
        <f t="shared" si="15"/>
        <v>191.99982752000005</v>
      </c>
      <c r="CG15" s="1">
        <v>0</v>
      </c>
      <c r="CH15" s="1">
        <v>0</v>
      </c>
      <c r="CI15" s="1">
        <v>0</v>
      </c>
      <c r="CJ15" s="3">
        <v>0</v>
      </c>
      <c r="CK15" s="31">
        <v>0</v>
      </c>
      <c r="CL15" s="31">
        <v>0</v>
      </c>
      <c r="CM15" s="31">
        <v>0</v>
      </c>
      <c r="CN15" s="30">
        <f t="shared" si="28"/>
        <v>0</v>
      </c>
    </row>
    <row r="16" spans="1:92">
      <c r="A16" s="35" t="s">
        <v>104</v>
      </c>
      <c r="B16" s="8" t="s">
        <v>105</v>
      </c>
      <c r="C16" s="8" t="s">
        <v>64</v>
      </c>
      <c r="D16" s="9" t="s">
        <v>65</v>
      </c>
      <c r="E16" s="36" t="s">
        <v>66</v>
      </c>
      <c r="F16" s="12" t="s">
        <v>72</v>
      </c>
      <c r="G16" s="7">
        <v>1</v>
      </c>
      <c r="H16" s="34">
        <v>0</v>
      </c>
      <c r="I16" s="33">
        <v>0</v>
      </c>
      <c r="J16" s="1">
        <v>0</v>
      </c>
      <c r="K16" s="1">
        <v>0</v>
      </c>
      <c r="L16" s="1">
        <v>0</v>
      </c>
      <c r="M16" s="32">
        <v>0</v>
      </c>
      <c r="N16" s="2">
        <f t="shared" si="16"/>
        <v>0</v>
      </c>
      <c r="O16" s="2">
        <f>SUMIF('January 2027'!$B:$B,'PTO SUMMARY 2027'!B16,'January 2027'!$AK:$AK)</f>
        <v>0</v>
      </c>
      <c r="P16" s="1">
        <f t="shared" si="0"/>
        <v>0</v>
      </c>
      <c r="Q16" s="1">
        <v>0</v>
      </c>
      <c r="R16" s="1">
        <v>0</v>
      </c>
      <c r="S16" s="3">
        <f t="shared" si="17"/>
        <v>0</v>
      </c>
      <c r="T16" s="2">
        <f>SUMIF('February 2027'!$B:$B,'PTO SUMMARY 2027'!G16,'February 2027'!$AK:$AK)</f>
        <v>0</v>
      </c>
      <c r="U16" s="154">
        <v>0</v>
      </c>
      <c r="V16" s="1">
        <f t="shared" si="1"/>
        <v>0</v>
      </c>
      <c r="W16" s="1">
        <v>0</v>
      </c>
      <c r="X16" s="1">
        <v>0</v>
      </c>
      <c r="Y16" s="3">
        <f t="shared" si="18"/>
        <v>0</v>
      </c>
      <c r="Z16" s="2">
        <f>SUMIF('March 2027'!$B:$B,'PTO SUMMARY 2027'!M16,'March 2027'!$AK:$AK)</f>
        <v>0</v>
      </c>
      <c r="AA16" s="1">
        <f t="shared" si="2"/>
        <v>0</v>
      </c>
      <c r="AB16" s="1">
        <v>0</v>
      </c>
      <c r="AC16" s="1">
        <v>0</v>
      </c>
      <c r="AD16" s="3">
        <v>0</v>
      </c>
      <c r="AE16" s="31">
        <f t="shared" si="3"/>
        <v>0</v>
      </c>
      <c r="AF16" s="31">
        <v>0</v>
      </c>
      <c r="AG16" s="30">
        <f t="shared" si="4"/>
        <v>0</v>
      </c>
      <c r="AH16" s="2">
        <f t="shared" si="19"/>
        <v>0</v>
      </c>
      <c r="AI16" s="2">
        <f>SUMIF('April 2027'!$B:$B,'PTO SUMMARY 2027'!V16,'April 2027'!$AK:$AK)</f>
        <v>0</v>
      </c>
      <c r="AJ16" s="1">
        <f t="shared" si="5"/>
        <v>0</v>
      </c>
      <c r="AK16" s="1">
        <v>0</v>
      </c>
      <c r="AL16" s="1">
        <v>0</v>
      </c>
      <c r="AM16" s="3">
        <f t="shared" si="20"/>
        <v>0</v>
      </c>
      <c r="AN16" s="2">
        <f>SUMIF('May 2027'!$B:$B,'PTO SUMMARY 2027'!AA16,'May 2027'!$AK:$AK)</f>
        <v>0</v>
      </c>
      <c r="AO16" s="1">
        <f t="shared" si="6"/>
        <v>0</v>
      </c>
      <c r="AP16" s="1">
        <v>0</v>
      </c>
      <c r="AQ16" s="1">
        <v>0</v>
      </c>
      <c r="AR16" s="3">
        <f t="shared" si="21"/>
        <v>0</v>
      </c>
      <c r="AS16" s="2">
        <f>SUMIF('June 2027'!$B:$B,'PTO SUMMARY 2027'!AF16,'June 2027'!$AK:$AK)</f>
        <v>0</v>
      </c>
      <c r="AT16" s="1">
        <f t="shared" si="7"/>
        <v>0</v>
      </c>
      <c r="AU16" s="1">
        <v>0</v>
      </c>
      <c r="AV16" s="1">
        <v>0</v>
      </c>
      <c r="AW16" s="3">
        <v>0</v>
      </c>
      <c r="AX16" s="31">
        <v>0</v>
      </c>
      <c r="AY16" s="31">
        <v>0</v>
      </c>
      <c r="AZ16" s="30">
        <f t="shared" si="8"/>
        <v>0</v>
      </c>
      <c r="BA16" s="3">
        <f t="shared" si="22"/>
        <v>0</v>
      </c>
      <c r="BB16" s="2">
        <f>SUMIF('July 2027'!$B:$B,'PTO SUMMARY 2027'!AK16,'July 2027'!$AK:$AK)</f>
        <v>0</v>
      </c>
      <c r="BC16" s="1">
        <f t="shared" si="9"/>
        <v>0</v>
      </c>
      <c r="BD16" s="1">
        <v>0</v>
      </c>
      <c r="BE16" s="1">
        <v>0</v>
      </c>
      <c r="BF16" s="3">
        <f t="shared" si="23"/>
        <v>0</v>
      </c>
      <c r="BG16" s="2">
        <f>SUMIF('August 2027'!$B:$B,'PTO SUMMARY 2027'!AP16,'August 2027'!$AK:$AK)</f>
        <v>0</v>
      </c>
      <c r="BH16" s="1">
        <f t="shared" si="10"/>
        <v>0</v>
      </c>
      <c r="BI16" s="1">
        <v>0</v>
      </c>
      <c r="BJ16" s="1">
        <v>0</v>
      </c>
      <c r="BK16" s="3">
        <f t="shared" si="24"/>
        <v>0</v>
      </c>
      <c r="BL16" s="2">
        <f>SUMIF('September 2027'!$B:$B,'PTO SUMMARY 2027'!AU16,'September 2027'!$AK:$AK)</f>
        <v>0</v>
      </c>
      <c r="BM16" s="1">
        <f t="shared" si="11"/>
        <v>0</v>
      </c>
      <c r="BN16" s="1">
        <v>0</v>
      </c>
      <c r="BO16" s="1">
        <v>0</v>
      </c>
      <c r="BP16" s="3">
        <v>0</v>
      </c>
      <c r="BQ16" s="31">
        <v>0</v>
      </c>
      <c r="BR16" s="31">
        <v>0</v>
      </c>
      <c r="BS16" s="30">
        <f t="shared" si="12"/>
        <v>0</v>
      </c>
      <c r="BT16" s="3">
        <f t="shared" si="25"/>
        <v>0</v>
      </c>
      <c r="BU16" s="2">
        <f>SUMIF('October 2027'!$B:$B,'PTO SUMMARY 2027'!BH16,'October 2027'!$AK:$AK)</f>
        <v>0</v>
      </c>
      <c r="BV16" s="1">
        <f t="shared" si="13"/>
        <v>0</v>
      </c>
      <c r="BW16" s="1">
        <v>0</v>
      </c>
      <c r="BX16" s="1">
        <v>0</v>
      </c>
      <c r="BY16" s="3">
        <f t="shared" si="26"/>
        <v>0</v>
      </c>
      <c r="BZ16" s="2">
        <f>SUMIF('November 2027'!$B:$B,'PTO SUMMARY 2027'!BM16,'November 2027'!$AK:$AK)</f>
        <v>0</v>
      </c>
      <c r="CA16" s="1">
        <f t="shared" si="14"/>
        <v>0</v>
      </c>
      <c r="CB16" s="1">
        <v>0</v>
      </c>
      <c r="CC16" s="1">
        <v>0</v>
      </c>
      <c r="CD16" s="3">
        <f t="shared" si="27"/>
        <v>0</v>
      </c>
      <c r="CE16" s="2">
        <f>SUMIF('December 2027'!$B:$B,'PTO SUMMARY 2027'!$B:$B,'December 2027'!$AK:$AK)</f>
        <v>0</v>
      </c>
      <c r="CF16" s="1">
        <f t="shared" si="15"/>
        <v>0</v>
      </c>
      <c r="CG16" s="1">
        <v>0</v>
      </c>
      <c r="CH16" s="1">
        <v>0</v>
      </c>
      <c r="CI16" s="1">
        <v>0</v>
      </c>
      <c r="CJ16" s="3">
        <v>0</v>
      </c>
      <c r="CK16" s="31">
        <v>0</v>
      </c>
      <c r="CL16" s="31">
        <v>0</v>
      </c>
      <c r="CM16" s="31">
        <v>0</v>
      </c>
      <c r="CN16" s="30">
        <f t="shared" si="28"/>
        <v>0</v>
      </c>
    </row>
    <row r="17" spans="1:92">
      <c r="A17" s="35" t="s">
        <v>106</v>
      </c>
      <c r="B17" s="8" t="s">
        <v>107</v>
      </c>
      <c r="C17" s="8" t="s">
        <v>64</v>
      </c>
      <c r="D17" s="9" t="s">
        <v>65</v>
      </c>
      <c r="E17" s="36" t="s">
        <v>66</v>
      </c>
      <c r="F17" s="12" t="s">
        <v>108</v>
      </c>
      <c r="G17" s="7">
        <v>0.87</v>
      </c>
      <c r="H17" s="34">
        <v>0</v>
      </c>
      <c r="I17" s="33">
        <v>0</v>
      </c>
      <c r="J17" s="1">
        <v>0</v>
      </c>
      <c r="K17" s="1">
        <v>0</v>
      </c>
      <c r="L17" s="1">
        <v>0</v>
      </c>
      <c r="M17" s="32">
        <v>0</v>
      </c>
      <c r="N17" s="2">
        <f t="shared" si="16"/>
        <v>0</v>
      </c>
      <c r="O17" s="2">
        <f>SUMIF('January 2027'!$B:$B,'PTO SUMMARY 2027'!B17,'January 2027'!$AK:$AK)</f>
        <v>0</v>
      </c>
      <c r="P17" s="1">
        <f t="shared" si="0"/>
        <v>0</v>
      </c>
      <c r="Q17" s="1">
        <v>0</v>
      </c>
      <c r="R17" s="1">
        <v>0</v>
      </c>
      <c r="S17" s="3">
        <f t="shared" si="17"/>
        <v>0</v>
      </c>
      <c r="T17" s="2">
        <f>SUMIF('February 2027'!$B:$B,'PTO SUMMARY 2027'!G17,'February 2027'!$AK:$AK)</f>
        <v>0</v>
      </c>
      <c r="U17" s="154">
        <v>0</v>
      </c>
      <c r="V17" s="1">
        <f t="shared" si="1"/>
        <v>0</v>
      </c>
      <c r="W17" s="1">
        <v>0</v>
      </c>
      <c r="X17" s="1">
        <v>0</v>
      </c>
      <c r="Y17" s="3">
        <f t="shared" si="18"/>
        <v>0</v>
      </c>
      <c r="Z17" s="2">
        <f>SUMIF('March 2027'!$B:$B,'PTO SUMMARY 2027'!M17,'March 2027'!$AK:$AK)</f>
        <v>0</v>
      </c>
      <c r="AA17" s="1">
        <f t="shared" si="2"/>
        <v>0</v>
      </c>
      <c r="AB17" s="1">
        <v>0</v>
      </c>
      <c r="AC17" s="1">
        <v>0</v>
      </c>
      <c r="AD17" s="3">
        <v>0</v>
      </c>
      <c r="AE17" s="31">
        <f t="shared" si="3"/>
        <v>0</v>
      </c>
      <c r="AF17" s="31">
        <v>0</v>
      </c>
      <c r="AG17" s="30">
        <f t="shared" si="4"/>
        <v>0</v>
      </c>
      <c r="AH17" s="2">
        <f t="shared" si="19"/>
        <v>0</v>
      </c>
      <c r="AI17" s="2">
        <f>SUMIF('April 2027'!$B:$B,'PTO SUMMARY 2027'!V17,'April 2027'!$AK:$AK)</f>
        <v>0</v>
      </c>
      <c r="AJ17" s="1">
        <f t="shared" si="5"/>
        <v>0</v>
      </c>
      <c r="AK17" s="1">
        <v>0</v>
      </c>
      <c r="AL17" s="1">
        <v>0</v>
      </c>
      <c r="AM17" s="3">
        <f t="shared" si="20"/>
        <v>0</v>
      </c>
      <c r="AN17" s="2">
        <f>SUMIF('May 2027'!$B:$B,'PTO SUMMARY 2027'!AA17,'May 2027'!$AK:$AK)</f>
        <v>0</v>
      </c>
      <c r="AO17" s="1">
        <f t="shared" si="6"/>
        <v>0</v>
      </c>
      <c r="AP17" s="1">
        <v>0</v>
      </c>
      <c r="AQ17" s="1">
        <v>0</v>
      </c>
      <c r="AR17" s="3">
        <f t="shared" si="21"/>
        <v>0</v>
      </c>
      <c r="AS17" s="2">
        <f>SUMIF('June 2027'!$B:$B,'PTO SUMMARY 2027'!AF17,'June 2027'!$AK:$AK)</f>
        <v>0</v>
      </c>
      <c r="AT17" s="1">
        <f t="shared" si="7"/>
        <v>0</v>
      </c>
      <c r="AU17" s="1">
        <v>0</v>
      </c>
      <c r="AV17" s="1">
        <v>0</v>
      </c>
      <c r="AW17" s="3">
        <v>0</v>
      </c>
      <c r="AX17" s="31">
        <v>0</v>
      </c>
      <c r="AY17" s="31">
        <v>0</v>
      </c>
      <c r="AZ17" s="30">
        <f t="shared" si="8"/>
        <v>0</v>
      </c>
      <c r="BA17" s="3">
        <f t="shared" si="22"/>
        <v>0</v>
      </c>
      <c r="BB17" s="2">
        <f>SUMIF('July 2027'!$B:$B,'PTO SUMMARY 2027'!AK17,'July 2027'!$AK:$AK)</f>
        <v>0</v>
      </c>
      <c r="BC17" s="1">
        <f t="shared" si="9"/>
        <v>0</v>
      </c>
      <c r="BD17" s="1">
        <v>0</v>
      </c>
      <c r="BE17" s="1">
        <v>0</v>
      </c>
      <c r="BF17" s="3">
        <f t="shared" si="23"/>
        <v>0</v>
      </c>
      <c r="BG17" s="2">
        <f>SUMIF('August 2027'!$B:$B,'PTO SUMMARY 2027'!AP17,'August 2027'!$AK:$AK)</f>
        <v>0</v>
      </c>
      <c r="BH17" s="1">
        <f t="shared" si="10"/>
        <v>0</v>
      </c>
      <c r="BI17" s="1">
        <v>0</v>
      </c>
      <c r="BJ17" s="1">
        <v>0</v>
      </c>
      <c r="BK17" s="3">
        <f t="shared" si="24"/>
        <v>0</v>
      </c>
      <c r="BL17" s="2">
        <f>SUMIF('September 2027'!$B:$B,'PTO SUMMARY 2027'!AU17,'September 2027'!$AK:$AK)</f>
        <v>0</v>
      </c>
      <c r="BM17" s="1">
        <f t="shared" si="11"/>
        <v>0</v>
      </c>
      <c r="BN17" s="1">
        <v>0</v>
      </c>
      <c r="BO17" s="1">
        <v>0</v>
      </c>
      <c r="BP17" s="3">
        <v>0</v>
      </c>
      <c r="BQ17" s="31">
        <v>0</v>
      </c>
      <c r="BR17" s="31">
        <v>0</v>
      </c>
      <c r="BS17" s="30">
        <f t="shared" si="12"/>
        <v>0</v>
      </c>
      <c r="BT17" s="3">
        <f t="shared" si="25"/>
        <v>0</v>
      </c>
      <c r="BU17" s="2">
        <f>SUMIF('October 2027'!$B:$B,'PTO SUMMARY 2027'!BH17,'October 2027'!$AK:$AK)</f>
        <v>0</v>
      </c>
      <c r="BV17" s="1">
        <f t="shared" si="13"/>
        <v>0</v>
      </c>
      <c r="BW17" s="1">
        <v>0</v>
      </c>
      <c r="BX17" s="1">
        <v>0</v>
      </c>
      <c r="BY17" s="3">
        <f t="shared" si="26"/>
        <v>0</v>
      </c>
      <c r="BZ17" s="2">
        <f>SUMIF('November 2027'!$B:$B,'PTO SUMMARY 2027'!BM17,'November 2027'!$AK:$AK)</f>
        <v>0</v>
      </c>
      <c r="CA17" s="1">
        <f t="shared" si="14"/>
        <v>0</v>
      </c>
      <c r="CB17" s="1">
        <v>0</v>
      </c>
      <c r="CC17" s="1">
        <v>0</v>
      </c>
      <c r="CD17" s="3">
        <f t="shared" si="27"/>
        <v>0</v>
      </c>
      <c r="CE17" s="2">
        <f>SUMIF('December 2027'!$B:$B,'PTO SUMMARY 2027'!$B:$B,'December 2027'!$AK:$AK)</f>
        <v>0</v>
      </c>
      <c r="CF17" s="1">
        <f t="shared" si="15"/>
        <v>0</v>
      </c>
      <c r="CG17" s="1">
        <v>0</v>
      </c>
      <c r="CH17" s="1">
        <v>0</v>
      </c>
      <c r="CI17" s="1">
        <v>0</v>
      </c>
      <c r="CJ17" s="3">
        <v>0</v>
      </c>
      <c r="CK17" s="31">
        <v>0</v>
      </c>
      <c r="CL17" s="31">
        <v>0</v>
      </c>
      <c r="CM17" s="31">
        <v>0</v>
      </c>
      <c r="CN17" s="30">
        <f t="shared" si="28"/>
        <v>0</v>
      </c>
    </row>
    <row r="18" spans="1:92">
      <c r="A18" s="35" t="s">
        <v>109</v>
      </c>
      <c r="B18" s="8" t="s">
        <v>110</v>
      </c>
      <c r="C18" s="8" t="s">
        <v>64</v>
      </c>
      <c r="D18" s="9" t="s">
        <v>65</v>
      </c>
      <c r="E18" s="36" t="s">
        <v>66</v>
      </c>
      <c r="F18" s="12" t="s">
        <v>67</v>
      </c>
      <c r="G18" s="7">
        <v>1</v>
      </c>
      <c r="H18" s="34">
        <v>0</v>
      </c>
      <c r="I18" s="33">
        <v>0</v>
      </c>
      <c r="J18" s="1">
        <v>0</v>
      </c>
      <c r="K18" s="1">
        <v>0</v>
      </c>
      <c r="L18" s="1">
        <v>0</v>
      </c>
      <c r="M18" s="32">
        <v>0</v>
      </c>
      <c r="N18" s="2">
        <f t="shared" si="16"/>
        <v>0</v>
      </c>
      <c r="O18" s="2">
        <f>SUMIF('January 2027'!$B:$B,'PTO SUMMARY 2027'!B18,'January 2027'!$AK:$AK)</f>
        <v>0</v>
      </c>
      <c r="P18" s="1">
        <f t="shared" si="0"/>
        <v>0</v>
      </c>
      <c r="Q18" s="1">
        <v>0</v>
      </c>
      <c r="R18" s="1">
        <v>0</v>
      </c>
      <c r="S18" s="3">
        <f t="shared" si="17"/>
        <v>0</v>
      </c>
      <c r="T18" s="2">
        <f>SUMIF('February 2027'!$B:$B,'PTO SUMMARY 2027'!G18,'February 2027'!$AK:$AK)</f>
        <v>0</v>
      </c>
      <c r="U18" s="154">
        <v>0</v>
      </c>
      <c r="V18" s="1">
        <f t="shared" si="1"/>
        <v>0</v>
      </c>
      <c r="W18" s="1">
        <v>0</v>
      </c>
      <c r="X18" s="1">
        <v>0</v>
      </c>
      <c r="Y18" s="3">
        <f t="shared" si="18"/>
        <v>0</v>
      </c>
      <c r="Z18" s="2">
        <f>SUMIF('March 2027'!$B:$B,'PTO SUMMARY 2027'!M18,'March 2027'!$AK:$AK)</f>
        <v>0</v>
      </c>
      <c r="AA18" s="1">
        <f>V18+Y18-Z18-U18</f>
        <v>0</v>
      </c>
      <c r="AB18" s="1">
        <v>0</v>
      </c>
      <c r="AC18" s="1">
        <v>0</v>
      </c>
      <c r="AD18" s="3">
        <v>0</v>
      </c>
      <c r="AE18" s="31">
        <f t="shared" si="3"/>
        <v>0</v>
      </c>
      <c r="AF18" s="31">
        <v>0</v>
      </c>
      <c r="AG18" s="30">
        <f t="shared" si="4"/>
        <v>0</v>
      </c>
      <c r="AH18" s="2">
        <f t="shared" si="19"/>
        <v>0</v>
      </c>
      <c r="AI18" s="2">
        <f>SUMIF('April 2027'!$B:$B,'PTO SUMMARY 2027'!V18,'April 2027'!$AK:$AK)</f>
        <v>0</v>
      </c>
      <c r="AJ18" s="1">
        <f t="shared" si="5"/>
        <v>0</v>
      </c>
      <c r="AK18" s="1">
        <v>0</v>
      </c>
      <c r="AL18" s="1">
        <v>0</v>
      </c>
      <c r="AM18" s="3">
        <f t="shared" si="20"/>
        <v>0</v>
      </c>
      <c r="AN18" s="2">
        <f>SUMIF('May 2027'!$B:$B,'PTO SUMMARY 2027'!AA18,'May 2027'!$AK:$AK)</f>
        <v>0</v>
      </c>
      <c r="AO18" s="1">
        <f t="shared" si="6"/>
        <v>0</v>
      </c>
      <c r="AP18" s="1">
        <v>0</v>
      </c>
      <c r="AQ18" s="1">
        <v>0</v>
      </c>
      <c r="AR18" s="3">
        <f t="shared" si="21"/>
        <v>0</v>
      </c>
      <c r="AS18" s="2">
        <f>SUMIF('June 2027'!$B:$B,'PTO SUMMARY 2027'!AF18,'June 2027'!$AK:$AK)</f>
        <v>0</v>
      </c>
      <c r="AT18" s="1">
        <f t="shared" si="7"/>
        <v>0</v>
      </c>
      <c r="AU18" s="1">
        <v>0</v>
      </c>
      <c r="AV18" s="1">
        <v>0</v>
      </c>
      <c r="AW18" s="3">
        <v>0</v>
      </c>
      <c r="AX18" s="31">
        <v>0</v>
      </c>
      <c r="AY18" s="31">
        <v>0</v>
      </c>
      <c r="AZ18" s="30">
        <f t="shared" si="8"/>
        <v>0</v>
      </c>
      <c r="BA18" s="3">
        <f t="shared" si="22"/>
        <v>0</v>
      </c>
      <c r="BB18" s="2">
        <f>SUMIF('July 2027'!$B:$B,'PTO SUMMARY 2027'!AK18,'July 2027'!$AK:$AK)</f>
        <v>0</v>
      </c>
      <c r="BC18" s="1">
        <f t="shared" si="9"/>
        <v>0</v>
      </c>
      <c r="BD18" s="1">
        <v>0</v>
      </c>
      <c r="BE18" s="1">
        <v>0</v>
      </c>
      <c r="BF18" s="3">
        <f t="shared" si="23"/>
        <v>0</v>
      </c>
      <c r="BG18" s="2">
        <f>SUMIF('August 2027'!$B:$B,'PTO SUMMARY 2027'!AP18,'August 2027'!$AK:$AK)</f>
        <v>0</v>
      </c>
      <c r="BH18" s="1">
        <f t="shared" si="10"/>
        <v>0</v>
      </c>
      <c r="BI18" s="1">
        <v>0</v>
      </c>
      <c r="BJ18" s="1">
        <v>0</v>
      </c>
      <c r="BK18" s="3">
        <f t="shared" si="24"/>
        <v>0</v>
      </c>
      <c r="BL18" s="2">
        <f>SUMIF('September 2027'!$B:$B,'PTO SUMMARY 2027'!AU18,'September 2027'!$AK:$AK)</f>
        <v>0</v>
      </c>
      <c r="BM18" s="1">
        <f t="shared" si="11"/>
        <v>0</v>
      </c>
      <c r="BN18" s="1">
        <v>0</v>
      </c>
      <c r="BO18" s="1">
        <v>0</v>
      </c>
      <c r="BP18" s="3">
        <v>0</v>
      </c>
      <c r="BQ18" s="31">
        <v>0</v>
      </c>
      <c r="BR18" s="31">
        <v>0</v>
      </c>
      <c r="BS18" s="30">
        <f t="shared" si="12"/>
        <v>0</v>
      </c>
      <c r="BT18" s="3">
        <f t="shared" si="25"/>
        <v>0</v>
      </c>
      <c r="BU18" s="2">
        <f>SUMIF('October 2027'!$B:$B,'PTO SUMMARY 2027'!BH18,'October 2027'!$AK:$AK)</f>
        <v>0</v>
      </c>
      <c r="BV18" s="1">
        <f t="shared" si="13"/>
        <v>0</v>
      </c>
      <c r="BW18" s="1">
        <v>0</v>
      </c>
      <c r="BX18" s="1">
        <v>0</v>
      </c>
      <c r="BY18" s="3">
        <f t="shared" si="26"/>
        <v>0</v>
      </c>
      <c r="BZ18" s="2">
        <f>SUMIF('November 2027'!$B:$B,'PTO SUMMARY 2027'!BM18,'November 2027'!$AK:$AK)</f>
        <v>0</v>
      </c>
      <c r="CA18" s="1">
        <f t="shared" si="14"/>
        <v>0</v>
      </c>
      <c r="CB18" s="1">
        <v>0</v>
      </c>
      <c r="CC18" s="1">
        <v>0</v>
      </c>
      <c r="CD18" s="3">
        <f t="shared" si="27"/>
        <v>0</v>
      </c>
      <c r="CE18" s="2">
        <f>SUMIF('December 2027'!$B:$B,'PTO SUMMARY 2027'!$B:$B,'December 2027'!$AK:$AK)</f>
        <v>0</v>
      </c>
      <c r="CF18" s="1">
        <f t="shared" si="15"/>
        <v>0</v>
      </c>
      <c r="CG18" s="1">
        <v>0</v>
      </c>
      <c r="CH18" s="1">
        <v>0</v>
      </c>
      <c r="CI18" s="1">
        <v>0</v>
      </c>
      <c r="CJ18" s="3">
        <v>0</v>
      </c>
      <c r="CK18" s="31">
        <v>0</v>
      </c>
      <c r="CL18" s="31">
        <v>0</v>
      </c>
      <c r="CM18" s="31">
        <v>0</v>
      </c>
      <c r="CN18" s="30">
        <f t="shared" si="28"/>
        <v>0</v>
      </c>
    </row>
    <row r="19" spans="1:92">
      <c r="A19" s="8" t="s">
        <v>111</v>
      </c>
      <c r="B19" s="8" t="s">
        <v>112</v>
      </c>
      <c r="C19" s="8" t="s">
        <v>75</v>
      </c>
      <c r="D19" s="9" t="s">
        <v>70</v>
      </c>
      <c r="E19" t="s">
        <v>76</v>
      </c>
      <c r="F19" s="12" t="s">
        <v>77</v>
      </c>
      <c r="G19" s="7">
        <v>0.75</v>
      </c>
      <c r="H19" s="11">
        <f>((G19*86.67)*2)*(SUMIF('Accrual Rates'!B:B,'PTO SUMMARY 2027'!B19,'Accrual Rates'!G:G))</f>
        <v>12.999979979999999</v>
      </c>
      <c r="I19" s="33">
        <v>0</v>
      </c>
      <c r="J19" s="1">
        <v>0</v>
      </c>
      <c r="K19" s="1">
        <v>0</v>
      </c>
      <c r="L19" s="1">
        <v>0</v>
      </c>
      <c r="M19" s="32">
        <v>0</v>
      </c>
      <c r="N19" s="2">
        <f t="shared" si="16"/>
        <v>12.999979979999999</v>
      </c>
      <c r="O19" s="2">
        <f>SUMIF('January 2027'!$B:$B,'PTO SUMMARY 2027'!B19,'January 2027'!$AK:$AK)</f>
        <v>15</v>
      </c>
      <c r="P19" s="1">
        <f t="shared" si="0"/>
        <v>-2.0000200200000009</v>
      </c>
      <c r="Q19" s="1">
        <v>0</v>
      </c>
      <c r="R19" s="1">
        <v>0</v>
      </c>
      <c r="S19" s="3">
        <f t="shared" si="17"/>
        <v>12.999979979999999</v>
      </c>
      <c r="T19" s="2">
        <f>SUMIF('February 2027'!$B:$B,'PTO SUMMARY 2027'!G19,'February 2027'!$AK:$AK)</f>
        <v>0</v>
      </c>
      <c r="U19" s="154">
        <v>0</v>
      </c>
      <c r="V19" s="1">
        <f t="shared" si="1"/>
        <v>10.999959959999998</v>
      </c>
      <c r="W19" s="1">
        <v>0</v>
      </c>
      <c r="X19" s="1">
        <v>0</v>
      </c>
      <c r="Y19" s="3">
        <f t="shared" si="18"/>
        <v>12.999979979999999</v>
      </c>
      <c r="Z19" s="2">
        <f>SUMIF('March 2027'!$B:$B,'PTO SUMMARY 2027'!M19,'March 2027'!$AK:$AK)</f>
        <v>0</v>
      </c>
      <c r="AA19" s="1">
        <f t="shared" ref="AA19:AA50" si="29">V19+Y19-Z19</f>
        <v>23.999939939999997</v>
      </c>
      <c r="AB19" s="1">
        <v>0</v>
      </c>
      <c r="AC19" s="1">
        <v>0</v>
      </c>
      <c r="AD19" s="3">
        <v>0</v>
      </c>
      <c r="AE19" s="31">
        <f t="shared" si="3"/>
        <v>0</v>
      </c>
      <c r="AF19" s="31">
        <v>0</v>
      </c>
      <c r="AG19" s="30">
        <f t="shared" si="4"/>
        <v>0</v>
      </c>
      <c r="AH19" s="2">
        <f t="shared" si="19"/>
        <v>12.999979979999999</v>
      </c>
      <c r="AI19" s="2">
        <f>SUMIF('April 2027'!$B:$B,'PTO SUMMARY 2027'!V19,'April 2027'!$AK:$AK)</f>
        <v>0</v>
      </c>
      <c r="AJ19" s="1">
        <f t="shared" si="5"/>
        <v>36.999919919999996</v>
      </c>
      <c r="AK19" s="1">
        <v>0</v>
      </c>
      <c r="AL19" s="1">
        <v>0</v>
      </c>
      <c r="AM19" s="3">
        <f t="shared" si="20"/>
        <v>12.999979979999999</v>
      </c>
      <c r="AN19" s="2">
        <f>SUMIF('May 2027'!$B:$B,'PTO SUMMARY 2027'!AA19,'May 2027'!$AK:$AK)</f>
        <v>0</v>
      </c>
      <c r="AO19" s="1">
        <f t="shared" si="6"/>
        <v>50</v>
      </c>
      <c r="AP19" s="1">
        <v>0</v>
      </c>
      <c r="AQ19" s="1">
        <v>0</v>
      </c>
      <c r="AR19" s="3">
        <f t="shared" si="21"/>
        <v>12.999979979999999</v>
      </c>
      <c r="AS19" s="2">
        <f>SUMIF('June 2027'!$B:$B,'PTO SUMMARY 2027'!AF19,'June 2027'!$AK:$AK)</f>
        <v>0</v>
      </c>
      <c r="AT19" s="1">
        <f t="shared" si="7"/>
        <v>62.999979979999999</v>
      </c>
      <c r="AU19" s="1">
        <v>0</v>
      </c>
      <c r="AV19" s="1">
        <v>0</v>
      </c>
      <c r="AW19" s="3">
        <v>0</v>
      </c>
      <c r="AX19" s="31">
        <v>0</v>
      </c>
      <c r="AY19" s="31">
        <v>0</v>
      </c>
      <c r="AZ19" s="30">
        <f t="shared" si="8"/>
        <v>0</v>
      </c>
      <c r="BA19" s="3">
        <f t="shared" si="22"/>
        <v>12.999979979999999</v>
      </c>
      <c r="BB19" s="2">
        <f>SUMIF('July 2027'!$B:$B,'PTO SUMMARY 2027'!AK19,'July 2027'!$AK:$AK)</f>
        <v>0</v>
      </c>
      <c r="BC19" s="1">
        <f t="shared" si="9"/>
        <v>75.999959959999998</v>
      </c>
      <c r="BD19" s="1">
        <v>0</v>
      </c>
      <c r="BE19" s="1">
        <v>0</v>
      </c>
      <c r="BF19" s="3">
        <f t="shared" si="23"/>
        <v>12.999979979999999</v>
      </c>
      <c r="BG19" s="2">
        <f>SUMIF('August 2027'!$B:$B,'PTO SUMMARY 2027'!AP19,'August 2027'!$AK:$AK)</f>
        <v>0</v>
      </c>
      <c r="BH19" s="1">
        <f t="shared" si="10"/>
        <v>88.99993993999999</v>
      </c>
      <c r="BI19" s="1">
        <v>0</v>
      </c>
      <c r="BJ19" s="1">
        <v>0</v>
      </c>
      <c r="BK19" s="3">
        <f t="shared" si="24"/>
        <v>12.999979979999999</v>
      </c>
      <c r="BL19" s="2">
        <f>SUMIF('September 2027'!$B:$B,'PTO SUMMARY 2027'!AU19,'September 2027'!$AK:$AK)</f>
        <v>0</v>
      </c>
      <c r="BM19" s="1">
        <f t="shared" si="11"/>
        <v>101.99991992</v>
      </c>
      <c r="BN19" s="1">
        <v>0</v>
      </c>
      <c r="BO19" s="1">
        <v>0</v>
      </c>
      <c r="BP19" s="3">
        <v>0</v>
      </c>
      <c r="BQ19" s="31">
        <v>0</v>
      </c>
      <c r="BR19" s="31">
        <v>0</v>
      </c>
      <c r="BS19" s="30">
        <f t="shared" si="12"/>
        <v>0</v>
      </c>
      <c r="BT19" s="3">
        <f t="shared" si="25"/>
        <v>12.999979979999999</v>
      </c>
      <c r="BU19" s="2">
        <f>SUMIF('October 2027'!$B:$B,'PTO SUMMARY 2027'!BH19,'October 2027'!$AK:$AK)</f>
        <v>0</v>
      </c>
      <c r="BV19" s="1">
        <f t="shared" si="13"/>
        <v>114.9998999</v>
      </c>
      <c r="BW19" s="1">
        <v>0</v>
      </c>
      <c r="BX19" s="1">
        <v>0</v>
      </c>
      <c r="BY19" s="3">
        <f t="shared" si="26"/>
        <v>12.999979979999999</v>
      </c>
      <c r="BZ19" s="2">
        <f>SUMIF('November 2027'!$B:$B,'PTO SUMMARY 2027'!BM19,'November 2027'!$AK:$AK)</f>
        <v>0</v>
      </c>
      <c r="CA19" s="1">
        <f t="shared" si="14"/>
        <v>127.99987988000001</v>
      </c>
      <c r="CB19" s="1">
        <v>0</v>
      </c>
      <c r="CC19" s="1">
        <v>0</v>
      </c>
      <c r="CD19" s="3">
        <f t="shared" si="27"/>
        <v>12.999979979999999</v>
      </c>
      <c r="CE19" s="2">
        <f>SUMIF('December 2027'!$B:$B,'PTO SUMMARY 2027'!$B:$B,'December 2027'!$AK:$AK)</f>
        <v>0</v>
      </c>
      <c r="CF19" s="1">
        <f t="shared" si="15"/>
        <v>140.99985986000002</v>
      </c>
      <c r="CG19" s="1">
        <v>0</v>
      </c>
      <c r="CH19" s="1">
        <v>0</v>
      </c>
      <c r="CI19" s="1">
        <v>0</v>
      </c>
      <c r="CJ19" s="3">
        <v>0</v>
      </c>
      <c r="CK19" s="31">
        <v>0</v>
      </c>
      <c r="CL19" s="31">
        <v>0</v>
      </c>
      <c r="CM19" s="31">
        <v>0</v>
      </c>
      <c r="CN19" s="30">
        <f t="shared" si="28"/>
        <v>0</v>
      </c>
    </row>
    <row r="20" spans="1:92">
      <c r="A20" s="35" t="s">
        <v>113</v>
      </c>
      <c r="B20" s="8" t="s">
        <v>114</v>
      </c>
      <c r="C20" s="8" t="s">
        <v>64</v>
      </c>
      <c r="D20" s="9" t="s">
        <v>65</v>
      </c>
      <c r="E20" t="s">
        <v>115</v>
      </c>
      <c r="F20" s="12" t="s">
        <v>72</v>
      </c>
      <c r="G20" s="7">
        <v>1</v>
      </c>
      <c r="H20" s="34">
        <v>0</v>
      </c>
      <c r="I20" s="33">
        <v>0</v>
      </c>
      <c r="J20" s="1">
        <v>0</v>
      </c>
      <c r="K20" s="1">
        <v>0</v>
      </c>
      <c r="L20" s="1">
        <v>0</v>
      </c>
      <c r="M20" s="32">
        <v>0</v>
      </c>
      <c r="N20" s="2">
        <f t="shared" si="16"/>
        <v>0</v>
      </c>
      <c r="O20" s="2">
        <f>SUMIF('January 2027'!$B:$B,'PTO SUMMARY 2027'!B20,'January 2027'!$AK:$AK)</f>
        <v>0</v>
      </c>
      <c r="P20" s="1">
        <f t="shared" si="0"/>
        <v>0</v>
      </c>
      <c r="Q20" s="1">
        <v>0</v>
      </c>
      <c r="R20" s="1">
        <v>0</v>
      </c>
      <c r="S20" s="3">
        <f t="shared" si="17"/>
        <v>0</v>
      </c>
      <c r="T20" s="2">
        <f>SUMIF('February 2027'!$B:$B,'PTO SUMMARY 2027'!G20,'February 2027'!$AK:$AK)</f>
        <v>0</v>
      </c>
      <c r="U20" s="154">
        <v>0</v>
      </c>
      <c r="V20" s="1">
        <f t="shared" si="1"/>
        <v>0</v>
      </c>
      <c r="W20" s="1">
        <v>0</v>
      </c>
      <c r="X20" s="1">
        <v>0</v>
      </c>
      <c r="Y20" s="3">
        <f t="shared" si="18"/>
        <v>0</v>
      </c>
      <c r="Z20" s="2">
        <f>SUMIF('March 2027'!$B:$B,'PTO SUMMARY 2027'!M20,'March 2027'!$AK:$AK)</f>
        <v>0</v>
      </c>
      <c r="AA20" s="1">
        <f t="shared" si="29"/>
        <v>0</v>
      </c>
      <c r="AB20" s="1">
        <v>0</v>
      </c>
      <c r="AC20" s="1">
        <v>0</v>
      </c>
      <c r="AD20" s="3">
        <v>0</v>
      </c>
      <c r="AE20" s="31">
        <f t="shared" si="3"/>
        <v>0</v>
      </c>
      <c r="AF20" s="31">
        <v>0</v>
      </c>
      <c r="AG20" s="30">
        <f t="shared" si="4"/>
        <v>0</v>
      </c>
      <c r="AH20" s="2">
        <f t="shared" si="19"/>
        <v>0</v>
      </c>
      <c r="AI20" s="2">
        <f>SUMIF('April 2027'!$B:$B,'PTO SUMMARY 2027'!V20,'April 2027'!$AK:$AK)</f>
        <v>0</v>
      </c>
      <c r="AJ20" s="1">
        <f t="shared" si="5"/>
        <v>0</v>
      </c>
      <c r="AK20" s="1">
        <v>0</v>
      </c>
      <c r="AL20" s="1">
        <v>0</v>
      </c>
      <c r="AM20" s="3">
        <f t="shared" si="20"/>
        <v>0</v>
      </c>
      <c r="AN20" s="2">
        <f>SUMIF('May 2027'!$B:$B,'PTO SUMMARY 2027'!AA20,'May 2027'!$AK:$AK)</f>
        <v>0</v>
      </c>
      <c r="AO20" s="1">
        <f t="shared" si="6"/>
        <v>0</v>
      </c>
      <c r="AP20" s="1">
        <v>0</v>
      </c>
      <c r="AQ20" s="1">
        <v>0</v>
      </c>
      <c r="AR20" s="3">
        <f t="shared" si="21"/>
        <v>0</v>
      </c>
      <c r="AS20" s="2">
        <f>SUMIF('June 2027'!$B:$B,'PTO SUMMARY 2027'!AF20,'June 2027'!$AK:$AK)</f>
        <v>0</v>
      </c>
      <c r="AT20" s="1">
        <f t="shared" si="7"/>
        <v>0</v>
      </c>
      <c r="AU20" s="1">
        <v>0</v>
      </c>
      <c r="AV20" s="1">
        <v>0</v>
      </c>
      <c r="AW20" s="3">
        <v>0</v>
      </c>
      <c r="AX20" s="31">
        <v>0</v>
      </c>
      <c r="AY20" s="31">
        <v>0</v>
      </c>
      <c r="AZ20" s="30">
        <f t="shared" si="8"/>
        <v>0</v>
      </c>
      <c r="BA20" s="3">
        <f t="shared" si="22"/>
        <v>0</v>
      </c>
      <c r="BB20" s="2">
        <f>SUMIF('July 2027'!$B:$B,'PTO SUMMARY 2027'!AK20,'July 2027'!$AK:$AK)</f>
        <v>0</v>
      </c>
      <c r="BC20" s="1">
        <f t="shared" si="9"/>
        <v>0</v>
      </c>
      <c r="BD20" s="1">
        <v>0</v>
      </c>
      <c r="BE20" s="1">
        <v>0</v>
      </c>
      <c r="BF20" s="3">
        <f t="shared" si="23"/>
        <v>0</v>
      </c>
      <c r="BG20" s="2">
        <f>SUMIF('August 2027'!$B:$B,'PTO SUMMARY 2027'!AP20,'August 2027'!$AK:$AK)</f>
        <v>0</v>
      </c>
      <c r="BH20" s="1">
        <f t="shared" si="10"/>
        <v>0</v>
      </c>
      <c r="BI20" s="1">
        <v>0</v>
      </c>
      <c r="BJ20" s="1">
        <v>0</v>
      </c>
      <c r="BK20" s="3">
        <f t="shared" si="24"/>
        <v>0</v>
      </c>
      <c r="BL20" s="2">
        <f>SUMIF('September 2027'!$B:$B,'PTO SUMMARY 2027'!AU20,'September 2027'!$AK:$AK)</f>
        <v>0</v>
      </c>
      <c r="BM20" s="1">
        <f t="shared" si="11"/>
        <v>0</v>
      </c>
      <c r="BN20" s="1">
        <v>0</v>
      </c>
      <c r="BO20" s="1">
        <v>0</v>
      </c>
      <c r="BP20" s="3">
        <v>0</v>
      </c>
      <c r="BQ20" s="31">
        <v>0</v>
      </c>
      <c r="BR20" s="31">
        <v>0</v>
      </c>
      <c r="BS20" s="30">
        <f t="shared" si="12"/>
        <v>0</v>
      </c>
      <c r="BT20" s="3">
        <f t="shared" si="25"/>
        <v>0</v>
      </c>
      <c r="BU20" s="2">
        <f>SUMIF('October 2027'!$B:$B,'PTO SUMMARY 2027'!BH20,'October 2027'!$AK:$AK)</f>
        <v>0</v>
      </c>
      <c r="BV20" s="1">
        <f t="shared" si="13"/>
        <v>0</v>
      </c>
      <c r="BW20" s="1">
        <v>0</v>
      </c>
      <c r="BX20" s="1">
        <v>0</v>
      </c>
      <c r="BY20" s="3">
        <f t="shared" si="26"/>
        <v>0</v>
      </c>
      <c r="BZ20" s="2">
        <f>SUMIF('November 2027'!$B:$B,'PTO SUMMARY 2027'!BM20,'November 2027'!$AK:$AK)</f>
        <v>0</v>
      </c>
      <c r="CA20" s="1">
        <f t="shared" si="14"/>
        <v>0</v>
      </c>
      <c r="CB20" s="1">
        <v>0</v>
      </c>
      <c r="CC20" s="1">
        <v>0</v>
      </c>
      <c r="CD20" s="3">
        <f t="shared" si="27"/>
        <v>0</v>
      </c>
      <c r="CE20" s="2">
        <f>SUMIF('December 2027'!$B:$B,'PTO SUMMARY 2027'!$B:$B,'December 2027'!$AK:$AK)</f>
        <v>0</v>
      </c>
      <c r="CF20" s="1">
        <f t="shared" si="15"/>
        <v>0</v>
      </c>
      <c r="CG20" s="1">
        <v>0</v>
      </c>
      <c r="CH20" s="1">
        <v>0</v>
      </c>
      <c r="CI20" s="1">
        <v>0</v>
      </c>
      <c r="CJ20" s="3">
        <v>0</v>
      </c>
      <c r="CK20" s="31">
        <v>0</v>
      </c>
      <c r="CL20" s="31">
        <v>0</v>
      </c>
      <c r="CM20" s="31">
        <v>0</v>
      </c>
      <c r="CN20" s="30">
        <f t="shared" si="28"/>
        <v>0</v>
      </c>
    </row>
    <row r="21" spans="1:92">
      <c r="A21" s="8" t="s">
        <v>116</v>
      </c>
      <c r="B21" s="8" t="s">
        <v>117</v>
      </c>
      <c r="C21" s="8" t="s">
        <v>75</v>
      </c>
      <c r="D21" s="9" t="s">
        <v>70</v>
      </c>
      <c r="E21" t="s">
        <v>76</v>
      </c>
      <c r="F21" s="12" t="s">
        <v>99</v>
      </c>
      <c r="G21" s="7">
        <v>0.8</v>
      </c>
      <c r="H21" s="11">
        <f>((G21*86.67)*2)*(SUMIF('Accrual Rates'!B:B,'PTO SUMMARY 2027'!B21,'Accrual Rates'!G:G))</f>
        <v>13.866645311999999</v>
      </c>
      <c r="I21" s="33">
        <v>0</v>
      </c>
      <c r="J21" s="1">
        <v>0</v>
      </c>
      <c r="K21" s="1">
        <v>0</v>
      </c>
      <c r="L21" s="1">
        <v>0</v>
      </c>
      <c r="M21" s="32">
        <v>0</v>
      </c>
      <c r="N21" s="2">
        <f t="shared" si="16"/>
        <v>13.866645311999999</v>
      </c>
      <c r="O21" s="2">
        <f>SUMIF('January 2027'!$B:$B,'PTO SUMMARY 2027'!B21,'January 2027'!$AK:$AK)</f>
        <v>0</v>
      </c>
      <c r="P21" s="1">
        <f t="shared" si="0"/>
        <v>13.866645311999999</v>
      </c>
      <c r="Q21" s="1">
        <v>0</v>
      </c>
      <c r="R21" s="1">
        <v>0</v>
      </c>
      <c r="S21" s="3">
        <f t="shared" si="17"/>
        <v>13.866645311999999</v>
      </c>
      <c r="T21" s="2">
        <f>SUMIF('February 2027'!$B:$B,'PTO SUMMARY 2027'!G21,'February 2027'!$AK:$AK)</f>
        <v>0</v>
      </c>
      <c r="U21" s="154">
        <v>0</v>
      </c>
      <c r="V21" s="1">
        <f t="shared" si="1"/>
        <v>27.733290623999999</v>
      </c>
      <c r="W21" s="1">
        <v>0</v>
      </c>
      <c r="X21" s="1">
        <v>0</v>
      </c>
      <c r="Y21" s="3">
        <f t="shared" si="18"/>
        <v>13.866645311999999</v>
      </c>
      <c r="Z21" s="2">
        <f>SUMIF('March 2027'!$B:$B,'PTO SUMMARY 2027'!M21,'March 2027'!$AK:$AK)</f>
        <v>0</v>
      </c>
      <c r="AA21" s="1">
        <f t="shared" si="29"/>
        <v>41.599935935999994</v>
      </c>
      <c r="AB21" s="1">
        <v>0</v>
      </c>
      <c r="AC21" s="1">
        <v>0</v>
      </c>
      <c r="AD21" s="3">
        <v>0</v>
      </c>
      <c r="AE21" s="31">
        <f t="shared" si="3"/>
        <v>0</v>
      </c>
      <c r="AF21" s="31">
        <v>0</v>
      </c>
      <c r="AG21" s="30">
        <f t="shared" si="4"/>
        <v>0</v>
      </c>
      <c r="AH21" s="2">
        <f t="shared" si="19"/>
        <v>13.866645311999999</v>
      </c>
      <c r="AI21" s="2">
        <f>SUMIF('April 2027'!$B:$B,'PTO SUMMARY 2027'!V21,'April 2027'!$AK:$AK)</f>
        <v>0</v>
      </c>
      <c r="AJ21" s="1">
        <f t="shared" si="5"/>
        <v>55.466581247999997</v>
      </c>
      <c r="AK21" s="1">
        <v>0</v>
      </c>
      <c r="AL21" s="1">
        <v>0</v>
      </c>
      <c r="AM21" s="3">
        <f t="shared" si="20"/>
        <v>13.866645311999999</v>
      </c>
      <c r="AN21" s="2">
        <f>SUMIF('May 2027'!$B:$B,'PTO SUMMARY 2027'!AA21,'May 2027'!$AK:$AK)</f>
        <v>0</v>
      </c>
      <c r="AO21" s="1">
        <f t="shared" si="6"/>
        <v>69.33</v>
      </c>
      <c r="AP21" s="1">
        <v>0</v>
      </c>
      <c r="AQ21" s="1">
        <v>0</v>
      </c>
      <c r="AR21" s="3">
        <f t="shared" si="21"/>
        <v>13.866645311999999</v>
      </c>
      <c r="AS21" s="2">
        <f>SUMIF('June 2027'!$B:$B,'PTO SUMMARY 2027'!AF21,'June 2027'!$AK:$AK)</f>
        <v>0</v>
      </c>
      <c r="AT21" s="1">
        <f t="shared" si="7"/>
        <v>83.196645312000001</v>
      </c>
      <c r="AU21" s="1">
        <v>0</v>
      </c>
      <c r="AV21" s="1">
        <v>0</v>
      </c>
      <c r="AW21" s="3">
        <v>0</v>
      </c>
      <c r="AX21" s="31">
        <v>0</v>
      </c>
      <c r="AY21" s="31">
        <v>0</v>
      </c>
      <c r="AZ21" s="30">
        <f t="shared" si="8"/>
        <v>0</v>
      </c>
      <c r="BA21" s="3">
        <f t="shared" si="22"/>
        <v>13.866645311999999</v>
      </c>
      <c r="BB21" s="2">
        <f>SUMIF('July 2027'!$B:$B,'PTO SUMMARY 2027'!AK21,'July 2027'!$AK:$AK)</f>
        <v>0</v>
      </c>
      <c r="BC21" s="1">
        <f t="shared" si="9"/>
        <v>97.063290624000004</v>
      </c>
      <c r="BD21" s="1">
        <v>0</v>
      </c>
      <c r="BE21" s="1">
        <v>0</v>
      </c>
      <c r="BF21" s="3">
        <f t="shared" si="23"/>
        <v>13.866645311999999</v>
      </c>
      <c r="BG21" s="2">
        <f>SUMIF('August 2027'!$B:$B,'PTO SUMMARY 2027'!AP21,'August 2027'!$AK:$AK)</f>
        <v>0</v>
      </c>
      <c r="BH21" s="1">
        <f t="shared" si="10"/>
        <v>110.92993593600001</v>
      </c>
      <c r="BI21" s="1">
        <v>0</v>
      </c>
      <c r="BJ21" s="1">
        <v>0</v>
      </c>
      <c r="BK21" s="3">
        <f t="shared" si="24"/>
        <v>13.866645311999999</v>
      </c>
      <c r="BL21" s="2">
        <f>SUMIF('September 2027'!$B:$B,'PTO SUMMARY 2027'!AU21,'September 2027'!$AK:$AK)</f>
        <v>0</v>
      </c>
      <c r="BM21" s="1">
        <f t="shared" si="11"/>
        <v>124.79658124800001</v>
      </c>
      <c r="BN21" s="1">
        <v>0</v>
      </c>
      <c r="BO21" s="1">
        <v>0</v>
      </c>
      <c r="BP21" s="3">
        <v>0</v>
      </c>
      <c r="BQ21" s="31">
        <v>0</v>
      </c>
      <c r="BR21" s="31">
        <v>0</v>
      </c>
      <c r="BS21" s="30">
        <f t="shared" si="12"/>
        <v>0</v>
      </c>
      <c r="BT21" s="3">
        <f t="shared" si="25"/>
        <v>13.866645311999999</v>
      </c>
      <c r="BU21" s="2">
        <f>SUMIF('October 2027'!$B:$B,'PTO SUMMARY 2027'!BH21,'October 2027'!$AK:$AK)</f>
        <v>0</v>
      </c>
      <c r="BV21" s="1">
        <f t="shared" si="13"/>
        <v>138.66322656</v>
      </c>
      <c r="BW21" s="1">
        <v>0</v>
      </c>
      <c r="BX21" s="1">
        <v>0</v>
      </c>
      <c r="BY21" s="3">
        <f t="shared" si="26"/>
        <v>13.866645311999999</v>
      </c>
      <c r="BZ21" s="2">
        <f>SUMIF('November 2027'!$B:$B,'PTO SUMMARY 2027'!BM21,'November 2027'!$AK:$AK)</f>
        <v>0</v>
      </c>
      <c r="CA21" s="1">
        <f t="shared" si="14"/>
        <v>152.529871872</v>
      </c>
      <c r="CB21" s="1">
        <v>0</v>
      </c>
      <c r="CC21" s="1">
        <v>0</v>
      </c>
      <c r="CD21" s="3">
        <f t="shared" si="27"/>
        <v>13.866645311999999</v>
      </c>
      <c r="CE21" s="2">
        <f>SUMIF('December 2027'!$B:$B,'PTO SUMMARY 2027'!$B:$B,'December 2027'!$AK:$AK)</f>
        <v>0</v>
      </c>
      <c r="CF21" s="1">
        <f t="shared" si="15"/>
        <v>166.396517184</v>
      </c>
      <c r="CG21" s="1">
        <v>0</v>
      </c>
      <c r="CH21" s="1">
        <v>0</v>
      </c>
      <c r="CI21" s="1">
        <v>0</v>
      </c>
      <c r="CJ21" s="3">
        <v>0</v>
      </c>
      <c r="CK21" s="31">
        <v>0</v>
      </c>
      <c r="CL21" s="31">
        <v>0</v>
      </c>
      <c r="CM21" s="31">
        <v>0</v>
      </c>
      <c r="CN21" s="30">
        <f t="shared" si="28"/>
        <v>0</v>
      </c>
    </row>
    <row r="22" spans="1:92">
      <c r="A22" s="8" t="s">
        <v>118</v>
      </c>
      <c r="B22" s="8" t="s">
        <v>119</v>
      </c>
      <c r="C22" s="8" t="s">
        <v>75</v>
      </c>
      <c r="D22" s="9" t="s">
        <v>70</v>
      </c>
      <c r="E22" t="s">
        <v>76</v>
      </c>
      <c r="F22" s="12" t="s">
        <v>96</v>
      </c>
      <c r="G22" s="7">
        <v>1</v>
      </c>
      <c r="H22" s="11">
        <f>((G22*86.67)*2)*(SUMIF('Accrual Rates'!B:B,'PTO SUMMARY 2027'!B22,'Accrual Rates'!G:G))</f>
        <v>17.33330664</v>
      </c>
      <c r="I22" s="33">
        <v>0</v>
      </c>
      <c r="J22" s="1">
        <v>0</v>
      </c>
      <c r="K22" s="1">
        <v>0</v>
      </c>
      <c r="L22" s="1">
        <v>0</v>
      </c>
      <c r="M22" s="32">
        <v>0</v>
      </c>
      <c r="N22" s="2">
        <f t="shared" si="16"/>
        <v>17.33330664</v>
      </c>
      <c r="O22" s="2">
        <f>SUMIF('January 2027'!$B:$B,'PTO SUMMARY 2027'!B22,'January 2027'!$AK:$AK)</f>
        <v>0</v>
      </c>
      <c r="P22" s="1">
        <f t="shared" si="0"/>
        <v>17.33330664</v>
      </c>
      <c r="Q22" s="1">
        <v>0</v>
      </c>
      <c r="R22" s="1">
        <v>0</v>
      </c>
      <c r="S22" s="3">
        <f t="shared" si="17"/>
        <v>17.33330664</v>
      </c>
      <c r="T22" s="2">
        <f>SUMIF('February 2027'!$B:$B,'PTO SUMMARY 2027'!G22,'February 2027'!$AK:$AK)</f>
        <v>0</v>
      </c>
      <c r="U22" s="154">
        <v>0</v>
      </c>
      <c r="V22" s="1">
        <f t="shared" si="1"/>
        <v>34.66661328</v>
      </c>
      <c r="W22" s="1">
        <v>0</v>
      </c>
      <c r="X22" s="1">
        <v>0</v>
      </c>
      <c r="Y22" s="3">
        <f t="shared" si="18"/>
        <v>17.33330664</v>
      </c>
      <c r="Z22" s="2">
        <f>SUMIF('March 2027'!$B:$B,'PTO SUMMARY 2027'!M22,'March 2027'!$AK:$AK)</f>
        <v>0</v>
      </c>
      <c r="AA22" s="1">
        <f t="shared" si="29"/>
        <v>51.999919919999996</v>
      </c>
      <c r="AB22" s="1">
        <v>0</v>
      </c>
      <c r="AC22" s="1">
        <v>0</v>
      </c>
      <c r="AD22" s="3">
        <v>0</v>
      </c>
      <c r="AE22" s="31">
        <f t="shared" si="3"/>
        <v>0</v>
      </c>
      <c r="AF22" s="31">
        <v>0</v>
      </c>
      <c r="AG22" s="30">
        <f t="shared" si="4"/>
        <v>0</v>
      </c>
      <c r="AH22" s="2">
        <f t="shared" si="19"/>
        <v>17.33330664</v>
      </c>
      <c r="AI22" s="2">
        <f>SUMIF('April 2027'!$B:$B,'PTO SUMMARY 2027'!V22,'April 2027'!$AK:$AK)</f>
        <v>0</v>
      </c>
      <c r="AJ22" s="1">
        <f t="shared" si="5"/>
        <v>69.33322656</v>
      </c>
      <c r="AK22" s="1">
        <v>0</v>
      </c>
      <c r="AL22" s="1">
        <v>0</v>
      </c>
      <c r="AM22" s="3">
        <f t="shared" si="20"/>
        <v>17.33330664</v>
      </c>
      <c r="AN22" s="2">
        <f>SUMIF('May 2027'!$B:$B,'PTO SUMMARY 2027'!AA22,'May 2027'!$AK:$AK)</f>
        <v>0</v>
      </c>
      <c r="AO22" s="1">
        <f t="shared" si="6"/>
        <v>86.67</v>
      </c>
      <c r="AP22" s="1">
        <v>0</v>
      </c>
      <c r="AQ22" s="1">
        <v>0</v>
      </c>
      <c r="AR22" s="3">
        <f t="shared" si="21"/>
        <v>17.33330664</v>
      </c>
      <c r="AS22" s="2">
        <f>SUMIF('June 2027'!$B:$B,'PTO SUMMARY 2027'!AF22,'June 2027'!$AK:$AK)</f>
        <v>0</v>
      </c>
      <c r="AT22" s="1">
        <f t="shared" si="7"/>
        <v>104.00330664000001</v>
      </c>
      <c r="AU22" s="1">
        <v>0</v>
      </c>
      <c r="AV22" s="1">
        <v>0</v>
      </c>
      <c r="AW22" s="3">
        <v>0</v>
      </c>
      <c r="AX22" s="31">
        <v>0</v>
      </c>
      <c r="AY22" s="31">
        <v>0</v>
      </c>
      <c r="AZ22" s="30">
        <f t="shared" si="8"/>
        <v>0</v>
      </c>
      <c r="BA22" s="3">
        <f t="shared" si="22"/>
        <v>17.33330664</v>
      </c>
      <c r="BB22" s="2">
        <f>SUMIF('July 2027'!$B:$B,'PTO SUMMARY 2027'!AK22,'July 2027'!$AK:$AK)</f>
        <v>0</v>
      </c>
      <c r="BC22" s="1">
        <f t="shared" si="9"/>
        <v>121.33661328000001</v>
      </c>
      <c r="BD22" s="1">
        <v>0</v>
      </c>
      <c r="BE22" s="1">
        <v>0</v>
      </c>
      <c r="BF22" s="3">
        <f t="shared" si="23"/>
        <v>17.33330664</v>
      </c>
      <c r="BG22" s="2">
        <f>SUMIF('August 2027'!$B:$B,'PTO SUMMARY 2027'!AP22,'August 2027'!$AK:$AK)</f>
        <v>0</v>
      </c>
      <c r="BH22" s="1">
        <f t="shared" si="10"/>
        <v>138.66991992000001</v>
      </c>
      <c r="BI22" s="1">
        <v>0</v>
      </c>
      <c r="BJ22" s="1">
        <v>0</v>
      </c>
      <c r="BK22" s="3">
        <f t="shared" si="24"/>
        <v>17.33330664</v>
      </c>
      <c r="BL22" s="2">
        <f>SUMIF('September 2027'!$B:$B,'PTO SUMMARY 2027'!AU22,'September 2027'!$AK:$AK)</f>
        <v>0</v>
      </c>
      <c r="BM22" s="1">
        <f t="shared" si="11"/>
        <v>156.00322656</v>
      </c>
      <c r="BN22" s="1">
        <v>0</v>
      </c>
      <c r="BO22" s="1">
        <v>0</v>
      </c>
      <c r="BP22" s="3">
        <v>0</v>
      </c>
      <c r="BQ22" s="31">
        <v>0</v>
      </c>
      <c r="BR22" s="31">
        <v>0</v>
      </c>
      <c r="BS22" s="30">
        <f t="shared" si="12"/>
        <v>0</v>
      </c>
      <c r="BT22" s="3">
        <f t="shared" si="25"/>
        <v>17.33330664</v>
      </c>
      <c r="BU22" s="2">
        <f>SUMIF('October 2027'!$B:$B,'PTO SUMMARY 2027'!BH22,'October 2027'!$AK:$AK)</f>
        <v>0</v>
      </c>
      <c r="BV22" s="1">
        <f t="shared" si="13"/>
        <v>173.33653319999999</v>
      </c>
      <c r="BW22" s="1">
        <v>0</v>
      </c>
      <c r="BX22" s="1">
        <v>0</v>
      </c>
      <c r="BY22" s="3">
        <f t="shared" si="26"/>
        <v>17.33330664</v>
      </c>
      <c r="BZ22" s="2">
        <f>SUMIF('November 2027'!$B:$B,'PTO SUMMARY 2027'!BM22,'November 2027'!$AK:$AK)</f>
        <v>0</v>
      </c>
      <c r="CA22" s="1">
        <f t="shared" si="14"/>
        <v>190.66983983999998</v>
      </c>
      <c r="CB22" s="1">
        <v>0</v>
      </c>
      <c r="CC22" s="1">
        <v>0</v>
      </c>
      <c r="CD22" s="3">
        <f t="shared" si="27"/>
        <v>17.33330664</v>
      </c>
      <c r="CE22" s="2">
        <f>SUMIF('December 2027'!$B:$B,'PTO SUMMARY 2027'!$B:$B,'December 2027'!$AK:$AK)</f>
        <v>0</v>
      </c>
      <c r="CF22" s="1">
        <f t="shared" si="15"/>
        <v>208.00314647999997</v>
      </c>
      <c r="CG22" s="1">
        <v>0</v>
      </c>
      <c r="CH22" s="1">
        <v>0</v>
      </c>
      <c r="CI22" s="1">
        <v>0</v>
      </c>
      <c r="CJ22" s="3">
        <v>0</v>
      </c>
      <c r="CK22" s="31">
        <v>0</v>
      </c>
      <c r="CL22" s="31">
        <v>0</v>
      </c>
      <c r="CM22" s="31">
        <v>0</v>
      </c>
      <c r="CN22" s="30">
        <f t="shared" si="28"/>
        <v>0</v>
      </c>
    </row>
    <row r="23" spans="1:92">
      <c r="A23" s="8" t="s">
        <v>120</v>
      </c>
      <c r="B23" s="8" t="s">
        <v>121</v>
      </c>
      <c r="C23" s="8" t="s">
        <v>75</v>
      </c>
      <c r="D23" s="9" t="s">
        <v>70</v>
      </c>
      <c r="E23" t="s">
        <v>76</v>
      </c>
      <c r="F23" s="12" t="s">
        <v>80</v>
      </c>
      <c r="G23" s="7">
        <v>1</v>
      </c>
      <c r="H23" s="11">
        <f>((G23*86.67)*2)*(SUMIF('Accrual Rates'!B:B,'PTO SUMMARY 2027'!B23,'Accrual Rates'!G:G))</f>
        <v>17.33330664</v>
      </c>
      <c r="I23" s="33">
        <v>0</v>
      </c>
      <c r="J23" s="1">
        <v>0</v>
      </c>
      <c r="K23" s="1">
        <v>0</v>
      </c>
      <c r="L23" s="1">
        <v>0</v>
      </c>
      <c r="M23" s="32">
        <v>0</v>
      </c>
      <c r="N23" s="2">
        <f t="shared" si="16"/>
        <v>17.33330664</v>
      </c>
      <c r="O23" s="2">
        <f>SUMIF('January 2027'!$B:$B,'PTO SUMMARY 2027'!B23,'January 2027'!$AK:$AK)</f>
        <v>0</v>
      </c>
      <c r="P23" s="1">
        <f t="shared" si="0"/>
        <v>17.33330664</v>
      </c>
      <c r="Q23" s="1">
        <v>0</v>
      </c>
      <c r="R23" s="1">
        <v>0</v>
      </c>
      <c r="S23" s="3">
        <f t="shared" si="17"/>
        <v>17.33330664</v>
      </c>
      <c r="T23" s="2">
        <f>SUMIF('February 2027'!$B:$B,'PTO SUMMARY 2027'!G23,'February 2027'!$AK:$AK)</f>
        <v>0</v>
      </c>
      <c r="U23" s="154">
        <v>0</v>
      </c>
      <c r="V23" s="1">
        <f t="shared" si="1"/>
        <v>34.66661328</v>
      </c>
      <c r="W23" s="1">
        <v>0</v>
      </c>
      <c r="X23" s="1">
        <v>0</v>
      </c>
      <c r="Y23" s="3">
        <f t="shared" si="18"/>
        <v>17.33330664</v>
      </c>
      <c r="Z23" s="2">
        <f>SUMIF('March 2027'!$B:$B,'PTO SUMMARY 2027'!M23,'March 2027'!$AK:$AK)</f>
        <v>0</v>
      </c>
      <c r="AA23" s="1">
        <f t="shared" si="29"/>
        <v>51.999919919999996</v>
      </c>
      <c r="AB23" s="1">
        <v>0</v>
      </c>
      <c r="AC23" s="1">
        <v>0</v>
      </c>
      <c r="AD23" s="3">
        <v>0</v>
      </c>
      <c r="AE23" s="31">
        <f t="shared" si="3"/>
        <v>0</v>
      </c>
      <c r="AF23" s="31">
        <v>0</v>
      </c>
      <c r="AG23" s="30">
        <f t="shared" si="4"/>
        <v>0</v>
      </c>
      <c r="AH23" s="2">
        <f t="shared" si="19"/>
        <v>17.33330664</v>
      </c>
      <c r="AI23" s="2">
        <f>SUMIF('April 2027'!$B:$B,'PTO SUMMARY 2027'!V23,'April 2027'!$AK:$AK)</f>
        <v>0</v>
      </c>
      <c r="AJ23" s="1">
        <f t="shared" si="5"/>
        <v>69.33322656</v>
      </c>
      <c r="AK23" s="1">
        <v>0</v>
      </c>
      <c r="AL23" s="1">
        <v>0</v>
      </c>
      <c r="AM23" s="3">
        <f t="shared" si="20"/>
        <v>17.33330664</v>
      </c>
      <c r="AN23" s="2">
        <f>SUMIF('May 2027'!$B:$B,'PTO SUMMARY 2027'!AA23,'May 2027'!$AK:$AK)</f>
        <v>0</v>
      </c>
      <c r="AO23" s="1">
        <f t="shared" si="6"/>
        <v>86.67</v>
      </c>
      <c r="AP23" s="1">
        <v>0</v>
      </c>
      <c r="AQ23" s="1">
        <v>0</v>
      </c>
      <c r="AR23" s="3">
        <f t="shared" si="21"/>
        <v>17.33330664</v>
      </c>
      <c r="AS23" s="2">
        <f>SUMIF('June 2027'!$B:$B,'PTO SUMMARY 2027'!AF23,'June 2027'!$AK:$AK)</f>
        <v>0</v>
      </c>
      <c r="AT23" s="1">
        <f t="shared" si="7"/>
        <v>104.00330664000001</v>
      </c>
      <c r="AU23" s="1">
        <v>0</v>
      </c>
      <c r="AV23" s="1">
        <v>0</v>
      </c>
      <c r="AW23" s="3">
        <v>0</v>
      </c>
      <c r="AX23" s="31">
        <v>0</v>
      </c>
      <c r="AY23" s="31">
        <v>0</v>
      </c>
      <c r="AZ23" s="30">
        <f t="shared" si="8"/>
        <v>0</v>
      </c>
      <c r="BA23" s="3">
        <f t="shared" si="22"/>
        <v>17.33330664</v>
      </c>
      <c r="BB23" s="2">
        <f>SUMIF('July 2027'!$B:$B,'PTO SUMMARY 2027'!AK23,'July 2027'!$AK:$AK)</f>
        <v>0</v>
      </c>
      <c r="BC23" s="1">
        <f t="shared" si="9"/>
        <v>121.33661328000001</v>
      </c>
      <c r="BD23" s="1">
        <v>0</v>
      </c>
      <c r="BE23" s="1">
        <v>0</v>
      </c>
      <c r="BF23" s="3">
        <f t="shared" si="23"/>
        <v>17.33330664</v>
      </c>
      <c r="BG23" s="2">
        <f>SUMIF('August 2027'!$B:$B,'PTO SUMMARY 2027'!AP23,'August 2027'!$AK:$AK)</f>
        <v>0</v>
      </c>
      <c r="BH23" s="1">
        <f t="shared" si="10"/>
        <v>138.66991992000001</v>
      </c>
      <c r="BI23" s="1">
        <v>0</v>
      </c>
      <c r="BJ23" s="1">
        <v>0</v>
      </c>
      <c r="BK23" s="3">
        <f t="shared" si="24"/>
        <v>17.33330664</v>
      </c>
      <c r="BL23" s="2">
        <f>SUMIF('September 2027'!$B:$B,'PTO SUMMARY 2027'!AU23,'September 2027'!$AK:$AK)</f>
        <v>0</v>
      </c>
      <c r="BM23" s="1">
        <f t="shared" si="11"/>
        <v>156.00322656</v>
      </c>
      <c r="BN23" s="1">
        <v>0</v>
      </c>
      <c r="BO23" s="1">
        <v>0</v>
      </c>
      <c r="BP23" s="3">
        <v>0</v>
      </c>
      <c r="BQ23" s="31">
        <v>0</v>
      </c>
      <c r="BR23" s="31">
        <v>0</v>
      </c>
      <c r="BS23" s="30">
        <f t="shared" si="12"/>
        <v>0</v>
      </c>
      <c r="BT23" s="3">
        <f t="shared" si="25"/>
        <v>17.33330664</v>
      </c>
      <c r="BU23" s="2">
        <f>SUMIF('October 2027'!$B:$B,'PTO SUMMARY 2027'!BH23,'October 2027'!$AK:$AK)</f>
        <v>0</v>
      </c>
      <c r="BV23" s="1">
        <f t="shared" si="13"/>
        <v>173.33653319999999</v>
      </c>
      <c r="BW23" s="1">
        <v>0</v>
      </c>
      <c r="BX23" s="1">
        <v>0</v>
      </c>
      <c r="BY23" s="3">
        <f t="shared" si="26"/>
        <v>17.33330664</v>
      </c>
      <c r="BZ23" s="2">
        <f>SUMIF('November 2027'!$B:$B,'PTO SUMMARY 2027'!BM23,'November 2027'!$AK:$AK)</f>
        <v>0</v>
      </c>
      <c r="CA23" s="1">
        <f t="shared" si="14"/>
        <v>190.66983983999998</v>
      </c>
      <c r="CB23" s="1">
        <v>0</v>
      </c>
      <c r="CC23" s="1">
        <v>0</v>
      </c>
      <c r="CD23" s="3">
        <f t="shared" si="27"/>
        <v>17.33330664</v>
      </c>
      <c r="CE23" s="2">
        <f>SUMIF('December 2027'!$B:$B,'PTO SUMMARY 2027'!$B:$B,'December 2027'!$AK:$AK)</f>
        <v>0</v>
      </c>
      <c r="CF23" s="1">
        <f t="shared" si="15"/>
        <v>208.00314647999997</v>
      </c>
      <c r="CG23" s="1">
        <v>0</v>
      </c>
      <c r="CH23" s="1">
        <v>0</v>
      </c>
      <c r="CI23" s="1">
        <v>0</v>
      </c>
      <c r="CJ23" s="3">
        <v>0</v>
      </c>
      <c r="CK23" s="31">
        <v>0</v>
      </c>
      <c r="CL23" s="31">
        <v>0</v>
      </c>
      <c r="CM23" s="31">
        <v>0</v>
      </c>
      <c r="CN23" s="30">
        <f t="shared" si="28"/>
        <v>0</v>
      </c>
    </row>
    <row r="24" spans="1:92">
      <c r="A24" s="35" t="s">
        <v>122</v>
      </c>
      <c r="B24" s="8" t="s">
        <v>123</v>
      </c>
      <c r="C24" s="8" t="s">
        <v>64</v>
      </c>
      <c r="D24" s="9" t="s">
        <v>65</v>
      </c>
      <c r="E24" s="36" t="s">
        <v>66</v>
      </c>
      <c r="F24" s="12" t="s">
        <v>90</v>
      </c>
      <c r="G24" s="7">
        <v>1</v>
      </c>
      <c r="H24" s="34">
        <v>0</v>
      </c>
      <c r="I24" s="33">
        <v>0</v>
      </c>
      <c r="J24" s="1">
        <v>0</v>
      </c>
      <c r="K24" s="1">
        <v>0</v>
      </c>
      <c r="L24" s="1">
        <v>0</v>
      </c>
      <c r="M24" s="32">
        <v>0</v>
      </c>
      <c r="N24" s="2">
        <f t="shared" si="16"/>
        <v>0</v>
      </c>
      <c r="O24" s="2">
        <f>SUMIF('January 2027'!$B:$B,'PTO SUMMARY 2027'!B24,'January 2027'!$AK:$AK)</f>
        <v>0</v>
      </c>
      <c r="P24" s="1">
        <f t="shared" si="0"/>
        <v>0</v>
      </c>
      <c r="Q24" s="1">
        <v>0</v>
      </c>
      <c r="R24" s="1">
        <v>0</v>
      </c>
      <c r="S24" s="3">
        <f t="shared" si="17"/>
        <v>0</v>
      </c>
      <c r="T24" s="2">
        <f>SUMIF('February 2027'!$B:$B,'PTO SUMMARY 2027'!G24,'February 2027'!$AK:$AK)</f>
        <v>0</v>
      </c>
      <c r="U24" s="154">
        <v>0</v>
      </c>
      <c r="V24" s="1">
        <f t="shared" si="1"/>
        <v>0</v>
      </c>
      <c r="W24" s="1">
        <v>0</v>
      </c>
      <c r="X24" s="1">
        <v>0</v>
      </c>
      <c r="Y24" s="3">
        <f t="shared" si="18"/>
        <v>0</v>
      </c>
      <c r="Z24" s="2">
        <f>SUMIF('March 2027'!$B:$B,'PTO SUMMARY 2027'!M24,'March 2027'!$AK:$AK)</f>
        <v>0</v>
      </c>
      <c r="AA24" s="1">
        <f t="shared" si="29"/>
        <v>0</v>
      </c>
      <c r="AB24" s="1">
        <v>0</v>
      </c>
      <c r="AC24" s="1">
        <v>0</v>
      </c>
      <c r="AD24" s="3">
        <v>0</v>
      </c>
      <c r="AE24" s="31">
        <f t="shared" si="3"/>
        <v>0</v>
      </c>
      <c r="AF24" s="31">
        <v>0</v>
      </c>
      <c r="AG24" s="30">
        <f t="shared" si="4"/>
        <v>0</v>
      </c>
      <c r="AH24" s="2">
        <f t="shared" si="19"/>
        <v>0</v>
      </c>
      <c r="AI24" s="2">
        <f>SUMIF('April 2027'!$B:$B,'PTO SUMMARY 2027'!V24,'April 2027'!$AK:$AK)</f>
        <v>0</v>
      </c>
      <c r="AJ24" s="1">
        <f t="shared" si="5"/>
        <v>0</v>
      </c>
      <c r="AK24" s="1">
        <v>0</v>
      </c>
      <c r="AL24" s="1">
        <v>0</v>
      </c>
      <c r="AM24" s="3">
        <f t="shared" si="20"/>
        <v>0</v>
      </c>
      <c r="AN24" s="2">
        <f>SUMIF('May 2027'!$B:$B,'PTO SUMMARY 2027'!AA24,'May 2027'!$AK:$AK)</f>
        <v>0</v>
      </c>
      <c r="AO24" s="1">
        <f t="shared" si="6"/>
        <v>0</v>
      </c>
      <c r="AP24" s="1">
        <v>0</v>
      </c>
      <c r="AQ24" s="1">
        <v>0</v>
      </c>
      <c r="AR24" s="3">
        <f t="shared" si="21"/>
        <v>0</v>
      </c>
      <c r="AS24" s="2">
        <f>SUMIF('June 2027'!$B:$B,'PTO SUMMARY 2027'!AF24,'June 2027'!$AK:$AK)</f>
        <v>0</v>
      </c>
      <c r="AT24" s="1">
        <f t="shared" si="7"/>
        <v>0</v>
      </c>
      <c r="AU24" s="1">
        <v>0</v>
      </c>
      <c r="AV24" s="1">
        <v>0</v>
      </c>
      <c r="AW24" s="3">
        <v>0</v>
      </c>
      <c r="AX24" s="31">
        <v>0</v>
      </c>
      <c r="AY24" s="31">
        <v>0</v>
      </c>
      <c r="AZ24" s="30">
        <f t="shared" si="8"/>
        <v>0</v>
      </c>
      <c r="BA24" s="3">
        <f t="shared" si="22"/>
        <v>0</v>
      </c>
      <c r="BB24" s="2">
        <f>SUMIF('July 2027'!$B:$B,'PTO SUMMARY 2027'!AK24,'July 2027'!$AK:$AK)</f>
        <v>0</v>
      </c>
      <c r="BC24" s="1">
        <f t="shared" si="9"/>
        <v>0</v>
      </c>
      <c r="BD24" s="1">
        <v>0</v>
      </c>
      <c r="BE24" s="1">
        <v>0</v>
      </c>
      <c r="BF24" s="3">
        <f t="shared" si="23"/>
        <v>0</v>
      </c>
      <c r="BG24" s="2">
        <f>SUMIF('August 2027'!$B:$B,'PTO SUMMARY 2027'!AP24,'August 2027'!$AK:$AK)</f>
        <v>0</v>
      </c>
      <c r="BH24" s="1">
        <f t="shared" si="10"/>
        <v>0</v>
      </c>
      <c r="BI24" s="1">
        <v>0</v>
      </c>
      <c r="BJ24" s="1">
        <v>0</v>
      </c>
      <c r="BK24" s="3">
        <f t="shared" si="24"/>
        <v>0</v>
      </c>
      <c r="BL24" s="2">
        <f>SUMIF('September 2027'!$B:$B,'PTO SUMMARY 2027'!AU24,'September 2027'!$AK:$AK)</f>
        <v>0</v>
      </c>
      <c r="BM24" s="1">
        <f t="shared" si="11"/>
        <v>0</v>
      </c>
      <c r="BN24" s="1">
        <v>0</v>
      </c>
      <c r="BO24" s="1">
        <v>0</v>
      </c>
      <c r="BP24" s="3">
        <v>0</v>
      </c>
      <c r="BQ24" s="31">
        <v>0</v>
      </c>
      <c r="BR24" s="31">
        <v>0</v>
      </c>
      <c r="BS24" s="30">
        <f t="shared" si="12"/>
        <v>0</v>
      </c>
      <c r="BT24" s="3">
        <f t="shared" si="25"/>
        <v>0</v>
      </c>
      <c r="BU24" s="2">
        <f>SUMIF('October 2027'!$B:$B,'PTO SUMMARY 2027'!BH24,'October 2027'!$AK:$AK)</f>
        <v>0</v>
      </c>
      <c r="BV24" s="1">
        <f t="shared" si="13"/>
        <v>0</v>
      </c>
      <c r="BW24" s="1">
        <v>0</v>
      </c>
      <c r="BX24" s="1">
        <v>0</v>
      </c>
      <c r="BY24" s="3">
        <f t="shared" si="26"/>
        <v>0</v>
      </c>
      <c r="BZ24" s="2">
        <f>SUMIF('November 2027'!$B:$B,'PTO SUMMARY 2027'!BM24,'November 2027'!$AK:$AK)</f>
        <v>0</v>
      </c>
      <c r="CA24" s="1">
        <f t="shared" si="14"/>
        <v>0</v>
      </c>
      <c r="CB24" s="1">
        <v>0</v>
      </c>
      <c r="CC24" s="1">
        <v>0</v>
      </c>
      <c r="CD24" s="3">
        <f t="shared" si="27"/>
        <v>0</v>
      </c>
      <c r="CE24" s="2">
        <f>SUMIF('December 2027'!$B:$B,'PTO SUMMARY 2027'!$B:$B,'December 2027'!$AK:$AK)</f>
        <v>0</v>
      </c>
      <c r="CF24" s="1">
        <f t="shared" si="15"/>
        <v>0</v>
      </c>
      <c r="CG24" s="1">
        <v>0</v>
      </c>
      <c r="CH24" s="1">
        <v>0</v>
      </c>
      <c r="CI24" s="1">
        <v>0</v>
      </c>
      <c r="CJ24" s="3">
        <v>0</v>
      </c>
      <c r="CK24" s="31">
        <v>0</v>
      </c>
      <c r="CL24" s="31">
        <v>0</v>
      </c>
      <c r="CM24" s="31">
        <v>0</v>
      </c>
      <c r="CN24" s="30">
        <f t="shared" si="28"/>
        <v>0</v>
      </c>
    </row>
    <row r="25" spans="1:92">
      <c r="A25" s="8" t="s">
        <v>124</v>
      </c>
      <c r="B25" s="8" t="s">
        <v>125</v>
      </c>
      <c r="C25" s="8" t="s">
        <v>64</v>
      </c>
      <c r="D25" s="9" t="s">
        <v>70</v>
      </c>
      <c r="E25" t="s">
        <v>71</v>
      </c>
      <c r="F25" s="12" t="s">
        <v>108</v>
      </c>
      <c r="G25" s="7">
        <v>1</v>
      </c>
      <c r="H25" s="11">
        <f>((G25*86.67)*2)*(SUMIF('Accrual Rates'!B:B,'PTO SUMMARY 2027'!B25,'Accrual Rates'!G:G))</f>
        <v>15.999975360000001</v>
      </c>
      <c r="I25" s="33">
        <v>0</v>
      </c>
      <c r="J25" s="1">
        <v>0</v>
      </c>
      <c r="K25" s="1">
        <v>0</v>
      </c>
      <c r="L25" s="1">
        <v>0</v>
      </c>
      <c r="M25" s="32">
        <v>0</v>
      </c>
      <c r="N25" s="2">
        <f t="shared" si="16"/>
        <v>15.999975360000001</v>
      </c>
      <c r="O25" s="2">
        <f>SUMIF('January 2027'!$B:$B,'PTO SUMMARY 2027'!B25,'January 2027'!$AK:$AK)</f>
        <v>0</v>
      </c>
      <c r="P25" s="1">
        <f t="shared" si="0"/>
        <v>15.999975360000001</v>
      </c>
      <c r="Q25" s="1">
        <v>0</v>
      </c>
      <c r="R25" s="1">
        <v>0</v>
      </c>
      <c r="S25" s="3">
        <f t="shared" si="17"/>
        <v>15.999975360000001</v>
      </c>
      <c r="T25" s="2">
        <f>SUMIF('February 2027'!$B:$B,'PTO SUMMARY 2027'!G25,'February 2027'!$AK:$AK)</f>
        <v>0</v>
      </c>
      <c r="U25" s="154">
        <v>0</v>
      </c>
      <c r="V25" s="1">
        <f t="shared" si="1"/>
        <v>31.999950720000001</v>
      </c>
      <c r="W25" s="1">
        <v>0</v>
      </c>
      <c r="X25" s="1">
        <v>0</v>
      </c>
      <c r="Y25" s="3">
        <f t="shared" si="18"/>
        <v>15.999975360000001</v>
      </c>
      <c r="Z25" s="2">
        <f>SUMIF('March 2027'!$B:$B,'PTO SUMMARY 2027'!M25,'March 2027'!$AK:$AK)</f>
        <v>0</v>
      </c>
      <c r="AA25" s="1">
        <f t="shared" si="29"/>
        <v>47.999926080000002</v>
      </c>
      <c r="AB25" s="1">
        <v>0</v>
      </c>
      <c r="AC25" s="1">
        <v>0</v>
      </c>
      <c r="AD25" s="3">
        <v>0</v>
      </c>
      <c r="AE25" s="31">
        <f t="shared" si="3"/>
        <v>0</v>
      </c>
      <c r="AF25" s="31">
        <v>0</v>
      </c>
      <c r="AG25" s="30">
        <f t="shared" si="4"/>
        <v>0</v>
      </c>
      <c r="AH25" s="2">
        <f t="shared" si="19"/>
        <v>15.999975360000001</v>
      </c>
      <c r="AI25" s="2">
        <f>SUMIF('April 2027'!$B:$B,'PTO SUMMARY 2027'!V25,'April 2027'!$AK:$AK)</f>
        <v>0</v>
      </c>
      <c r="AJ25" s="1">
        <f t="shared" si="5"/>
        <v>63.999901440000002</v>
      </c>
      <c r="AK25" s="1">
        <v>0</v>
      </c>
      <c r="AL25" s="1">
        <v>0</v>
      </c>
      <c r="AM25" s="3">
        <f t="shared" si="20"/>
        <v>15.999975360000001</v>
      </c>
      <c r="AN25" s="2">
        <f>SUMIF('May 2027'!$B:$B,'PTO SUMMARY 2027'!AA25,'May 2027'!$AK:$AK)</f>
        <v>0</v>
      </c>
      <c r="AO25" s="1">
        <f t="shared" si="6"/>
        <v>80</v>
      </c>
      <c r="AP25" s="1">
        <v>0</v>
      </c>
      <c r="AQ25" s="1">
        <v>0</v>
      </c>
      <c r="AR25" s="3">
        <f t="shared" si="21"/>
        <v>15.999975360000001</v>
      </c>
      <c r="AS25" s="2">
        <f>SUMIF('June 2027'!$B:$B,'PTO SUMMARY 2027'!AF25,'June 2027'!$AK:$AK)</f>
        <v>0</v>
      </c>
      <c r="AT25" s="1">
        <f t="shared" si="7"/>
        <v>95.999975360000008</v>
      </c>
      <c r="AU25" s="1">
        <v>0</v>
      </c>
      <c r="AV25" s="1">
        <v>0</v>
      </c>
      <c r="AW25" s="3">
        <v>0</v>
      </c>
      <c r="AX25" s="31">
        <v>0</v>
      </c>
      <c r="AY25" s="31">
        <v>0</v>
      </c>
      <c r="AZ25" s="30">
        <f t="shared" si="8"/>
        <v>0</v>
      </c>
      <c r="BA25" s="3">
        <f t="shared" si="22"/>
        <v>15.999975360000001</v>
      </c>
      <c r="BB25" s="2">
        <f>SUMIF('July 2027'!$B:$B,'PTO SUMMARY 2027'!AK25,'July 2027'!$AK:$AK)</f>
        <v>0</v>
      </c>
      <c r="BC25" s="1">
        <f t="shared" si="9"/>
        <v>111.99995072000002</v>
      </c>
      <c r="BD25" s="1">
        <v>0</v>
      </c>
      <c r="BE25" s="1">
        <v>0</v>
      </c>
      <c r="BF25" s="3">
        <f t="shared" si="23"/>
        <v>15.999975360000001</v>
      </c>
      <c r="BG25" s="2">
        <f>SUMIF('August 2027'!$B:$B,'PTO SUMMARY 2027'!AP25,'August 2027'!$AK:$AK)</f>
        <v>0</v>
      </c>
      <c r="BH25" s="1">
        <f t="shared" si="10"/>
        <v>127.99992608000002</v>
      </c>
      <c r="BI25" s="1">
        <v>0</v>
      </c>
      <c r="BJ25" s="1">
        <v>0</v>
      </c>
      <c r="BK25" s="3">
        <f t="shared" si="24"/>
        <v>15.999975360000001</v>
      </c>
      <c r="BL25" s="2">
        <f>SUMIF('September 2027'!$B:$B,'PTO SUMMARY 2027'!AU25,'September 2027'!$AK:$AK)</f>
        <v>0</v>
      </c>
      <c r="BM25" s="1">
        <f t="shared" si="11"/>
        <v>143.99990144000003</v>
      </c>
      <c r="BN25" s="1">
        <v>0</v>
      </c>
      <c r="BO25" s="1">
        <v>0</v>
      </c>
      <c r="BP25" s="3">
        <v>0</v>
      </c>
      <c r="BQ25" s="31">
        <v>0</v>
      </c>
      <c r="BR25" s="31">
        <v>0</v>
      </c>
      <c r="BS25" s="30">
        <f t="shared" si="12"/>
        <v>0</v>
      </c>
      <c r="BT25" s="3">
        <f t="shared" si="25"/>
        <v>15.999975360000001</v>
      </c>
      <c r="BU25" s="2">
        <f>SUMIF('October 2027'!$B:$B,'PTO SUMMARY 2027'!BH25,'October 2027'!$AK:$AK)</f>
        <v>0</v>
      </c>
      <c r="BV25" s="1">
        <f t="shared" si="13"/>
        <v>159.99987680000004</v>
      </c>
      <c r="BW25" s="1">
        <v>0</v>
      </c>
      <c r="BX25" s="1">
        <v>0</v>
      </c>
      <c r="BY25" s="3">
        <f t="shared" si="26"/>
        <v>15.999975360000001</v>
      </c>
      <c r="BZ25" s="2">
        <f>SUMIF('November 2027'!$B:$B,'PTO SUMMARY 2027'!BM25,'November 2027'!$AK:$AK)</f>
        <v>0</v>
      </c>
      <c r="CA25" s="1">
        <f t="shared" si="14"/>
        <v>175.99985216000005</v>
      </c>
      <c r="CB25" s="1">
        <v>0</v>
      </c>
      <c r="CC25" s="1">
        <v>0</v>
      </c>
      <c r="CD25" s="3">
        <f t="shared" si="27"/>
        <v>15.999975360000001</v>
      </c>
      <c r="CE25" s="2">
        <f>SUMIF('December 2027'!$B:$B,'PTO SUMMARY 2027'!$B:$B,'December 2027'!$AK:$AK)</f>
        <v>0</v>
      </c>
      <c r="CF25" s="1">
        <f t="shared" si="15"/>
        <v>191.99982752000005</v>
      </c>
      <c r="CG25" s="1">
        <v>0</v>
      </c>
      <c r="CH25" s="1">
        <v>0</v>
      </c>
      <c r="CI25" s="1">
        <v>0</v>
      </c>
      <c r="CJ25" s="3">
        <v>0</v>
      </c>
      <c r="CK25" s="31">
        <v>0</v>
      </c>
      <c r="CL25" s="31">
        <v>0</v>
      </c>
      <c r="CM25" s="31">
        <v>0</v>
      </c>
      <c r="CN25" s="30">
        <f t="shared" si="28"/>
        <v>0</v>
      </c>
    </row>
    <row r="26" spans="1:92">
      <c r="A26" s="35" t="s">
        <v>126</v>
      </c>
      <c r="B26" s="8" t="s">
        <v>127</v>
      </c>
      <c r="C26" s="8" t="s">
        <v>64</v>
      </c>
      <c r="D26" s="9" t="s">
        <v>65</v>
      </c>
      <c r="E26" s="36" t="s">
        <v>66</v>
      </c>
      <c r="F26" s="12" t="s">
        <v>90</v>
      </c>
      <c r="G26" s="7">
        <v>1</v>
      </c>
      <c r="H26" s="34">
        <v>0</v>
      </c>
      <c r="I26" s="33">
        <v>0</v>
      </c>
      <c r="J26" s="1">
        <v>0</v>
      </c>
      <c r="K26" s="1">
        <v>0</v>
      </c>
      <c r="L26" s="1">
        <v>0</v>
      </c>
      <c r="M26" s="32">
        <v>0</v>
      </c>
      <c r="N26" s="2">
        <f t="shared" si="16"/>
        <v>0</v>
      </c>
      <c r="O26" s="2">
        <f>SUMIF('January 2027'!$B:$B,'PTO SUMMARY 2027'!B26,'January 2027'!$AK:$AK)</f>
        <v>0</v>
      </c>
      <c r="P26" s="1">
        <f t="shared" si="0"/>
        <v>0</v>
      </c>
      <c r="Q26" s="1">
        <v>0</v>
      </c>
      <c r="R26" s="1">
        <v>0</v>
      </c>
      <c r="S26" s="3">
        <f t="shared" si="17"/>
        <v>0</v>
      </c>
      <c r="T26" s="2">
        <f>SUMIF('February 2027'!$B:$B,'PTO SUMMARY 2027'!G26,'February 2027'!$AK:$AK)</f>
        <v>0</v>
      </c>
      <c r="U26" s="154">
        <v>0</v>
      </c>
      <c r="V26" s="1">
        <f t="shared" si="1"/>
        <v>0</v>
      </c>
      <c r="W26" s="1">
        <v>0</v>
      </c>
      <c r="X26" s="1">
        <v>0</v>
      </c>
      <c r="Y26" s="3">
        <f t="shared" si="18"/>
        <v>0</v>
      </c>
      <c r="Z26" s="2">
        <f>SUMIF('March 2027'!$B:$B,'PTO SUMMARY 2027'!M26,'March 2027'!$AK:$AK)</f>
        <v>0</v>
      </c>
      <c r="AA26" s="1">
        <f t="shared" si="29"/>
        <v>0</v>
      </c>
      <c r="AB26" s="1">
        <v>0</v>
      </c>
      <c r="AC26" s="1">
        <v>0</v>
      </c>
      <c r="AD26" s="3">
        <v>0</v>
      </c>
      <c r="AE26" s="31">
        <f t="shared" si="3"/>
        <v>0</v>
      </c>
      <c r="AF26" s="31">
        <v>0</v>
      </c>
      <c r="AG26" s="30">
        <f t="shared" si="4"/>
        <v>0</v>
      </c>
      <c r="AH26" s="2">
        <f t="shared" si="19"/>
        <v>0</v>
      </c>
      <c r="AI26" s="2">
        <f>SUMIF('April 2027'!$B:$B,'PTO SUMMARY 2027'!V26,'April 2027'!$AK:$AK)</f>
        <v>0</v>
      </c>
      <c r="AJ26" s="1">
        <f t="shared" si="5"/>
        <v>0</v>
      </c>
      <c r="AK26" s="1">
        <v>0</v>
      </c>
      <c r="AL26" s="1">
        <v>0</v>
      </c>
      <c r="AM26" s="3">
        <f t="shared" si="20"/>
        <v>0</v>
      </c>
      <c r="AN26" s="2">
        <f>SUMIF('May 2027'!$B:$B,'PTO SUMMARY 2027'!AA26,'May 2027'!$AK:$AK)</f>
        <v>0</v>
      </c>
      <c r="AO26" s="1">
        <f t="shared" si="6"/>
        <v>0</v>
      </c>
      <c r="AP26" s="1">
        <v>0</v>
      </c>
      <c r="AQ26" s="1">
        <v>0</v>
      </c>
      <c r="AR26" s="3">
        <f t="shared" si="21"/>
        <v>0</v>
      </c>
      <c r="AS26" s="2">
        <f>SUMIF('June 2027'!$B:$B,'PTO SUMMARY 2027'!AF26,'June 2027'!$AK:$AK)</f>
        <v>0</v>
      </c>
      <c r="AT26" s="1">
        <f t="shared" si="7"/>
        <v>0</v>
      </c>
      <c r="AU26" s="1">
        <v>0</v>
      </c>
      <c r="AV26" s="1">
        <v>0</v>
      </c>
      <c r="AW26" s="3">
        <v>0</v>
      </c>
      <c r="AX26" s="31">
        <v>0</v>
      </c>
      <c r="AY26" s="31">
        <v>0</v>
      </c>
      <c r="AZ26" s="30">
        <f t="shared" si="8"/>
        <v>0</v>
      </c>
      <c r="BA26" s="3">
        <f t="shared" si="22"/>
        <v>0</v>
      </c>
      <c r="BB26" s="2">
        <f>SUMIF('July 2027'!$B:$B,'PTO SUMMARY 2027'!AK26,'July 2027'!$AK:$AK)</f>
        <v>0</v>
      </c>
      <c r="BC26" s="1">
        <f t="shared" si="9"/>
        <v>0</v>
      </c>
      <c r="BD26" s="1">
        <v>0</v>
      </c>
      <c r="BE26" s="1">
        <v>0</v>
      </c>
      <c r="BF26" s="3">
        <f t="shared" si="23"/>
        <v>0</v>
      </c>
      <c r="BG26" s="2">
        <f>SUMIF('August 2027'!$B:$B,'PTO SUMMARY 2027'!AP26,'August 2027'!$AK:$AK)</f>
        <v>0</v>
      </c>
      <c r="BH26" s="1">
        <f t="shared" si="10"/>
        <v>0</v>
      </c>
      <c r="BI26" s="1">
        <v>0</v>
      </c>
      <c r="BJ26" s="1">
        <v>0</v>
      </c>
      <c r="BK26" s="3">
        <f t="shared" si="24"/>
        <v>0</v>
      </c>
      <c r="BL26" s="2">
        <f>SUMIF('September 2027'!$B:$B,'PTO SUMMARY 2027'!AU26,'September 2027'!$AK:$AK)</f>
        <v>0</v>
      </c>
      <c r="BM26" s="1">
        <f t="shared" si="11"/>
        <v>0</v>
      </c>
      <c r="BN26" s="1">
        <v>0</v>
      </c>
      <c r="BO26" s="1">
        <v>0</v>
      </c>
      <c r="BP26" s="3">
        <v>0</v>
      </c>
      <c r="BQ26" s="31">
        <v>0</v>
      </c>
      <c r="BR26" s="31">
        <v>0</v>
      </c>
      <c r="BS26" s="30">
        <f t="shared" si="12"/>
        <v>0</v>
      </c>
      <c r="BT26" s="3">
        <f t="shared" si="25"/>
        <v>0</v>
      </c>
      <c r="BU26" s="2">
        <f>SUMIF('October 2027'!$B:$B,'PTO SUMMARY 2027'!BH26,'October 2027'!$AK:$AK)</f>
        <v>0</v>
      </c>
      <c r="BV26" s="1">
        <f t="shared" si="13"/>
        <v>0</v>
      </c>
      <c r="BW26" s="1">
        <v>0</v>
      </c>
      <c r="BX26" s="1">
        <v>0</v>
      </c>
      <c r="BY26" s="3">
        <f t="shared" si="26"/>
        <v>0</v>
      </c>
      <c r="BZ26" s="2">
        <f>SUMIF('November 2027'!$B:$B,'PTO SUMMARY 2027'!BM26,'November 2027'!$AK:$AK)</f>
        <v>0</v>
      </c>
      <c r="CA26" s="1">
        <f t="shared" si="14"/>
        <v>0</v>
      </c>
      <c r="CB26" s="1">
        <v>0</v>
      </c>
      <c r="CC26" s="1">
        <v>0</v>
      </c>
      <c r="CD26" s="3">
        <f t="shared" si="27"/>
        <v>0</v>
      </c>
      <c r="CE26" s="2">
        <f>SUMIF('December 2027'!$B:$B,'PTO SUMMARY 2027'!$B:$B,'December 2027'!$AK:$AK)</f>
        <v>0</v>
      </c>
      <c r="CF26" s="1">
        <f t="shared" si="15"/>
        <v>0</v>
      </c>
      <c r="CG26" s="1">
        <v>0</v>
      </c>
      <c r="CH26" s="1">
        <v>0</v>
      </c>
      <c r="CI26" s="1">
        <v>0</v>
      </c>
      <c r="CJ26" s="3">
        <v>0</v>
      </c>
      <c r="CK26" s="31">
        <v>0</v>
      </c>
      <c r="CL26" s="31">
        <v>0</v>
      </c>
      <c r="CM26" s="31">
        <v>0</v>
      </c>
      <c r="CN26" s="30">
        <f t="shared" si="28"/>
        <v>0</v>
      </c>
    </row>
    <row r="27" spans="1:92">
      <c r="A27" s="8" t="s">
        <v>128</v>
      </c>
      <c r="B27" s="8" t="s">
        <v>129</v>
      </c>
      <c r="C27" s="8" t="s">
        <v>75</v>
      </c>
      <c r="D27" s="9" t="s">
        <v>70</v>
      </c>
      <c r="E27" t="s">
        <v>76</v>
      </c>
      <c r="F27" s="12" t="s">
        <v>67</v>
      </c>
      <c r="G27" s="7">
        <v>1</v>
      </c>
      <c r="H27" s="11">
        <f>((G27*86.67)*2)*(SUMIF('Accrual Rates'!B:B,'PTO SUMMARY 2027'!B27,'Accrual Rates'!G:G))</f>
        <v>13.3333128</v>
      </c>
      <c r="I27" s="33">
        <v>0</v>
      </c>
      <c r="J27" s="1">
        <v>0</v>
      </c>
      <c r="K27" s="1">
        <v>0</v>
      </c>
      <c r="L27" s="1">
        <v>0</v>
      </c>
      <c r="M27" s="32">
        <v>0</v>
      </c>
      <c r="N27" s="2">
        <f t="shared" si="16"/>
        <v>13.3333128</v>
      </c>
      <c r="O27" s="2">
        <f>SUMIF('January 2027'!$B:$B,'PTO SUMMARY 2027'!B27,'January 2027'!$AK:$AK)</f>
        <v>2</v>
      </c>
      <c r="P27" s="1">
        <f t="shared" si="0"/>
        <v>11.3333128</v>
      </c>
      <c r="Q27" s="1">
        <v>0</v>
      </c>
      <c r="R27" s="1">
        <v>0</v>
      </c>
      <c r="S27" s="3">
        <f t="shared" si="17"/>
        <v>13.3333128</v>
      </c>
      <c r="T27" s="2">
        <f>SUMIF('February 2027'!$B:$B,'PTO SUMMARY 2027'!G27,'February 2027'!$AK:$AK)</f>
        <v>0</v>
      </c>
      <c r="U27" s="154">
        <v>0</v>
      </c>
      <c r="V27" s="1">
        <f t="shared" si="1"/>
        <v>24.6666256</v>
      </c>
      <c r="W27" s="1">
        <v>0</v>
      </c>
      <c r="X27" s="1">
        <v>0</v>
      </c>
      <c r="Y27" s="3">
        <f t="shared" si="18"/>
        <v>13.3333128</v>
      </c>
      <c r="Z27" s="2">
        <f>SUMIF('March 2027'!$B:$B,'PTO SUMMARY 2027'!M27,'March 2027'!$AK:$AK)</f>
        <v>0</v>
      </c>
      <c r="AA27" s="1">
        <f t="shared" si="29"/>
        <v>37.999938399999998</v>
      </c>
      <c r="AB27" s="1">
        <v>0</v>
      </c>
      <c r="AC27" s="1">
        <v>0</v>
      </c>
      <c r="AD27" s="3">
        <v>0</v>
      </c>
      <c r="AE27" s="31">
        <f t="shared" si="3"/>
        <v>0</v>
      </c>
      <c r="AF27" s="31">
        <v>0</v>
      </c>
      <c r="AG27" s="30">
        <f t="shared" si="4"/>
        <v>0</v>
      </c>
      <c r="AH27" s="2">
        <f t="shared" si="19"/>
        <v>13.3333128</v>
      </c>
      <c r="AI27" s="2">
        <f>SUMIF('April 2027'!$B:$B,'PTO SUMMARY 2027'!V27,'April 2027'!$AK:$AK)</f>
        <v>0</v>
      </c>
      <c r="AJ27" s="1">
        <f t="shared" si="5"/>
        <v>51.333251199999999</v>
      </c>
      <c r="AK27" s="1">
        <v>0</v>
      </c>
      <c r="AL27" s="1">
        <v>0</v>
      </c>
      <c r="AM27" s="3">
        <f t="shared" si="20"/>
        <v>13.3333128</v>
      </c>
      <c r="AN27" s="2">
        <f>SUMIF('May 2027'!$B:$B,'PTO SUMMARY 2027'!AA27,'May 2027'!$AK:$AK)</f>
        <v>0</v>
      </c>
      <c r="AO27" s="1">
        <f t="shared" si="6"/>
        <v>64.67</v>
      </c>
      <c r="AP27" s="1">
        <v>0</v>
      </c>
      <c r="AQ27" s="1">
        <v>0</v>
      </c>
      <c r="AR27" s="3">
        <f t="shared" si="21"/>
        <v>13.3333128</v>
      </c>
      <c r="AS27" s="2">
        <f>SUMIF('June 2027'!$B:$B,'PTO SUMMARY 2027'!AF27,'June 2027'!$AK:$AK)</f>
        <v>0</v>
      </c>
      <c r="AT27" s="1">
        <f t="shared" si="7"/>
        <v>78.003312800000003</v>
      </c>
      <c r="AU27" s="1">
        <v>0</v>
      </c>
      <c r="AV27" s="1">
        <v>0</v>
      </c>
      <c r="AW27" s="3">
        <v>0</v>
      </c>
      <c r="AX27" s="31">
        <v>0</v>
      </c>
      <c r="AY27" s="31">
        <v>0</v>
      </c>
      <c r="AZ27" s="30">
        <f t="shared" si="8"/>
        <v>0</v>
      </c>
      <c r="BA27" s="3">
        <f t="shared" si="22"/>
        <v>13.3333128</v>
      </c>
      <c r="BB27" s="2">
        <f>SUMIF('July 2027'!$B:$B,'PTO SUMMARY 2027'!AK27,'July 2027'!$AK:$AK)</f>
        <v>0</v>
      </c>
      <c r="BC27" s="1">
        <f t="shared" si="9"/>
        <v>91.336625600000005</v>
      </c>
      <c r="BD27" s="1">
        <v>0</v>
      </c>
      <c r="BE27" s="1">
        <v>0</v>
      </c>
      <c r="BF27" s="3">
        <f t="shared" si="23"/>
        <v>13.3333128</v>
      </c>
      <c r="BG27" s="2">
        <f>SUMIF('August 2027'!$B:$B,'PTO SUMMARY 2027'!AP27,'August 2027'!$AK:$AK)</f>
        <v>0</v>
      </c>
      <c r="BH27" s="1">
        <f t="shared" si="10"/>
        <v>104.66993840000001</v>
      </c>
      <c r="BI27" s="1">
        <v>0</v>
      </c>
      <c r="BJ27" s="1">
        <v>0</v>
      </c>
      <c r="BK27" s="3">
        <f t="shared" si="24"/>
        <v>13.3333128</v>
      </c>
      <c r="BL27" s="2">
        <f>SUMIF('September 2027'!$B:$B,'PTO SUMMARY 2027'!AU27,'September 2027'!$AK:$AK)</f>
        <v>0</v>
      </c>
      <c r="BM27" s="1">
        <f t="shared" si="11"/>
        <v>118.00325120000001</v>
      </c>
      <c r="BN27" s="1">
        <v>0</v>
      </c>
      <c r="BO27" s="1">
        <v>0</v>
      </c>
      <c r="BP27" s="3">
        <v>0</v>
      </c>
      <c r="BQ27" s="31">
        <v>0</v>
      </c>
      <c r="BR27" s="31">
        <v>0</v>
      </c>
      <c r="BS27" s="30">
        <f t="shared" si="12"/>
        <v>0</v>
      </c>
      <c r="BT27" s="3">
        <f t="shared" si="25"/>
        <v>13.3333128</v>
      </c>
      <c r="BU27" s="2">
        <f>SUMIF('October 2027'!$B:$B,'PTO SUMMARY 2027'!BH27,'October 2027'!$AK:$AK)</f>
        <v>0</v>
      </c>
      <c r="BV27" s="1">
        <f t="shared" si="13"/>
        <v>131.33656400000001</v>
      </c>
      <c r="BW27" s="1">
        <v>0</v>
      </c>
      <c r="BX27" s="1">
        <v>0</v>
      </c>
      <c r="BY27" s="3">
        <f t="shared" si="26"/>
        <v>13.3333128</v>
      </c>
      <c r="BZ27" s="2">
        <f>SUMIF('November 2027'!$B:$B,'PTO SUMMARY 2027'!BM27,'November 2027'!$AK:$AK)</f>
        <v>0</v>
      </c>
      <c r="CA27" s="1">
        <f t="shared" si="14"/>
        <v>144.6698768</v>
      </c>
      <c r="CB27" s="1">
        <v>0</v>
      </c>
      <c r="CC27" s="1">
        <v>0</v>
      </c>
      <c r="CD27" s="3">
        <f t="shared" si="27"/>
        <v>13.3333128</v>
      </c>
      <c r="CE27" s="2">
        <f>SUMIF('December 2027'!$B:$B,'PTO SUMMARY 2027'!$B:$B,'December 2027'!$AK:$AK)</f>
        <v>0</v>
      </c>
      <c r="CF27" s="1">
        <f t="shared" si="15"/>
        <v>158.00318959999998</v>
      </c>
      <c r="CG27" s="1">
        <v>0</v>
      </c>
      <c r="CH27" s="1">
        <v>0</v>
      </c>
      <c r="CI27" s="1">
        <v>0</v>
      </c>
      <c r="CJ27" s="3">
        <v>0</v>
      </c>
      <c r="CK27" s="31">
        <v>0</v>
      </c>
      <c r="CL27" s="31">
        <v>0</v>
      </c>
      <c r="CM27" s="31">
        <v>0</v>
      </c>
      <c r="CN27" s="30">
        <f t="shared" si="28"/>
        <v>0</v>
      </c>
    </row>
    <row r="28" spans="1:92">
      <c r="A28" s="8" t="s">
        <v>130</v>
      </c>
      <c r="B28" s="8" t="s">
        <v>131</v>
      </c>
      <c r="C28" s="8" t="s">
        <v>75</v>
      </c>
      <c r="D28" s="9" t="s">
        <v>70</v>
      </c>
      <c r="E28" t="s">
        <v>76</v>
      </c>
      <c r="F28" s="12" t="s">
        <v>99</v>
      </c>
      <c r="G28" s="7">
        <v>0.8</v>
      </c>
      <c r="H28" s="11">
        <f>((G28*86.67)*2)*(SUMIF('Accrual Rates'!B:B,'PTO SUMMARY 2027'!B28,'Accrual Rates'!G:G))</f>
        <v>10.666650240000001</v>
      </c>
      <c r="I28" s="33">
        <v>0</v>
      </c>
      <c r="J28" s="1">
        <v>0</v>
      </c>
      <c r="K28" s="1">
        <v>0</v>
      </c>
      <c r="L28" s="1">
        <v>0</v>
      </c>
      <c r="M28" s="32">
        <v>0</v>
      </c>
      <c r="N28" s="2">
        <f t="shared" si="16"/>
        <v>10.666650240000001</v>
      </c>
      <c r="O28" s="2">
        <f>SUMIF('January 2027'!$B:$B,'PTO SUMMARY 2027'!B28,'January 2027'!$AK:$AK)</f>
        <v>40</v>
      </c>
      <c r="P28" s="1">
        <f t="shared" si="0"/>
        <v>-29.333349759999997</v>
      </c>
      <c r="Q28" s="1">
        <v>0</v>
      </c>
      <c r="R28" s="1">
        <v>0</v>
      </c>
      <c r="S28" s="3">
        <f t="shared" si="17"/>
        <v>10.666650240000001</v>
      </c>
      <c r="T28" s="2">
        <f>SUMIF('February 2027'!$B:$B,'PTO SUMMARY 2027'!G28,'February 2027'!$AK:$AK)</f>
        <v>0</v>
      </c>
      <c r="U28" s="154">
        <v>0</v>
      </c>
      <c r="V28" s="1">
        <f t="shared" si="1"/>
        <v>-18.666699519999995</v>
      </c>
      <c r="W28" s="1">
        <v>0</v>
      </c>
      <c r="X28" s="1">
        <v>0</v>
      </c>
      <c r="Y28" s="3">
        <f t="shared" si="18"/>
        <v>10.666650240000001</v>
      </c>
      <c r="Z28" s="2">
        <f>SUMIF('March 2027'!$B:$B,'PTO SUMMARY 2027'!M28,'March 2027'!$AK:$AK)</f>
        <v>0</v>
      </c>
      <c r="AA28" s="1">
        <f t="shared" si="29"/>
        <v>-8.0000492799999936</v>
      </c>
      <c r="AB28" s="1">
        <v>0</v>
      </c>
      <c r="AC28" s="1">
        <v>0</v>
      </c>
      <c r="AD28" s="3">
        <v>0</v>
      </c>
      <c r="AE28" s="31">
        <f t="shared" si="3"/>
        <v>0</v>
      </c>
      <c r="AF28" s="31">
        <v>0</v>
      </c>
      <c r="AG28" s="30">
        <f t="shared" si="4"/>
        <v>0</v>
      </c>
      <c r="AH28" s="2">
        <f t="shared" si="19"/>
        <v>10.666650240000001</v>
      </c>
      <c r="AI28" s="2">
        <f>SUMIF('April 2027'!$B:$B,'PTO SUMMARY 2027'!V28,'April 2027'!$AK:$AK)</f>
        <v>0</v>
      </c>
      <c r="AJ28" s="1">
        <f t="shared" si="5"/>
        <v>2.6666009600000073</v>
      </c>
      <c r="AK28" s="1">
        <v>0</v>
      </c>
      <c r="AL28" s="1">
        <v>0</v>
      </c>
      <c r="AM28" s="3">
        <f t="shared" si="20"/>
        <v>10.666650240000001</v>
      </c>
      <c r="AN28" s="2">
        <f>SUMIF('May 2027'!$B:$B,'PTO SUMMARY 2027'!AA28,'May 2027'!$AK:$AK)</f>
        <v>0</v>
      </c>
      <c r="AO28" s="1">
        <f t="shared" si="6"/>
        <v>13.33</v>
      </c>
      <c r="AP28" s="1">
        <v>0</v>
      </c>
      <c r="AQ28" s="1">
        <v>0</v>
      </c>
      <c r="AR28" s="3">
        <f t="shared" si="21"/>
        <v>10.666650240000001</v>
      </c>
      <c r="AS28" s="2">
        <f>SUMIF('June 2027'!$B:$B,'PTO SUMMARY 2027'!AF28,'June 2027'!$AK:$AK)</f>
        <v>0</v>
      </c>
      <c r="AT28" s="1">
        <f t="shared" si="7"/>
        <v>23.996650240000001</v>
      </c>
      <c r="AU28" s="1">
        <v>0</v>
      </c>
      <c r="AV28" s="1">
        <v>0</v>
      </c>
      <c r="AW28" s="3">
        <v>0</v>
      </c>
      <c r="AX28" s="31">
        <v>0</v>
      </c>
      <c r="AY28" s="31">
        <v>0</v>
      </c>
      <c r="AZ28" s="30">
        <f t="shared" si="8"/>
        <v>0</v>
      </c>
      <c r="BA28" s="3">
        <f t="shared" si="22"/>
        <v>10.666650240000001</v>
      </c>
      <c r="BB28" s="2">
        <f>SUMIF('July 2027'!$B:$B,'PTO SUMMARY 2027'!AK28,'July 2027'!$AK:$AK)</f>
        <v>0</v>
      </c>
      <c r="BC28" s="1">
        <f t="shared" si="9"/>
        <v>34.663300480000004</v>
      </c>
      <c r="BD28" s="1">
        <v>0</v>
      </c>
      <c r="BE28" s="1">
        <v>0</v>
      </c>
      <c r="BF28" s="3">
        <f t="shared" si="23"/>
        <v>10.666650240000001</v>
      </c>
      <c r="BG28" s="2">
        <f>SUMIF('August 2027'!$B:$B,'PTO SUMMARY 2027'!AP28,'August 2027'!$AK:$AK)</f>
        <v>0</v>
      </c>
      <c r="BH28" s="1">
        <f t="shared" si="10"/>
        <v>45.329950720000006</v>
      </c>
      <c r="BI28" s="1">
        <v>0</v>
      </c>
      <c r="BJ28" s="1">
        <v>0</v>
      </c>
      <c r="BK28" s="3">
        <f t="shared" si="24"/>
        <v>10.666650240000001</v>
      </c>
      <c r="BL28" s="2">
        <f>SUMIF('September 2027'!$B:$B,'PTO SUMMARY 2027'!AU28,'September 2027'!$AK:$AK)</f>
        <v>0</v>
      </c>
      <c r="BM28" s="1">
        <f t="shared" si="11"/>
        <v>55.996600960000009</v>
      </c>
      <c r="BN28" s="1">
        <v>0</v>
      </c>
      <c r="BO28" s="1">
        <v>0</v>
      </c>
      <c r="BP28" s="3">
        <v>0</v>
      </c>
      <c r="BQ28" s="31">
        <v>0</v>
      </c>
      <c r="BR28" s="31">
        <v>0</v>
      </c>
      <c r="BS28" s="30">
        <f t="shared" si="12"/>
        <v>0</v>
      </c>
      <c r="BT28" s="3">
        <f t="shared" si="25"/>
        <v>10.666650240000001</v>
      </c>
      <c r="BU28" s="2">
        <f>SUMIF('October 2027'!$B:$B,'PTO SUMMARY 2027'!BH28,'October 2027'!$AK:$AK)</f>
        <v>0</v>
      </c>
      <c r="BV28" s="1">
        <f t="shared" si="13"/>
        <v>66.663251200000005</v>
      </c>
      <c r="BW28" s="1">
        <v>0</v>
      </c>
      <c r="BX28" s="1">
        <v>0</v>
      </c>
      <c r="BY28" s="3">
        <f t="shared" si="26"/>
        <v>10.666650240000001</v>
      </c>
      <c r="BZ28" s="2">
        <f>SUMIF('November 2027'!$B:$B,'PTO SUMMARY 2027'!BM28,'November 2027'!$AK:$AK)</f>
        <v>0</v>
      </c>
      <c r="CA28" s="1">
        <f t="shared" si="14"/>
        <v>77.32990144</v>
      </c>
      <c r="CB28" s="1">
        <v>0</v>
      </c>
      <c r="CC28" s="1">
        <v>0</v>
      </c>
      <c r="CD28" s="3">
        <f t="shared" si="27"/>
        <v>10.666650240000001</v>
      </c>
      <c r="CE28" s="2">
        <f>SUMIF('December 2027'!$B:$B,'PTO SUMMARY 2027'!$B:$B,'December 2027'!$AK:$AK)</f>
        <v>0</v>
      </c>
      <c r="CF28" s="1">
        <f t="shared" si="15"/>
        <v>87.996551679999996</v>
      </c>
      <c r="CG28" s="1">
        <v>0</v>
      </c>
      <c r="CH28" s="1">
        <v>0</v>
      </c>
      <c r="CI28" s="1">
        <v>0</v>
      </c>
      <c r="CJ28" s="3">
        <v>0</v>
      </c>
      <c r="CK28" s="31">
        <v>0</v>
      </c>
      <c r="CL28" s="31">
        <v>0</v>
      </c>
      <c r="CM28" s="31">
        <v>0</v>
      </c>
      <c r="CN28" s="30">
        <f t="shared" si="28"/>
        <v>0</v>
      </c>
    </row>
    <row r="29" spans="1:92">
      <c r="A29" s="35" t="s">
        <v>132</v>
      </c>
      <c r="B29" s="8" t="s">
        <v>133</v>
      </c>
      <c r="C29" s="8" t="s">
        <v>64</v>
      </c>
      <c r="D29" s="9" t="s">
        <v>65</v>
      </c>
      <c r="E29" s="36" t="s">
        <v>66</v>
      </c>
      <c r="F29" s="12" t="s">
        <v>83</v>
      </c>
      <c r="G29" s="7">
        <v>1</v>
      </c>
      <c r="H29" s="34">
        <v>0</v>
      </c>
      <c r="I29" s="33">
        <v>0</v>
      </c>
      <c r="J29" s="1">
        <v>0</v>
      </c>
      <c r="K29" s="1">
        <v>0</v>
      </c>
      <c r="L29" s="1">
        <v>0</v>
      </c>
      <c r="M29" s="32">
        <v>0</v>
      </c>
      <c r="N29" s="2">
        <f t="shared" si="16"/>
        <v>0</v>
      </c>
      <c r="O29" s="2">
        <f>SUMIF('January 2027'!$B:$B,'PTO SUMMARY 2027'!B29,'January 2027'!$AK:$AK)</f>
        <v>0</v>
      </c>
      <c r="P29" s="1">
        <f t="shared" si="0"/>
        <v>0</v>
      </c>
      <c r="Q29" s="1">
        <v>0</v>
      </c>
      <c r="R29" s="1">
        <v>0</v>
      </c>
      <c r="S29" s="3">
        <f t="shared" si="17"/>
        <v>0</v>
      </c>
      <c r="T29" s="2">
        <f>SUMIF('February 2027'!$B:$B,'PTO SUMMARY 2027'!G29,'February 2027'!$AK:$AK)</f>
        <v>0</v>
      </c>
      <c r="U29" s="154">
        <v>0</v>
      </c>
      <c r="V29" s="1">
        <f t="shared" si="1"/>
        <v>0</v>
      </c>
      <c r="W29" s="1">
        <v>0</v>
      </c>
      <c r="X29" s="1">
        <v>0</v>
      </c>
      <c r="Y29" s="3">
        <f t="shared" si="18"/>
        <v>0</v>
      </c>
      <c r="Z29" s="2">
        <f>SUMIF('March 2027'!$B:$B,'PTO SUMMARY 2027'!M29,'March 2027'!$AK:$AK)</f>
        <v>0</v>
      </c>
      <c r="AA29" s="1">
        <f t="shared" si="29"/>
        <v>0</v>
      </c>
      <c r="AB29" s="1">
        <v>0</v>
      </c>
      <c r="AC29" s="1">
        <v>0</v>
      </c>
      <c r="AD29" s="3">
        <v>0</v>
      </c>
      <c r="AE29" s="31">
        <f t="shared" si="3"/>
        <v>0</v>
      </c>
      <c r="AF29" s="31">
        <v>0</v>
      </c>
      <c r="AG29" s="30">
        <f t="shared" si="4"/>
        <v>0</v>
      </c>
      <c r="AH29" s="2">
        <f t="shared" si="19"/>
        <v>0</v>
      </c>
      <c r="AI29" s="2">
        <f>SUMIF('April 2027'!$B:$B,'PTO SUMMARY 2027'!V29,'April 2027'!$AK:$AK)</f>
        <v>0</v>
      </c>
      <c r="AJ29" s="1">
        <f t="shared" si="5"/>
        <v>0</v>
      </c>
      <c r="AK29" s="1">
        <v>0</v>
      </c>
      <c r="AL29" s="1">
        <v>0</v>
      </c>
      <c r="AM29" s="3">
        <f t="shared" si="20"/>
        <v>0</v>
      </c>
      <c r="AN29" s="2">
        <f>SUMIF('May 2027'!$B:$B,'PTO SUMMARY 2027'!AA29,'May 2027'!$AK:$AK)</f>
        <v>0</v>
      </c>
      <c r="AO29" s="1">
        <f t="shared" si="6"/>
        <v>0</v>
      </c>
      <c r="AP29" s="1">
        <v>0</v>
      </c>
      <c r="AQ29" s="1">
        <v>0</v>
      </c>
      <c r="AR29" s="3">
        <f t="shared" si="21"/>
        <v>0</v>
      </c>
      <c r="AS29" s="2">
        <f>SUMIF('June 2027'!$B:$B,'PTO SUMMARY 2027'!AF29,'June 2027'!$AK:$AK)</f>
        <v>0</v>
      </c>
      <c r="AT29" s="1">
        <f t="shared" si="7"/>
        <v>0</v>
      </c>
      <c r="AU29" s="1">
        <v>0</v>
      </c>
      <c r="AV29" s="1">
        <v>0</v>
      </c>
      <c r="AW29" s="3">
        <v>0</v>
      </c>
      <c r="AX29" s="31">
        <v>0</v>
      </c>
      <c r="AY29" s="31">
        <v>0</v>
      </c>
      <c r="AZ29" s="30">
        <f t="shared" si="8"/>
        <v>0</v>
      </c>
      <c r="BA29" s="3">
        <f t="shared" si="22"/>
        <v>0</v>
      </c>
      <c r="BB29" s="2">
        <f>SUMIF('July 2027'!$B:$B,'PTO SUMMARY 2027'!AK29,'July 2027'!$AK:$AK)</f>
        <v>0</v>
      </c>
      <c r="BC29" s="1">
        <f t="shared" si="9"/>
        <v>0</v>
      </c>
      <c r="BD29" s="1">
        <v>0</v>
      </c>
      <c r="BE29" s="1">
        <v>0</v>
      </c>
      <c r="BF29" s="3">
        <f t="shared" si="23"/>
        <v>0</v>
      </c>
      <c r="BG29" s="2">
        <f>SUMIF('August 2027'!$B:$B,'PTO SUMMARY 2027'!AP29,'August 2027'!$AK:$AK)</f>
        <v>0</v>
      </c>
      <c r="BH29" s="1">
        <f t="shared" si="10"/>
        <v>0</v>
      </c>
      <c r="BI29" s="1">
        <v>0</v>
      </c>
      <c r="BJ29" s="1">
        <v>0</v>
      </c>
      <c r="BK29" s="3">
        <f t="shared" si="24"/>
        <v>0</v>
      </c>
      <c r="BL29" s="2">
        <f>SUMIF('September 2027'!$B:$B,'PTO SUMMARY 2027'!AU29,'September 2027'!$AK:$AK)</f>
        <v>0</v>
      </c>
      <c r="BM29" s="1">
        <f t="shared" si="11"/>
        <v>0</v>
      </c>
      <c r="BN29" s="1">
        <v>0</v>
      </c>
      <c r="BO29" s="1">
        <v>0</v>
      </c>
      <c r="BP29" s="3">
        <v>0</v>
      </c>
      <c r="BQ29" s="31">
        <v>0</v>
      </c>
      <c r="BR29" s="31">
        <v>0</v>
      </c>
      <c r="BS29" s="30">
        <f t="shared" si="12"/>
        <v>0</v>
      </c>
      <c r="BT29" s="3">
        <f t="shared" si="25"/>
        <v>0</v>
      </c>
      <c r="BU29" s="2">
        <f>SUMIF('October 2027'!$B:$B,'PTO SUMMARY 2027'!BH29,'October 2027'!$AK:$AK)</f>
        <v>0</v>
      </c>
      <c r="BV29" s="1">
        <f t="shared" si="13"/>
        <v>0</v>
      </c>
      <c r="BW29" s="1">
        <v>0</v>
      </c>
      <c r="BX29" s="1">
        <v>0</v>
      </c>
      <c r="BY29" s="3">
        <f t="shared" si="26"/>
        <v>0</v>
      </c>
      <c r="BZ29" s="2">
        <f>SUMIF('November 2027'!$B:$B,'PTO SUMMARY 2027'!BM29,'November 2027'!$AK:$AK)</f>
        <v>0</v>
      </c>
      <c r="CA29" s="1">
        <f t="shared" si="14"/>
        <v>0</v>
      </c>
      <c r="CB29" s="1">
        <v>0</v>
      </c>
      <c r="CC29" s="1">
        <v>0</v>
      </c>
      <c r="CD29" s="3">
        <f t="shared" si="27"/>
        <v>0</v>
      </c>
      <c r="CE29" s="2">
        <f>SUMIF('December 2027'!$B:$B,'PTO SUMMARY 2027'!$B:$B,'December 2027'!$AK:$AK)</f>
        <v>0</v>
      </c>
      <c r="CF29" s="1">
        <f t="shared" si="15"/>
        <v>0</v>
      </c>
      <c r="CG29" s="1">
        <v>0</v>
      </c>
      <c r="CH29" s="1">
        <v>0</v>
      </c>
      <c r="CI29" s="1">
        <v>0</v>
      </c>
      <c r="CJ29" s="3">
        <v>0</v>
      </c>
      <c r="CK29" s="31">
        <v>0</v>
      </c>
      <c r="CL29" s="31">
        <v>0</v>
      </c>
      <c r="CM29" s="31">
        <v>0</v>
      </c>
      <c r="CN29" s="30">
        <f t="shared" si="28"/>
        <v>0</v>
      </c>
    </row>
    <row r="30" spans="1:92">
      <c r="A30" s="35" t="s">
        <v>134</v>
      </c>
      <c r="B30" s="8" t="s">
        <v>135</v>
      </c>
      <c r="C30" s="8" t="s">
        <v>64</v>
      </c>
      <c r="D30" s="9" t="s">
        <v>65</v>
      </c>
      <c r="E30" t="s">
        <v>115</v>
      </c>
      <c r="F30" s="12" t="s">
        <v>136</v>
      </c>
      <c r="G30" s="7">
        <v>0.75</v>
      </c>
      <c r="H30" s="34">
        <v>0</v>
      </c>
      <c r="I30" s="33">
        <v>0</v>
      </c>
      <c r="J30" s="1">
        <v>0</v>
      </c>
      <c r="K30" s="1">
        <v>0</v>
      </c>
      <c r="L30" s="1">
        <v>0</v>
      </c>
      <c r="M30" s="32">
        <v>0</v>
      </c>
      <c r="N30" s="2">
        <f t="shared" si="16"/>
        <v>0</v>
      </c>
      <c r="O30" s="2">
        <f>SUMIF('January 2027'!$B:$B,'PTO SUMMARY 2027'!B30,'January 2027'!$AK:$AK)</f>
        <v>0</v>
      </c>
      <c r="P30" s="1">
        <f t="shared" si="0"/>
        <v>0</v>
      </c>
      <c r="Q30" s="1">
        <v>0</v>
      </c>
      <c r="R30" s="1">
        <v>0</v>
      </c>
      <c r="S30" s="3">
        <f t="shared" si="17"/>
        <v>0</v>
      </c>
      <c r="T30" s="2">
        <f>SUMIF('February 2027'!$B:$B,'PTO SUMMARY 2027'!G30,'February 2027'!$AK:$AK)</f>
        <v>0</v>
      </c>
      <c r="U30" s="154">
        <v>0</v>
      </c>
      <c r="V30" s="1">
        <f t="shared" si="1"/>
        <v>0</v>
      </c>
      <c r="W30" s="1">
        <v>0</v>
      </c>
      <c r="X30" s="1">
        <v>0</v>
      </c>
      <c r="Y30" s="3">
        <f t="shared" si="18"/>
        <v>0</v>
      </c>
      <c r="Z30" s="2">
        <f>SUMIF('March 2027'!$B:$B,'PTO SUMMARY 2027'!M30,'March 2027'!$AK:$AK)</f>
        <v>0</v>
      </c>
      <c r="AA30" s="1">
        <f t="shared" si="29"/>
        <v>0</v>
      </c>
      <c r="AB30" s="1">
        <v>0</v>
      </c>
      <c r="AC30" s="1">
        <v>0</v>
      </c>
      <c r="AD30" s="3">
        <v>0</v>
      </c>
      <c r="AE30" s="31">
        <f t="shared" si="3"/>
        <v>0</v>
      </c>
      <c r="AF30" s="31">
        <v>0</v>
      </c>
      <c r="AG30" s="30">
        <f t="shared" si="4"/>
        <v>0</v>
      </c>
      <c r="AH30" s="2">
        <f t="shared" si="19"/>
        <v>0</v>
      </c>
      <c r="AI30" s="2">
        <f>SUMIF('April 2027'!$B:$B,'PTO SUMMARY 2027'!V30,'April 2027'!$AK:$AK)</f>
        <v>0</v>
      </c>
      <c r="AJ30" s="1">
        <f t="shared" si="5"/>
        <v>0</v>
      </c>
      <c r="AK30" s="1">
        <v>0</v>
      </c>
      <c r="AL30" s="1">
        <v>0</v>
      </c>
      <c r="AM30" s="3">
        <f t="shared" si="20"/>
        <v>0</v>
      </c>
      <c r="AN30" s="2">
        <f>SUMIF('May 2027'!$B:$B,'PTO SUMMARY 2027'!AA30,'May 2027'!$AK:$AK)</f>
        <v>0</v>
      </c>
      <c r="AO30" s="1">
        <f t="shared" si="6"/>
        <v>0</v>
      </c>
      <c r="AP30" s="1">
        <v>0</v>
      </c>
      <c r="AQ30" s="1">
        <v>0</v>
      </c>
      <c r="AR30" s="3">
        <f t="shared" si="21"/>
        <v>0</v>
      </c>
      <c r="AS30" s="2">
        <f>SUMIF('June 2027'!$B:$B,'PTO SUMMARY 2027'!AF30,'June 2027'!$AK:$AK)</f>
        <v>0</v>
      </c>
      <c r="AT30" s="1">
        <f t="shared" si="7"/>
        <v>0</v>
      </c>
      <c r="AU30" s="1">
        <v>0</v>
      </c>
      <c r="AV30" s="1">
        <v>0</v>
      </c>
      <c r="AW30" s="3">
        <v>0</v>
      </c>
      <c r="AX30" s="31">
        <v>0</v>
      </c>
      <c r="AY30" s="31">
        <v>0</v>
      </c>
      <c r="AZ30" s="30">
        <f t="shared" si="8"/>
        <v>0</v>
      </c>
      <c r="BA30" s="3">
        <f t="shared" si="22"/>
        <v>0</v>
      </c>
      <c r="BB30" s="2">
        <f>SUMIF('July 2027'!$B:$B,'PTO SUMMARY 2027'!AK30,'July 2027'!$AK:$AK)</f>
        <v>0</v>
      </c>
      <c r="BC30" s="1">
        <f t="shared" si="9"/>
        <v>0</v>
      </c>
      <c r="BD30" s="1">
        <v>0</v>
      </c>
      <c r="BE30" s="1">
        <v>0</v>
      </c>
      <c r="BF30" s="3">
        <f t="shared" si="23"/>
        <v>0</v>
      </c>
      <c r="BG30" s="2">
        <f>SUMIF('August 2027'!$B:$B,'PTO SUMMARY 2027'!AP30,'August 2027'!$AK:$AK)</f>
        <v>0</v>
      </c>
      <c r="BH30" s="1">
        <f t="shared" si="10"/>
        <v>0</v>
      </c>
      <c r="BI30" s="1">
        <v>0</v>
      </c>
      <c r="BJ30" s="1">
        <v>0</v>
      </c>
      <c r="BK30" s="3">
        <f t="shared" si="24"/>
        <v>0</v>
      </c>
      <c r="BL30" s="2">
        <f>SUMIF('September 2027'!$B:$B,'PTO SUMMARY 2027'!AU30,'September 2027'!$AK:$AK)</f>
        <v>0</v>
      </c>
      <c r="BM30" s="1">
        <f t="shared" si="11"/>
        <v>0</v>
      </c>
      <c r="BN30" s="1">
        <v>0</v>
      </c>
      <c r="BO30" s="1">
        <v>0</v>
      </c>
      <c r="BP30" s="3">
        <v>0</v>
      </c>
      <c r="BQ30" s="31">
        <v>0</v>
      </c>
      <c r="BR30" s="31">
        <v>0</v>
      </c>
      <c r="BS30" s="30">
        <f t="shared" si="12"/>
        <v>0</v>
      </c>
      <c r="BT30" s="3">
        <f t="shared" si="25"/>
        <v>0</v>
      </c>
      <c r="BU30" s="2">
        <f>SUMIF('October 2027'!$B:$B,'PTO SUMMARY 2027'!BH30,'October 2027'!$AK:$AK)</f>
        <v>0</v>
      </c>
      <c r="BV30" s="1">
        <f t="shared" si="13"/>
        <v>0</v>
      </c>
      <c r="BW30" s="1">
        <v>0</v>
      </c>
      <c r="BX30" s="1">
        <v>0</v>
      </c>
      <c r="BY30" s="3">
        <f t="shared" si="26"/>
        <v>0</v>
      </c>
      <c r="BZ30" s="2">
        <f>SUMIF('November 2027'!$B:$B,'PTO SUMMARY 2027'!BM30,'November 2027'!$AK:$AK)</f>
        <v>0</v>
      </c>
      <c r="CA30" s="1">
        <f t="shared" si="14"/>
        <v>0</v>
      </c>
      <c r="CB30" s="1">
        <v>0</v>
      </c>
      <c r="CC30" s="1">
        <v>0</v>
      </c>
      <c r="CD30" s="3">
        <f t="shared" si="27"/>
        <v>0</v>
      </c>
      <c r="CE30" s="2">
        <f>SUMIF('December 2027'!$B:$B,'PTO SUMMARY 2027'!$B:$B,'December 2027'!$AK:$AK)</f>
        <v>0</v>
      </c>
      <c r="CF30" s="1">
        <f t="shared" si="15"/>
        <v>0</v>
      </c>
      <c r="CG30" s="1">
        <v>0</v>
      </c>
      <c r="CH30" s="1">
        <v>0</v>
      </c>
      <c r="CI30" s="1">
        <v>0</v>
      </c>
      <c r="CJ30" s="3">
        <v>0</v>
      </c>
      <c r="CK30" s="31">
        <v>0</v>
      </c>
      <c r="CL30" s="31">
        <v>0</v>
      </c>
      <c r="CM30" s="31">
        <v>0</v>
      </c>
      <c r="CN30" s="30">
        <f t="shared" si="28"/>
        <v>0</v>
      </c>
    </row>
    <row r="31" spans="1:92">
      <c r="A31" s="8" t="s">
        <v>137</v>
      </c>
      <c r="B31" s="8" t="s">
        <v>138</v>
      </c>
      <c r="C31" s="8" t="s">
        <v>64</v>
      </c>
      <c r="D31" s="9" t="s">
        <v>70</v>
      </c>
      <c r="E31" t="s">
        <v>71</v>
      </c>
      <c r="F31" s="12" t="s">
        <v>72</v>
      </c>
      <c r="G31" s="7">
        <v>1</v>
      </c>
      <c r="H31" s="11">
        <f>((G31*86.67)*2)*(SUMIF('Accrual Rates'!B:B,'PTO SUMMARY 2027'!B31,'Accrual Rates'!G:G))</f>
        <v>15.999975360000001</v>
      </c>
      <c r="I31" s="33">
        <v>0</v>
      </c>
      <c r="J31" s="1">
        <v>0</v>
      </c>
      <c r="K31" s="1">
        <v>0</v>
      </c>
      <c r="L31" s="1">
        <v>0</v>
      </c>
      <c r="M31" s="32">
        <v>0</v>
      </c>
      <c r="N31" s="2">
        <f t="shared" si="16"/>
        <v>15.999975360000001</v>
      </c>
      <c r="O31" s="2">
        <f>SUMIF('January 2027'!$B:$B,'PTO SUMMARY 2027'!B31,'January 2027'!$AK:$AK)</f>
        <v>0</v>
      </c>
      <c r="P31" s="1">
        <f t="shared" si="0"/>
        <v>15.999975360000001</v>
      </c>
      <c r="Q31" s="1">
        <v>0</v>
      </c>
      <c r="R31" s="1">
        <v>0</v>
      </c>
      <c r="S31" s="3">
        <f t="shared" si="17"/>
        <v>15.999975360000001</v>
      </c>
      <c r="T31" s="2">
        <f>SUMIF('February 2027'!$B:$B,'PTO SUMMARY 2027'!G31,'February 2027'!$AK:$AK)</f>
        <v>0</v>
      </c>
      <c r="U31" s="154">
        <v>0</v>
      </c>
      <c r="V31" s="1">
        <f t="shared" si="1"/>
        <v>31.999950720000001</v>
      </c>
      <c r="W31" s="1">
        <v>0</v>
      </c>
      <c r="X31" s="1">
        <v>0</v>
      </c>
      <c r="Y31" s="3">
        <f t="shared" si="18"/>
        <v>15.999975360000001</v>
      </c>
      <c r="Z31" s="2">
        <f>SUMIF('March 2027'!$B:$B,'PTO SUMMARY 2027'!M31,'March 2027'!$AK:$AK)</f>
        <v>0</v>
      </c>
      <c r="AA31" s="1">
        <f t="shared" si="29"/>
        <v>47.999926080000002</v>
      </c>
      <c r="AB31" s="1">
        <v>0</v>
      </c>
      <c r="AC31" s="1">
        <v>0</v>
      </c>
      <c r="AD31" s="3">
        <v>0</v>
      </c>
      <c r="AE31" s="31">
        <f t="shared" si="3"/>
        <v>0</v>
      </c>
      <c r="AF31" s="31">
        <v>0</v>
      </c>
      <c r="AG31" s="30">
        <f t="shared" si="4"/>
        <v>0</v>
      </c>
      <c r="AH31" s="2">
        <f t="shared" si="19"/>
        <v>15.999975360000001</v>
      </c>
      <c r="AI31" s="2">
        <f>SUMIF('April 2027'!$B:$B,'PTO SUMMARY 2027'!V31,'April 2027'!$AK:$AK)</f>
        <v>0</v>
      </c>
      <c r="AJ31" s="1">
        <f t="shared" si="5"/>
        <v>63.999901440000002</v>
      </c>
      <c r="AK31" s="1">
        <v>0</v>
      </c>
      <c r="AL31" s="1">
        <v>0</v>
      </c>
      <c r="AM31" s="3">
        <f t="shared" si="20"/>
        <v>15.999975360000001</v>
      </c>
      <c r="AN31" s="2">
        <f>SUMIF('May 2027'!$B:$B,'PTO SUMMARY 2027'!AA31,'May 2027'!$AK:$AK)</f>
        <v>0</v>
      </c>
      <c r="AO31" s="1">
        <f t="shared" si="6"/>
        <v>80</v>
      </c>
      <c r="AP31" s="1">
        <v>0</v>
      </c>
      <c r="AQ31" s="1">
        <v>0</v>
      </c>
      <c r="AR31" s="3">
        <f t="shared" si="21"/>
        <v>15.999975360000001</v>
      </c>
      <c r="AS31" s="2">
        <f>SUMIF('June 2027'!$B:$B,'PTO SUMMARY 2027'!AF31,'June 2027'!$AK:$AK)</f>
        <v>0</v>
      </c>
      <c r="AT31" s="1">
        <f t="shared" si="7"/>
        <v>95.999975360000008</v>
      </c>
      <c r="AU31" s="1">
        <v>0</v>
      </c>
      <c r="AV31" s="1">
        <v>0</v>
      </c>
      <c r="AW31" s="3">
        <v>0</v>
      </c>
      <c r="AX31" s="31">
        <v>0</v>
      </c>
      <c r="AY31" s="31">
        <v>0</v>
      </c>
      <c r="AZ31" s="30">
        <f t="shared" si="8"/>
        <v>0</v>
      </c>
      <c r="BA31" s="3">
        <f t="shared" si="22"/>
        <v>15.999975360000001</v>
      </c>
      <c r="BB31" s="2">
        <f>SUMIF('July 2027'!$B:$B,'PTO SUMMARY 2027'!AK31,'July 2027'!$AK:$AK)</f>
        <v>0</v>
      </c>
      <c r="BC31" s="1">
        <f t="shared" si="9"/>
        <v>111.99995072000002</v>
      </c>
      <c r="BD31" s="1">
        <v>0</v>
      </c>
      <c r="BE31" s="1">
        <v>0</v>
      </c>
      <c r="BF31" s="3">
        <f t="shared" si="23"/>
        <v>15.999975360000001</v>
      </c>
      <c r="BG31" s="2">
        <f>SUMIF('August 2027'!$B:$B,'PTO SUMMARY 2027'!AP31,'August 2027'!$AK:$AK)</f>
        <v>0</v>
      </c>
      <c r="BH31" s="1">
        <f t="shared" si="10"/>
        <v>127.99992608000002</v>
      </c>
      <c r="BI31" s="1">
        <v>0</v>
      </c>
      <c r="BJ31" s="1">
        <v>0</v>
      </c>
      <c r="BK31" s="3">
        <f t="shared" si="24"/>
        <v>15.999975360000001</v>
      </c>
      <c r="BL31" s="2">
        <f>SUMIF('September 2027'!$B:$B,'PTO SUMMARY 2027'!AU31,'September 2027'!$AK:$AK)</f>
        <v>0</v>
      </c>
      <c r="BM31" s="1">
        <f t="shared" si="11"/>
        <v>143.99990144000003</v>
      </c>
      <c r="BN31" s="1">
        <v>0</v>
      </c>
      <c r="BO31" s="1">
        <v>0</v>
      </c>
      <c r="BP31" s="3">
        <v>0</v>
      </c>
      <c r="BQ31" s="31">
        <v>0</v>
      </c>
      <c r="BR31" s="31">
        <v>0</v>
      </c>
      <c r="BS31" s="30">
        <f t="shared" si="12"/>
        <v>0</v>
      </c>
      <c r="BT31" s="3">
        <f t="shared" si="25"/>
        <v>15.999975360000001</v>
      </c>
      <c r="BU31" s="2">
        <f>SUMIF('October 2027'!$B:$B,'PTO SUMMARY 2027'!BH31,'October 2027'!$AK:$AK)</f>
        <v>0</v>
      </c>
      <c r="BV31" s="1">
        <f t="shared" si="13"/>
        <v>159.99987680000004</v>
      </c>
      <c r="BW31" s="1">
        <v>0</v>
      </c>
      <c r="BX31" s="1">
        <v>0</v>
      </c>
      <c r="BY31" s="3">
        <f t="shared" si="26"/>
        <v>15.999975360000001</v>
      </c>
      <c r="BZ31" s="2">
        <f>SUMIF('November 2027'!$B:$B,'PTO SUMMARY 2027'!BM31,'November 2027'!$AK:$AK)</f>
        <v>0</v>
      </c>
      <c r="CA31" s="1">
        <f t="shared" si="14"/>
        <v>175.99985216000005</v>
      </c>
      <c r="CB31" s="1">
        <v>0</v>
      </c>
      <c r="CC31" s="1">
        <v>0</v>
      </c>
      <c r="CD31" s="3">
        <f t="shared" si="27"/>
        <v>15.999975360000001</v>
      </c>
      <c r="CE31" s="2">
        <f>SUMIF('December 2027'!$B:$B,'PTO SUMMARY 2027'!$B:$B,'December 2027'!$AK:$AK)</f>
        <v>0</v>
      </c>
      <c r="CF31" s="1">
        <f t="shared" si="15"/>
        <v>191.99982752000005</v>
      </c>
      <c r="CG31" s="1">
        <v>0</v>
      </c>
      <c r="CH31" s="1">
        <v>0</v>
      </c>
      <c r="CI31" s="1">
        <v>0</v>
      </c>
      <c r="CJ31" s="3">
        <v>0</v>
      </c>
      <c r="CK31" s="31">
        <v>0</v>
      </c>
      <c r="CL31" s="31">
        <v>0</v>
      </c>
      <c r="CM31" s="31">
        <v>0</v>
      </c>
      <c r="CN31" s="30">
        <f t="shared" si="28"/>
        <v>0</v>
      </c>
    </row>
    <row r="32" spans="1:92">
      <c r="A32" s="8" t="s">
        <v>139</v>
      </c>
      <c r="B32" s="8" t="s">
        <v>140</v>
      </c>
      <c r="C32" s="8" t="s">
        <v>75</v>
      </c>
      <c r="D32" s="9" t="s">
        <v>70</v>
      </c>
      <c r="E32" t="s">
        <v>76</v>
      </c>
      <c r="F32" s="12" t="s">
        <v>72</v>
      </c>
      <c r="G32" s="7">
        <v>0.75</v>
      </c>
      <c r="H32" s="11">
        <f>((G32*86.67)*2)*(SUMIF('Accrual Rates'!B:B,'PTO SUMMARY 2027'!B32,'Accrual Rates'!G:G))</f>
        <v>9.9999845999999994</v>
      </c>
      <c r="I32" s="33">
        <v>0</v>
      </c>
      <c r="J32" s="1">
        <v>0</v>
      </c>
      <c r="K32" s="1">
        <v>0</v>
      </c>
      <c r="L32" s="1">
        <v>0</v>
      </c>
      <c r="M32" s="32">
        <v>0</v>
      </c>
      <c r="N32" s="2">
        <f t="shared" si="16"/>
        <v>9.9999845999999994</v>
      </c>
      <c r="O32" s="2">
        <f>SUMIF('January 2027'!$B:$B,'PTO SUMMARY 2027'!B32,'January 2027'!$AK:$AK)</f>
        <v>0</v>
      </c>
      <c r="P32" s="1">
        <f t="shared" si="0"/>
        <v>9.9999845999999994</v>
      </c>
      <c r="Q32" s="1">
        <v>0</v>
      </c>
      <c r="R32" s="1">
        <v>0</v>
      </c>
      <c r="S32" s="3">
        <f t="shared" si="17"/>
        <v>9.9999845999999994</v>
      </c>
      <c r="T32" s="2">
        <f>SUMIF('February 2027'!$B:$B,'PTO SUMMARY 2027'!G32,'February 2027'!$AK:$AK)</f>
        <v>0</v>
      </c>
      <c r="U32" s="154">
        <v>0</v>
      </c>
      <c r="V32" s="1">
        <f t="shared" si="1"/>
        <v>19.999969199999999</v>
      </c>
      <c r="W32" s="1">
        <v>0</v>
      </c>
      <c r="X32" s="1">
        <v>0</v>
      </c>
      <c r="Y32" s="3">
        <f t="shared" si="18"/>
        <v>9.9999845999999994</v>
      </c>
      <c r="Z32" s="2">
        <f>SUMIF('March 2027'!$B:$B,'PTO SUMMARY 2027'!M32,'March 2027'!$AK:$AK)</f>
        <v>0</v>
      </c>
      <c r="AA32" s="1">
        <f t="shared" si="29"/>
        <v>29.9999538</v>
      </c>
      <c r="AB32" s="1">
        <v>0</v>
      </c>
      <c r="AC32" s="1">
        <v>0</v>
      </c>
      <c r="AD32" s="3">
        <v>0</v>
      </c>
      <c r="AE32" s="31">
        <f t="shared" si="3"/>
        <v>0</v>
      </c>
      <c r="AF32" s="31">
        <v>0</v>
      </c>
      <c r="AG32" s="30">
        <f t="shared" si="4"/>
        <v>0</v>
      </c>
      <c r="AH32" s="2">
        <f t="shared" si="19"/>
        <v>9.9999845999999994</v>
      </c>
      <c r="AI32" s="2">
        <f>SUMIF('April 2027'!$B:$B,'PTO SUMMARY 2027'!V32,'April 2027'!$AK:$AK)</f>
        <v>0</v>
      </c>
      <c r="AJ32" s="1">
        <f t="shared" si="5"/>
        <v>39.999938399999998</v>
      </c>
      <c r="AK32" s="1">
        <v>0</v>
      </c>
      <c r="AL32" s="1">
        <v>0</v>
      </c>
      <c r="AM32" s="3">
        <f t="shared" si="20"/>
        <v>9.9999845999999994</v>
      </c>
      <c r="AN32" s="2">
        <f>SUMIF('May 2027'!$B:$B,'PTO SUMMARY 2027'!AA32,'May 2027'!$AK:$AK)</f>
        <v>0</v>
      </c>
      <c r="AO32" s="1">
        <f t="shared" si="6"/>
        <v>50</v>
      </c>
      <c r="AP32" s="1">
        <v>0</v>
      </c>
      <c r="AQ32" s="1">
        <v>0</v>
      </c>
      <c r="AR32" s="3">
        <f t="shared" si="21"/>
        <v>9.9999845999999994</v>
      </c>
      <c r="AS32" s="2">
        <f>SUMIF('June 2027'!$B:$B,'PTO SUMMARY 2027'!AF32,'June 2027'!$AK:$AK)</f>
        <v>0</v>
      </c>
      <c r="AT32" s="1">
        <f t="shared" si="7"/>
        <v>59.999984599999998</v>
      </c>
      <c r="AU32" s="1">
        <v>0</v>
      </c>
      <c r="AV32" s="1">
        <v>0</v>
      </c>
      <c r="AW32" s="3">
        <v>0</v>
      </c>
      <c r="AX32" s="31">
        <v>0</v>
      </c>
      <c r="AY32" s="31">
        <v>0</v>
      </c>
      <c r="AZ32" s="30">
        <f t="shared" si="8"/>
        <v>0</v>
      </c>
      <c r="BA32" s="3">
        <f t="shared" si="22"/>
        <v>9.9999845999999994</v>
      </c>
      <c r="BB32" s="2">
        <f>SUMIF('July 2027'!$B:$B,'PTO SUMMARY 2027'!AK32,'July 2027'!$AK:$AK)</f>
        <v>0</v>
      </c>
      <c r="BC32" s="1">
        <f t="shared" si="9"/>
        <v>69.999969199999995</v>
      </c>
      <c r="BD32" s="1">
        <v>0</v>
      </c>
      <c r="BE32" s="1">
        <v>0</v>
      </c>
      <c r="BF32" s="3">
        <f t="shared" si="23"/>
        <v>9.9999845999999994</v>
      </c>
      <c r="BG32" s="2">
        <f>SUMIF('August 2027'!$B:$B,'PTO SUMMARY 2027'!AP32,'August 2027'!$AK:$AK)</f>
        <v>0</v>
      </c>
      <c r="BH32" s="1">
        <f t="shared" si="10"/>
        <v>79.9999538</v>
      </c>
      <c r="BI32" s="1">
        <v>0</v>
      </c>
      <c r="BJ32" s="1">
        <v>0</v>
      </c>
      <c r="BK32" s="3">
        <f t="shared" si="24"/>
        <v>9.9999845999999994</v>
      </c>
      <c r="BL32" s="2">
        <f>SUMIF('September 2027'!$B:$B,'PTO SUMMARY 2027'!AU32,'September 2027'!$AK:$AK)</f>
        <v>0</v>
      </c>
      <c r="BM32" s="1">
        <f t="shared" si="11"/>
        <v>89.999938400000005</v>
      </c>
      <c r="BN32" s="1">
        <v>0</v>
      </c>
      <c r="BO32" s="1">
        <v>0</v>
      </c>
      <c r="BP32" s="3">
        <v>0</v>
      </c>
      <c r="BQ32" s="31">
        <v>0</v>
      </c>
      <c r="BR32" s="31">
        <v>0</v>
      </c>
      <c r="BS32" s="30">
        <f t="shared" si="12"/>
        <v>0</v>
      </c>
      <c r="BT32" s="3">
        <f t="shared" si="25"/>
        <v>9.9999845999999994</v>
      </c>
      <c r="BU32" s="2">
        <f>SUMIF('October 2027'!$B:$B,'PTO SUMMARY 2027'!BH32,'October 2027'!$AK:$AK)</f>
        <v>0</v>
      </c>
      <c r="BV32" s="1">
        <f t="shared" si="13"/>
        <v>99.99992300000001</v>
      </c>
      <c r="BW32" s="1">
        <v>0</v>
      </c>
      <c r="BX32" s="1">
        <v>0</v>
      </c>
      <c r="BY32" s="3">
        <f t="shared" si="26"/>
        <v>9.9999845999999994</v>
      </c>
      <c r="BZ32" s="2">
        <f>SUMIF('November 2027'!$B:$B,'PTO SUMMARY 2027'!BM32,'November 2027'!$AK:$AK)</f>
        <v>0</v>
      </c>
      <c r="CA32" s="1">
        <f t="shared" si="14"/>
        <v>109.99990760000001</v>
      </c>
      <c r="CB32" s="1">
        <v>0</v>
      </c>
      <c r="CC32" s="1">
        <v>0</v>
      </c>
      <c r="CD32" s="3">
        <f t="shared" si="27"/>
        <v>9.9999845999999994</v>
      </c>
      <c r="CE32" s="2">
        <f>SUMIF('December 2027'!$B:$B,'PTO SUMMARY 2027'!$B:$B,'December 2027'!$AK:$AK)</f>
        <v>0</v>
      </c>
      <c r="CF32" s="1">
        <f t="shared" si="15"/>
        <v>119.99989220000002</v>
      </c>
      <c r="CG32" s="1">
        <v>0</v>
      </c>
      <c r="CH32" s="1">
        <v>0</v>
      </c>
      <c r="CI32" s="1">
        <v>0</v>
      </c>
      <c r="CJ32" s="3">
        <v>0</v>
      </c>
      <c r="CK32" s="31">
        <v>0</v>
      </c>
      <c r="CL32" s="31">
        <v>0</v>
      </c>
      <c r="CM32" s="31">
        <v>0</v>
      </c>
      <c r="CN32" s="30">
        <f t="shared" si="28"/>
        <v>0</v>
      </c>
    </row>
    <row r="33" spans="1:92">
      <c r="A33" s="8" t="s">
        <v>141</v>
      </c>
      <c r="B33" s="8" t="s">
        <v>142</v>
      </c>
      <c r="C33" s="8" t="s">
        <v>75</v>
      </c>
      <c r="D33" s="9" t="s">
        <v>70</v>
      </c>
      <c r="E33" t="s">
        <v>76</v>
      </c>
      <c r="F33" s="12" t="s">
        <v>83</v>
      </c>
      <c r="G33" s="7">
        <v>1</v>
      </c>
      <c r="H33" s="11">
        <f>((G33*86.67)*2)*(SUMIF('Accrual Rates'!B:B,'PTO SUMMARY 2027'!B33,'Accrual Rates'!G:G))</f>
        <v>13.3333128</v>
      </c>
      <c r="I33" s="33">
        <v>0</v>
      </c>
      <c r="J33" s="1">
        <v>0</v>
      </c>
      <c r="K33" s="1">
        <v>0</v>
      </c>
      <c r="L33" s="1">
        <v>0</v>
      </c>
      <c r="M33" s="32">
        <v>0</v>
      </c>
      <c r="N33" s="2">
        <f t="shared" si="16"/>
        <v>13.3333128</v>
      </c>
      <c r="O33" s="2">
        <f>SUMIF('January 2027'!$B:$B,'PTO SUMMARY 2027'!B33,'January 2027'!$AK:$AK)</f>
        <v>0</v>
      </c>
      <c r="P33" s="1">
        <f t="shared" ref="P33" si="30">L33+M33+N33-O33</f>
        <v>13.3333128</v>
      </c>
      <c r="Q33" s="1">
        <v>0</v>
      </c>
      <c r="R33" s="1">
        <v>0</v>
      </c>
      <c r="S33" s="3">
        <f t="shared" si="17"/>
        <v>13.3333128</v>
      </c>
      <c r="T33" s="2">
        <f>SUMIF('February 2027'!$B:$B,'PTO SUMMARY 2027'!G33,'February 2027'!$AK:$AK)</f>
        <v>0</v>
      </c>
      <c r="U33" s="154">
        <v>0</v>
      </c>
      <c r="V33" s="1">
        <f t="shared" ref="V33" si="31">P33+S33-T33</f>
        <v>26.6666256</v>
      </c>
      <c r="W33" s="1">
        <v>0</v>
      </c>
      <c r="X33" s="1">
        <v>0</v>
      </c>
      <c r="Y33" s="3">
        <f t="shared" si="18"/>
        <v>13.3333128</v>
      </c>
      <c r="Z33" s="2">
        <f>SUMIF('March 2027'!$B:$B,'PTO SUMMARY 2027'!M33,'March 2027'!$AK:$AK)</f>
        <v>0</v>
      </c>
      <c r="AA33" s="1">
        <f t="shared" si="29"/>
        <v>39.999938399999998</v>
      </c>
      <c r="AB33" s="1">
        <v>0</v>
      </c>
      <c r="AC33" s="1">
        <v>0</v>
      </c>
      <c r="AD33" s="3">
        <v>0</v>
      </c>
      <c r="AE33" s="31">
        <f t="shared" si="3"/>
        <v>0</v>
      </c>
      <c r="AF33" s="31">
        <v>0</v>
      </c>
      <c r="AG33" s="30">
        <f t="shared" ref="AG33" si="32">AE33-AF33</f>
        <v>0</v>
      </c>
      <c r="AH33" s="2">
        <f t="shared" si="19"/>
        <v>13.3333128</v>
      </c>
      <c r="AI33" s="2">
        <f>SUMIF('April 2027'!$B:$B,'PTO SUMMARY 2027'!V33,'April 2027'!$AK:$AK)</f>
        <v>0</v>
      </c>
      <c r="AJ33" s="1">
        <f t="shared" ref="AJ33" si="33">AA33+AH33-AI33</f>
        <v>53.333251199999999</v>
      </c>
      <c r="AK33" s="1">
        <v>0</v>
      </c>
      <c r="AL33" s="1">
        <v>0</v>
      </c>
      <c r="AM33" s="3">
        <f t="shared" si="20"/>
        <v>13.3333128</v>
      </c>
      <c r="AN33" s="2">
        <f>SUMIF('May 2027'!$B:$B,'PTO SUMMARY 2027'!AA33,'May 2027'!$AK:$AK)</f>
        <v>0</v>
      </c>
      <c r="AO33" s="1">
        <f t="shared" ref="AO33" si="34">ROUND((AJ33+AM33-AN33),2)</f>
        <v>66.67</v>
      </c>
      <c r="AP33" s="1">
        <v>0</v>
      </c>
      <c r="AQ33" s="1">
        <v>0</v>
      </c>
      <c r="AR33" s="3">
        <f t="shared" si="21"/>
        <v>13.3333128</v>
      </c>
      <c r="AS33" s="2">
        <f>SUMIF('June 2027'!$B:$B,'PTO SUMMARY 2027'!AF33,'June 2027'!$AK:$AK)</f>
        <v>0</v>
      </c>
      <c r="AT33" s="1">
        <f t="shared" ref="AT33" si="35">AO33+AR33-AS33</f>
        <v>80.003312800000003</v>
      </c>
      <c r="AU33" s="1">
        <v>0</v>
      </c>
      <c r="AV33" s="1">
        <v>0</v>
      </c>
      <c r="AW33" s="3">
        <v>0</v>
      </c>
      <c r="AX33" s="31">
        <v>0</v>
      </c>
      <c r="AY33" s="31">
        <v>0</v>
      </c>
      <c r="AZ33" s="30">
        <f t="shared" si="8"/>
        <v>0</v>
      </c>
      <c r="BA33" s="3">
        <f t="shared" si="22"/>
        <v>13.3333128</v>
      </c>
      <c r="BB33" s="2">
        <f>SUMIF('July 2027'!$B:$B,'PTO SUMMARY 2027'!AK33,'July 2027'!$AK:$AK)</f>
        <v>0</v>
      </c>
      <c r="BC33" s="1">
        <f t="shared" si="9"/>
        <v>93.336625600000005</v>
      </c>
      <c r="BD33" s="1">
        <v>0</v>
      </c>
      <c r="BE33" s="1">
        <v>0</v>
      </c>
      <c r="BF33" s="3">
        <f t="shared" si="23"/>
        <v>13.3333128</v>
      </c>
      <c r="BG33" s="2">
        <f>SUMIF('August 2027'!$B:$B,'PTO SUMMARY 2027'!AP33,'August 2027'!$AK:$AK)</f>
        <v>0</v>
      </c>
      <c r="BH33" s="1">
        <f t="shared" ref="BH33" si="36">BC33+BF33-BG33</f>
        <v>106.66993840000001</v>
      </c>
      <c r="BI33" s="1">
        <v>0</v>
      </c>
      <c r="BJ33" s="1">
        <v>0</v>
      </c>
      <c r="BK33" s="3">
        <f t="shared" si="24"/>
        <v>13.3333128</v>
      </c>
      <c r="BL33" s="2">
        <f>SUMIF('September 2027'!$B:$B,'PTO SUMMARY 2027'!AU33,'September 2027'!$AK:$AK)</f>
        <v>0</v>
      </c>
      <c r="BM33" s="1">
        <f t="shared" ref="BM33" si="37">BH33+BK33-BL33</f>
        <v>120.00325120000001</v>
      </c>
      <c r="BN33" s="1">
        <v>0</v>
      </c>
      <c r="BO33" s="1">
        <v>0</v>
      </c>
      <c r="BP33" s="3">
        <v>0</v>
      </c>
      <c r="BQ33" s="31">
        <v>0</v>
      </c>
      <c r="BR33" s="31">
        <v>0</v>
      </c>
      <c r="BS33" s="30">
        <f t="shared" si="12"/>
        <v>0</v>
      </c>
      <c r="BT33" s="3">
        <f t="shared" si="25"/>
        <v>13.3333128</v>
      </c>
      <c r="BU33" s="2">
        <f>SUMIF('October 2027'!$B:$B,'PTO SUMMARY 2027'!BH33,'October 2027'!$AK:$AK)</f>
        <v>0</v>
      </c>
      <c r="BV33" s="1">
        <f t="shared" ref="BV33" si="38">BM33+BT33-BU33</f>
        <v>133.33656400000001</v>
      </c>
      <c r="BW33" s="1">
        <v>0</v>
      </c>
      <c r="BX33" s="1">
        <v>0</v>
      </c>
      <c r="BY33" s="3">
        <f t="shared" si="26"/>
        <v>13.3333128</v>
      </c>
      <c r="BZ33" s="2">
        <f>SUMIF('November 2027'!$B:$B,'PTO SUMMARY 2027'!BM33,'November 2027'!$AK:$AK)</f>
        <v>0</v>
      </c>
      <c r="CA33" s="1">
        <f t="shared" ref="CA33" si="39">BV33+BY33-BZ33</f>
        <v>146.6698768</v>
      </c>
      <c r="CB33" s="1">
        <v>0</v>
      </c>
      <c r="CC33" s="1">
        <v>0</v>
      </c>
      <c r="CD33" s="3">
        <f t="shared" si="27"/>
        <v>13.3333128</v>
      </c>
      <c r="CE33" s="2">
        <f>SUMIF('December 2027'!$B:$B,'PTO SUMMARY 2027'!$B:$B,'December 2027'!$AK:$AK)</f>
        <v>0</v>
      </c>
      <c r="CF33" s="1">
        <f t="shared" ref="CF33" si="40">CA33+CD33-CE33</f>
        <v>160.00318959999998</v>
      </c>
      <c r="CG33" s="1">
        <v>0</v>
      </c>
      <c r="CH33" s="1">
        <v>0</v>
      </c>
      <c r="CI33" s="1">
        <v>0</v>
      </c>
      <c r="CJ33" s="3">
        <v>0</v>
      </c>
      <c r="CK33" s="31">
        <v>0</v>
      </c>
      <c r="CL33" s="31">
        <v>0</v>
      </c>
      <c r="CM33" s="31">
        <v>0</v>
      </c>
      <c r="CN33" s="30">
        <f t="shared" si="28"/>
        <v>0</v>
      </c>
    </row>
    <row r="34" spans="1:92">
      <c r="A34" s="35" t="s">
        <v>143</v>
      </c>
      <c r="B34" s="8" t="s">
        <v>144</v>
      </c>
      <c r="C34" s="8" t="s">
        <v>64</v>
      </c>
      <c r="D34" s="9" t="s">
        <v>65</v>
      </c>
      <c r="E34" s="36" t="s">
        <v>66</v>
      </c>
      <c r="F34" s="12" t="s">
        <v>67</v>
      </c>
      <c r="G34" s="7">
        <v>1</v>
      </c>
      <c r="H34" s="34">
        <v>0</v>
      </c>
      <c r="I34" s="33">
        <v>0</v>
      </c>
      <c r="J34" s="1">
        <v>0</v>
      </c>
      <c r="K34" s="1">
        <v>0</v>
      </c>
      <c r="L34" s="1">
        <v>0</v>
      </c>
      <c r="M34" s="32">
        <v>0</v>
      </c>
      <c r="N34" s="2">
        <f t="shared" si="16"/>
        <v>0</v>
      </c>
      <c r="O34" s="2">
        <f>SUMIF('January 2027'!$B:$B,'PTO SUMMARY 2027'!B34,'January 2027'!$AK:$AK)</f>
        <v>0</v>
      </c>
      <c r="P34" s="1">
        <f t="shared" si="0"/>
        <v>0</v>
      </c>
      <c r="Q34" s="1">
        <v>0</v>
      </c>
      <c r="R34" s="1">
        <v>0</v>
      </c>
      <c r="S34" s="3">
        <f t="shared" si="17"/>
        <v>0</v>
      </c>
      <c r="T34" s="2">
        <f>SUMIF('February 2027'!$B:$B,'PTO SUMMARY 2027'!G34,'February 2027'!$AK:$AK)</f>
        <v>0</v>
      </c>
      <c r="U34" s="154">
        <v>0</v>
      </c>
      <c r="V34" s="1">
        <f t="shared" si="1"/>
        <v>0</v>
      </c>
      <c r="W34" s="1">
        <v>0</v>
      </c>
      <c r="X34" s="1">
        <v>0</v>
      </c>
      <c r="Y34" s="3">
        <f t="shared" si="18"/>
        <v>0</v>
      </c>
      <c r="Z34" s="2">
        <f>SUMIF('March 2027'!$B:$B,'PTO SUMMARY 2027'!M34,'March 2027'!$AK:$AK)</f>
        <v>0</v>
      </c>
      <c r="AA34" s="1">
        <f t="shared" si="29"/>
        <v>0</v>
      </c>
      <c r="AB34" s="1">
        <v>0</v>
      </c>
      <c r="AC34" s="1">
        <v>0</v>
      </c>
      <c r="AD34" s="3">
        <v>0</v>
      </c>
      <c r="AE34" s="31">
        <f t="shared" si="3"/>
        <v>0</v>
      </c>
      <c r="AF34" s="31">
        <v>0</v>
      </c>
      <c r="AG34" s="30">
        <f t="shared" si="4"/>
        <v>0</v>
      </c>
      <c r="AH34" s="2">
        <f t="shared" si="19"/>
        <v>0</v>
      </c>
      <c r="AI34" s="2">
        <f>SUMIF('April 2027'!$B:$B,'PTO SUMMARY 2027'!V34,'April 2027'!$AK:$AK)</f>
        <v>0</v>
      </c>
      <c r="AJ34" s="1">
        <f t="shared" si="5"/>
        <v>0</v>
      </c>
      <c r="AK34" s="1">
        <v>0</v>
      </c>
      <c r="AL34" s="1">
        <v>0</v>
      </c>
      <c r="AM34" s="3">
        <f t="shared" si="20"/>
        <v>0</v>
      </c>
      <c r="AN34" s="2">
        <f>SUMIF('May 2027'!$B:$B,'PTO SUMMARY 2027'!AA34,'May 2027'!$AK:$AK)</f>
        <v>0</v>
      </c>
      <c r="AO34" s="1">
        <f t="shared" si="6"/>
        <v>0</v>
      </c>
      <c r="AP34" s="1">
        <v>0</v>
      </c>
      <c r="AQ34" s="1">
        <v>0</v>
      </c>
      <c r="AR34" s="3">
        <f t="shared" si="21"/>
        <v>0</v>
      </c>
      <c r="AS34" s="2">
        <f>SUMIF('June 2027'!$B:$B,'PTO SUMMARY 2027'!AF34,'June 2027'!$AK:$AK)</f>
        <v>0</v>
      </c>
      <c r="AT34" s="1">
        <f t="shared" si="7"/>
        <v>0</v>
      </c>
      <c r="AU34" s="1">
        <v>0</v>
      </c>
      <c r="AV34" s="1">
        <v>0</v>
      </c>
      <c r="AW34" s="3">
        <v>11</v>
      </c>
      <c r="AX34" s="31">
        <v>0</v>
      </c>
      <c r="AY34" s="31">
        <v>0</v>
      </c>
      <c r="AZ34" s="30">
        <f t="shared" si="8"/>
        <v>0</v>
      </c>
      <c r="BA34" s="3">
        <f t="shared" si="22"/>
        <v>0</v>
      </c>
      <c r="BB34" s="2">
        <f>SUMIF('July 2027'!$B:$B,'PTO SUMMARY 2027'!AK34,'July 2027'!$AK:$AK)</f>
        <v>0</v>
      </c>
      <c r="BC34" s="1">
        <f t="shared" si="9"/>
        <v>0</v>
      </c>
      <c r="BD34" s="1">
        <v>0</v>
      </c>
      <c r="BE34" s="1">
        <v>0</v>
      </c>
      <c r="BF34" s="3">
        <f t="shared" si="23"/>
        <v>0</v>
      </c>
      <c r="BG34" s="2">
        <f>SUMIF('August 2027'!$B:$B,'PTO SUMMARY 2027'!AP34,'August 2027'!$AK:$AK)</f>
        <v>0</v>
      </c>
      <c r="BH34" s="1">
        <f t="shared" si="10"/>
        <v>0</v>
      </c>
      <c r="BI34" s="1">
        <v>0</v>
      </c>
      <c r="BJ34" s="1">
        <v>0</v>
      </c>
      <c r="BK34" s="3">
        <f t="shared" si="24"/>
        <v>0</v>
      </c>
      <c r="BL34" s="2">
        <f>SUMIF('September 2027'!$B:$B,'PTO SUMMARY 2027'!AU34,'September 2027'!$AK:$AK)</f>
        <v>0</v>
      </c>
      <c r="BM34" s="1">
        <f t="shared" si="11"/>
        <v>0</v>
      </c>
      <c r="BN34" s="1">
        <v>0</v>
      </c>
      <c r="BO34" s="1">
        <v>0</v>
      </c>
      <c r="BP34" s="3">
        <v>11</v>
      </c>
      <c r="BQ34" s="31">
        <v>0</v>
      </c>
      <c r="BR34" s="31">
        <v>0</v>
      </c>
      <c r="BS34" s="30">
        <f t="shared" si="12"/>
        <v>0</v>
      </c>
      <c r="BT34" s="3">
        <f t="shared" si="25"/>
        <v>0</v>
      </c>
      <c r="BU34" s="2">
        <f>SUMIF('October 2027'!$B:$B,'PTO SUMMARY 2027'!BH34,'October 2027'!$AK:$AK)</f>
        <v>0</v>
      </c>
      <c r="BV34" s="1">
        <f t="shared" si="13"/>
        <v>0</v>
      </c>
      <c r="BW34" s="1">
        <v>0</v>
      </c>
      <c r="BX34" s="1">
        <v>0</v>
      </c>
      <c r="BY34" s="3">
        <f t="shared" si="26"/>
        <v>0</v>
      </c>
      <c r="BZ34" s="2">
        <f>SUMIF('November 2027'!$B:$B,'PTO SUMMARY 2027'!BM34,'November 2027'!$AK:$AK)</f>
        <v>0</v>
      </c>
      <c r="CA34" s="1">
        <f t="shared" si="14"/>
        <v>0</v>
      </c>
      <c r="CB34" s="1">
        <v>0</v>
      </c>
      <c r="CC34" s="1">
        <v>0</v>
      </c>
      <c r="CD34" s="3">
        <f t="shared" si="27"/>
        <v>0</v>
      </c>
      <c r="CE34" s="2">
        <f>SUMIF('December 2027'!$B:$B,'PTO SUMMARY 2027'!$B:$B,'December 2027'!$AK:$AK)</f>
        <v>0</v>
      </c>
      <c r="CF34" s="1">
        <f t="shared" si="15"/>
        <v>0</v>
      </c>
      <c r="CG34" s="1">
        <v>0</v>
      </c>
      <c r="CH34" s="1">
        <v>0</v>
      </c>
      <c r="CI34" s="1">
        <v>0</v>
      </c>
      <c r="CJ34" s="3">
        <v>11</v>
      </c>
      <c r="CK34" s="31">
        <v>0</v>
      </c>
      <c r="CL34" s="31">
        <v>0</v>
      </c>
      <c r="CM34" s="31">
        <v>0</v>
      </c>
      <c r="CN34" s="30">
        <f t="shared" si="28"/>
        <v>0</v>
      </c>
    </row>
    <row r="35" spans="1:92">
      <c r="A35" s="8" t="s">
        <v>145</v>
      </c>
      <c r="B35" s="8" t="s">
        <v>146</v>
      </c>
      <c r="C35" s="8" t="s">
        <v>75</v>
      </c>
      <c r="D35" s="9" t="s">
        <v>70</v>
      </c>
      <c r="E35" t="s">
        <v>76</v>
      </c>
      <c r="F35" s="12" t="s">
        <v>96</v>
      </c>
      <c r="G35" s="7">
        <v>1</v>
      </c>
      <c r="H35" s="11">
        <f>((G35*86.67)*2)*(SUMIF('Accrual Rates'!B:B,'PTO SUMMARY 2027'!B35,'Accrual Rates'!G:G))</f>
        <v>13.3333128</v>
      </c>
      <c r="I35" s="33">
        <v>0</v>
      </c>
      <c r="J35" s="1">
        <v>0</v>
      </c>
      <c r="K35" s="1">
        <v>0</v>
      </c>
      <c r="L35" s="1">
        <v>0</v>
      </c>
      <c r="M35" s="32">
        <v>0</v>
      </c>
      <c r="N35" s="2">
        <f t="shared" si="16"/>
        <v>13.3333128</v>
      </c>
      <c r="O35" s="2">
        <f>SUMIF('January 2027'!$B:$B,'PTO SUMMARY 2027'!B35,'January 2027'!$AK:$AK)</f>
        <v>0</v>
      </c>
      <c r="P35" s="1">
        <f t="shared" si="0"/>
        <v>13.3333128</v>
      </c>
      <c r="Q35" s="1">
        <v>0</v>
      </c>
      <c r="R35" s="1">
        <v>0</v>
      </c>
      <c r="S35" s="3">
        <f t="shared" si="17"/>
        <v>13.3333128</v>
      </c>
      <c r="T35" s="2">
        <f>SUMIF('February 2027'!$B:$B,'PTO SUMMARY 2027'!G35,'February 2027'!$AK:$AK)</f>
        <v>0</v>
      </c>
      <c r="U35" s="154">
        <v>0</v>
      </c>
      <c r="V35" s="1">
        <f t="shared" si="1"/>
        <v>26.6666256</v>
      </c>
      <c r="W35" s="1">
        <v>0</v>
      </c>
      <c r="X35" s="1">
        <v>0</v>
      </c>
      <c r="Y35" s="3">
        <f t="shared" si="18"/>
        <v>13.3333128</v>
      </c>
      <c r="Z35" s="2">
        <f>SUMIF('March 2027'!$B:$B,'PTO SUMMARY 2027'!M35,'March 2027'!$AK:$AK)</f>
        <v>0</v>
      </c>
      <c r="AA35" s="1">
        <f t="shared" si="29"/>
        <v>39.999938399999998</v>
      </c>
      <c r="AB35" s="1">
        <v>0</v>
      </c>
      <c r="AC35" s="1">
        <v>0</v>
      </c>
      <c r="AD35" s="3">
        <v>0</v>
      </c>
      <c r="AE35" s="31">
        <f t="shared" ref="AE35:AE66" si="41">K35-AD35</f>
        <v>0</v>
      </c>
      <c r="AF35" s="31">
        <v>0</v>
      </c>
      <c r="AG35" s="30">
        <f t="shared" si="4"/>
        <v>0</v>
      </c>
      <c r="AH35" s="2">
        <f t="shared" si="19"/>
        <v>13.3333128</v>
      </c>
      <c r="AI35" s="2">
        <f>SUMIF('April 2027'!$B:$B,'PTO SUMMARY 2027'!V35,'April 2027'!$AK:$AK)</f>
        <v>0</v>
      </c>
      <c r="AJ35" s="1">
        <f t="shared" si="5"/>
        <v>53.333251199999999</v>
      </c>
      <c r="AK35" s="1">
        <v>0</v>
      </c>
      <c r="AL35" s="1">
        <v>0</v>
      </c>
      <c r="AM35" s="3">
        <f t="shared" si="20"/>
        <v>13.3333128</v>
      </c>
      <c r="AN35" s="2">
        <f>SUMIF('May 2027'!$B:$B,'PTO SUMMARY 2027'!AA35,'May 2027'!$AK:$AK)</f>
        <v>0</v>
      </c>
      <c r="AO35" s="1">
        <f t="shared" si="6"/>
        <v>66.67</v>
      </c>
      <c r="AP35" s="1">
        <v>0</v>
      </c>
      <c r="AQ35" s="1">
        <v>0</v>
      </c>
      <c r="AR35" s="3">
        <f t="shared" si="21"/>
        <v>13.3333128</v>
      </c>
      <c r="AS35" s="2">
        <f>SUMIF('June 2027'!$B:$B,'PTO SUMMARY 2027'!AF35,'June 2027'!$AK:$AK)</f>
        <v>0</v>
      </c>
      <c r="AT35" s="1">
        <f t="shared" si="7"/>
        <v>80.003312800000003</v>
      </c>
      <c r="AU35" s="1">
        <v>0</v>
      </c>
      <c r="AV35" s="1">
        <v>0</v>
      </c>
      <c r="AW35" s="3">
        <v>0</v>
      </c>
      <c r="AX35" s="31">
        <v>0</v>
      </c>
      <c r="AY35" s="31">
        <v>0</v>
      </c>
      <c r="AZ35" s="30">
        <f t="shared" si="8"/>
        <v>0</v>
      </c>
      <c r="BA35" s="3">
        <f t="shared" si="22"/>
        <v>13.3333128</v>
      </c>
      <c r="BB35" s="2">
        <f>SUMIF('July 2027'!$B:$B,'PTO SUMMARY 2027'!AK35,'July 2027'!$AK:$AK)</f>
        <v>0</v>
      </c>
      <c r="BC35" s="1">
        <f t="shared" si="9"/>
        <v>93.336625600000005</v>
      </c>
      <c r="BD35" s="1">
        <v>0</v>
      </c>
      <c r="BE35" s="1">
        <v>0</v>
      </c>
      <c r="BF35" s="3">
        <f t="shared" si="23"/>
        <v>13.3333128</v>
      </c>
      <c r="BG35" s="2">
        <f>SUMIF('August 2027'!$B:$B,'PTO SUMMARY 2027'!AP35,'August 2027'!$AK:$AK)</f>
        <v>0</v>
      </c>
      <c r="BH35" s="1">
        <f t="shared" si="10"/>
        <v>106.66993840000001</v>
      </c>
      <c r="BI35" s="1">
        <v>0</v>
      </c>
      <c r="BJ35" s="1">
        <v>0</v>
      </c>
      <c r="BK35" s="3">
        <f t="shared" si="24"/>
        <v>13.3333128</v>
      </c>
      <c r="BL35" s="2">
        <f>SUMIF('September 2027'!$B:$B,'PTO SUMMARY 2027'!AU35,'September 2027'!$AK:$AK)</f>
        <v>0</v>
      </c>
      <c r="BM35" s="1">
        <f t="shared" si="11"/>
        <v>120.00325120000001</v>
      </c>
      <c r="BN35" s="1">
        <v>0</v>
      </c>
      <c r="BO35" s="1">
        <v>0</v>
      </c>
      <c r="BP35" s="3">
        <v>0</v>
      </c>
      <c r="BQ35" s="31">
        <v>0</v>
      </c>
      <c r="BR35" s="31">
        <v>0</v>
      </c>
      <c r="BS35" s="30">
        <f t="shared" si="12"/>
        <v>0</v>
      </c>
      <c r="BT35" s="3">
        <f t="shared" si="25"/>
        <v>13.3333128</v>
      </c>
      <c r="BU35" s="2">
        <f>SUMIF('October 2027'!$B:$B,'PTO SUMMARY 2027'!BH35,'October 2027'!$AK:$AK)</f>
        <v>0</v>
      </c>
      <c r="BV35" s="1">
        <f t="shared" si="13"/>
        <v>133.33656400000001</v>
      </c>
      <c r="BW35" s="1">
        <v>0</v>
      </c>
      <c r="BX35" s="1">
        <v>0</v>
      </c>
      <c r="BY35" s="3">
        <f t="shared" si="26"/>
        <v>13.3333128</v>
      </c>
      <c r="BZ35" s="2">
        <f>SUMIF('November 2027'!$B:$B,'PTO SUMMARY 2027'!BM35,'November 2027'!$AK:$AK)</f>
        <v>0</v>
      </c>
      <c r="CA35" s="1">
        <f t="shared" si="14"/>
        <v>146.6698768</v>
      </c>
      <c r="CB35" s="1">
        <v>0</v>
      </c>
      <c r="CC35" s="1">
        <v>0</v>
      </c>
      <c r="CD35" s="3">
        <f t="shared" si="27"/>
        <v>13.3333128</v>
      </c>
      <c r="CE35" s="2">
        <f>SUMIF('December 2027'!$B:$B,'PTO SUMMARY 2027'!$B:$B,'December 2027'!$AK:$AK)</f>
        <v>0</v>
      </c>
      <c r="CF35" s="1">
        <f t="shared" si="15"/>
        <v>160.00318959999998</v>
      </c>
      <c r="CG35" s="1">
        <v>0</v>
      </c>
      <c r="CH35" s="1">
        <v>0</v>
      </c>
      <c r="CI35" s="1">
        <v>0</v>
      </c>
      <c r="CJ35" s="3">
        <v>0</v>
      </c>
      <c r="CK35" s="31">
        <v>0</v>
      </c>
      <c r="CL35" s="31">
        <v>0</v>
      </c>
      <c r="CM35" s="31">
        <v>0</v>
      </c>
      <c r="CN35" s="30">
        <f t="shared" si="28"/>
        <v>0</v>
      </c>
    </row>
    <row r="36" spans="1:92" ht="14.25" customHeight="1">
      <c r="A36" s="35" t="s">
        <v>147</v>
      </c>
      <c r="B36" s="8" t="s">
        <v>148</v>
      </c>
      <c r="C36" s="8" t="s">
        <v>64</v>
      </c>
      <c r="D36" s="9" t="s">
        <v>65</v>
      </c>
      <c r="E36" s="36" t="s">
        <v>66</v>
      </c>
      <c r="F36" s="12" t="s">
        <v>90</v>
      </c>
      <c r="G36" s="7">
        <v>0.75</v>
      </c>
      <c r="H36" s="34">
        <v>0</v>
      </c>
      <c r="I36" s="33">
        <v>0</v>
      </c>
      <c r="J36" s="1">
        <v>0</v>
      </c>
      <c r="K36" s="1">
        <v>0</v>
      </c>
      <c r="L36" s="1">
        <v>0</v>
      </c>
      <c r="M36" s="32">
        <v>0</v>
      </c>
      <c r="N36" s="2">
        <f t="shared" si="16"/>
        <v>0</v>
      </c>
      <c r="O36" s="2">
        <f>SUMIF('January 2027'!$B:$B,'PTO SUMMARY 2027'!B36,'January 2027'!$AK:$AK)</f>
        <v>8</v>
      </c>
      <c r="P36" s="1">
        <f t="shared" ref="P36:P66" si="42">L36+M36+N36-O36</f>
        <v>-8</v>
      </c>
      <c r="Q36" s="1">
        <v>0</v>
      </c>
      <c r="R36" s="1">
        <v>0</v>
      </c>
      <c r="S36" s="3">
        <f t="shared" si="17"/>
        <v>0</v>
      </c>
      <c r="T36" s="2">
        <f>SUMIF('February 2027'!$B:$B,'PTO SUMMARY 2027'!G36,'February 2027'!$AK:$AK)</f>
        <v>0</v>
      </c>
      <c r="U36" s="154">
        <v>0</v>
      </c>
      <c r="V36" s="1">
        <f t="shared" ref="V36:V66" si="43">P36+S36-T36</f>
        <v>-8</v>
      </c>
      <c r="W36" s="1">
        <v>0</v>
      </c>
      <c r="X36" s="1">
        <v>0</v>
      </c>
      <c r="Y36" s="3">
        <f t="shared" si="18"/>
        <v>0</v>
      </c>
      <c r="Z36" s="2">
        <f>SUMIF('March 2027'!$B:$B,'PTO SUMMARY 2027'!M36,'March 2027'!$AK:$AK)</f>
        <v>0</v>
      </c>
      <c r="AA36" s="1">
        <f t="shared" si="29"/>
        <v>-8</v>
      </c>
      <c r="AB36" s="1">
        <v>0</v>
      </c>
      <c r="AC36" s="1">
        <v>0</v>
      </c>
      <c r="AD36" s="3">
        <v>0</v>
      </c>
      <c r="AE36" s="31">
        <f t="shared" si="41"/>
        <v>0</v>
      </c>
      <c r="AF36" s="31">
        <v>0</v>
      </c>
      <c r="AG36" s="30">
        <f t="shared" ref="AG36:AG66" si="44">AE36-AF36</f>
        <v>0</v>
      </c>
      <c r="AH36" s="2">
        <f t="shared" si="19"/>
        <v>0</v>
      </c>
      <c r="AI36" s="2">
        <f>SUMIF('April 2027'!$B:$B,'PTO SUMMARY 2027'!V36,'April 2027'!$AK:$AK)</f>
        <v>0</v>
      </c>
      <c r="AJ36" s="1">
        <f t="shared" ref="AJ36:AJ66" si="45">AA36+AH36-AI36</f>
        <v>-8</v>
      </c>
      <c r="AK36" s="1">
        <v>0</v>
      </c>
      <c r="AL36" s="1">
        <v>0</v>
      </c>
      <c r="AM36" s="3">
        <f t="shared" si="20"/>
        <v>0</v>
      </c>
      <c r="AN36" s="2">
        <f>SUMIF('May 2027'!$B:$B,'PTO SUMMARY 2027'!AA36,'May 2027'!$AK:$AK)</f>
        <v>0</v>
      </c>
      <c r="AO36" s="1">
        <f t="shared" ref="AO36:AO66" si="46">ROUND((AJ36+AM36-AN36),2)</f>
        <v>-8</v>
      </c>
      <c r="AP36" s="1">
        <v>0</v>
      </c>
      <c r="AQ36" s="1">
        <v>0</v>
      </c>
      <c r="AR36" s="3">
        <f t="shared" si="21"/>
        <v>0</v>
      </c>
      <c r="AS36" s="2">
        <f>SUMIF('June 2027'!$B:$B,'PTO SUMMARY 2027'!AF36,'June 2027'!$AK:$AK)</f>
        <v>0</v>
      </c>
      <c r="AT36" s="1">
        <f t="shared" ref="AT36:AT66" si="47">AO36+AR36-AS36</f>
        <v>-8</v>
      </c>
      <c r="AU36" s="1">
        <v>0</v>
      </c>
      <c r="AV36" s="1">
        <v>0</v>
      </c>
      <c r="AW36" s="3">
        <v>0</v>
      </c>
      <c r="AX36" s="31">
        <v>0</v>
      </c>
      <c r="AY36" s="31">
        <v>0</v>
      </c>
      <c r="AZ36" s="30">
        <f t="shared" si="8"/>
        <v>0</v>
      </c>
      <c r="BA36" s="3">
        <f t="shared" si="22"/>
        <v>0</v>
      </c>
      <c r="BB36" s="2">
        <f>SUMIF('July 2027'!$B:$B,'PTO SUMMARY 2027'!AK36,'July 2027'!$AK:$AK)</f>
        <v>0</v>
      </c>
      <c r="BC36" s="1">
        <f t="shared" si="9"/>
        <v>-8</v>
      </c>
      <c r="BD36" s="1">
        <v>0</v>
      </c>
      <c r="BE36" s="1">
        <v>0</v>
      </c>
      <c r="BF36" s="3">
        <f t="shared" si="23"/>
        <v>0</v>
      </c>
      <c r="BG36" s="2">
        <f>SUMIF('August 2027'!$B:$B,'PTO SUMMARY 2027'!AP36,'August 2027'!$AK:$AK)</f>
        <v>0</v>
      </c>
      <c r="BH36" s="1">
        <f t="shared" si="10"/>
        <v>-8</v>
      </c>
      <c r="BI36" s="1">
        <v>0</v>
      </c>
      <c r="BJ36" s="1">
        <v>0</v>
      </c>
      <c r="BK36" s="3">
        <f t="shared" si="24"/>
        <v>0</v>
      </c>
      <c r="BL36" s="2">
        <f>SUMIF('September 2027'!$B:$B,'PTO SUMMARY 2027'!AU36,'September 2027'!$AK:$AK)</f>
        <v>0</v>
      </c>
      <c r="BM36" s="1">
        <f t="shared" ref="BM36:BM66" si="48">BH36+BK36-BL36</f>
        <v>-8</v>
      </c>
      <c r="BN36" s="1">
        <v>0</v>
      </c>
      <c r="BO36" s="1">
        <v>0</v>
      </c>
      <c r="BP36" s="3">
        <v>0</v>
      </c>
      <c r="BQ36" s="31">
        <v>0</v>
      </c>
      <c r="BR36" s="31">
        <v>0</v>
      </c>
      <c r="BS36" s="30">
        <f t="shared" si="12"/>
        <v>0</v>
      </c>
      <c r="BT36" s="3">
        <f t="shared" si="25"/>
        <v>0</v>
      </c>
      <c r="BU36" s="2">
        <f>SUMIF('October 2027'!$B:$B,'PTO SUMMARY 2027'!BH36,'October 2027'!$AK:$AK)</f>
        <v>0</v>
      </c>
      <c r="BV36" s="1">
        <f t="shared" ref="BV36:BV66" si="49">BM36+BT36-BU36</f>
        <v>-8</v>
      </c>
      <c r="BW36" s="1">
        <v>0</v>
      </c>
      <c r="BX36" s="1">
        <v>0</v>
      </c>
      <c r="BY36" s="3">
        <f t="shared" si="26"/>
        <v>0</v>
      </c>
      <c r="BZ36" s="2">
        <f>SUMIF('November 2027'!$B:$B,'PTO SUMMARY 2027'!BM36,'November 2027'!$AK:$AK)</f>
        <v>0</v>
      </c>
      <c r="CA36" s="1">
        <f t="shared" ref="CA36:CA66" si="50">BV36+BY36-BZ36</f>
        <v>-8</v>
      </c>
      <c r="CB36" s="1">
        <v>0</v>
      </c>
      <c r="CC36" s="1">
        <v>0</v>
      </c>
      <c r="CD36" s="3">
        <f t="shared" si="27"/>
        <v>0</v>
      </c>
      <c r="CE36" s="2">
        <f>SUMIF('December 2027'!$B:$B,'PTO SUMMARY 2027'!$B:$B,'December 2027'!$AK:$AK)</f>
        <v>0</v>
      </c>
      <c r="CF36" s="1">
        <f t="shared" ref="CF36:CF66" si="51">CA36+CD36-CE36</f>
        <v>-8</v>
      </c>
      <c r="CG36" s="1">
        <v>0</v>
      </c>
      <c r="CH36" s="1">
        <v>0</v>
      </c>
      <c r="CI36" s="1">
        <v>0</v>
      </c>
      <c r="CJ36" s="3">
        <v>0</v>
      </c>
      <c r="CK36" s="31">
        <v>0</v>
      </c>
      <c r="CL36" s="31">
        <v>0</v>
      </c>
      <c r="CM36" s="31">
        <v>0</v>
      </c>
      <c r="CN36" s="30">
        <f t="shared" si="28"/>
        <v>0</v>
      </c>
    </row>
    <row r="37" spans="1:92">
      <c r="A37" s="8" t="s">
        <v>149</v>
      </c>
      <c r="B37" s="8" t="s">
        <v>150</v>
      </c>
      <c r="C37" s="8" t="s">
        <v>75</v>
      </c>
      <c r="D37" s="9" t="s">
        <v>70</v>
      </c>
      <c r="E37" t="s">
        <v>76</v>
      </c>
      <c r="F37" s="12" t="s">
        <v>99</v>
      </c>
      <c r="G37" s="7">
        <v>0.8</v>
      </c>
      <c r="H37" s="11">
        <f>((G37*86.67)*2)*(SUMIF('Accrual Rates'!B:B,'PTO SUMMARY 2027'!B37,'Accrual Rates'!G:G))</f>
        <v>13.866645311999999</v>
      </c>
      <c r="I37" s="33">
        <v>0</v>
      </c>
      <c r="J37" s="1">
        <v>0</v>
      </c>
      <c r="K37" s="1">
        <v>0</v>
      </c>
      <c r="L37" s="1">
        <v>0</v>
      </c>
      <c r="M37" s="32">
        <v>0</v>
      </c>
      <c r="N37" s="2">
        <f t="shared" si="16"/>
        <v>13.866645311999999</v>
      </c>
      <c r="O37" s="2">
        <f>SUMIF('January 2027'!$B:$B,'PTO SUMMARY 2027'!B37,'January 2027'!$AK:$AK)</f>
        <v>0</v>
      </c>
      <c r="P37" s="1">
        <f t="shared" si="42"/>
        <v>13.866645311999999</v>
      </c>
      <c r="Q37" s="1">
        <v>0</v>
      </c>
      <c r="R37" s="1">
        <v>0</v>
      </c>
      <c r="S37" s="3">
        <f t="shared" si="17"/>
        <v>13.866645311999999</v>
      </c>
      <c r="T37" s="2">
        <f>SUMIF('February 2027'!$B:$B,'PTO SUMMARY 2027'!G37,'February 2027'!$AK:$AK)</f>
        <v>0</v>
      </c>
      <c r="U37" s="154">
        <v>0</v>
      </c>
      <c r="V37" s="1">
        <f t="shared" si="43"/>
        <v>27.733290623999999</v>
      </c>
      <c r="W37" s="1">
        <v>0</v>
      </c>
      <c r="X37" s="1">
        <v>0</v>
      </c>
      <c r="Y37" s="3">
        <f t="shared" si="18"/>
        <v>13.866645311999999</v>
      </c>
      <c r="Z37" s="2">
        <f>SUMIF('March 2027'!$B:$B,'PTO SUMMARY 2027'!M37,'March 2027'!$AK:$AK)</f>
        <v>0</v>
      </c>
      <c r="AA37" s="1">
        <f t="shared" si="29"/>
        <v>41.599935935999994</v>
      </c>
      <c r="AB37" s="1">
        <v>0</v>
      </c>
      <c r="AC37" s="1">
        <v>0</v>
      </c>
      <c r="AD37" s="3">
        <v>0</v>
      </c>
      <c r="AE37" s="31">
        <f t="shared" si="41"/>
        <v>0</v>
      </c>
      <c r="AF37" s="31">
        <v>0</v>
      </c>
      <c r="AG37" s="30">
        <f t="shared" si="44"/>
        <v>0</v>
      </c>
      <c r="AH37" s="2">
        <f t="shared" si="19"/>
        <v>13.866645311999999</v>
      </c>
      <c r="AI37" s="2">
        <f>SUMIF('April 2027'!$B:$B,'PTO SUMMARY 2027'!V37,'April 2027'!$AK:$AK)</f>
        <v>0</v>
      </c>
      <c r="AJ37" s="1">
        <f t="shared" si="45"/>
        <v>55.466581247999997</v>
      </c>
      <c r="AK37" s="1">
        <v>0</v>
      </c>
      <c r="AL37" s="1">
        <v>0</v>
      </c>
      <c r="AM37" s="3">
        <f t="shared" si="20"/>
        <v>13.866645311999999</v>
      </c>
      <c r="AN37" s="2">
        <f>SUMIF('May 2027'!$B:$B,'PTO SUMMARY 2027'!AA37,'May 2027'!$AK:$AK)</f>
        <v>0</v>
      </c>
      <c r="AO37" s="1">
        <f t="shared" si="46"/>
        <v>69.33</v>
      </c>
      <c r="AP37" s="1">
        <v>0</v>
      </c>
      <c r="AQ37" s="1">
        <v>0</v>
      </c>
      <c r="AR37" s="3">
        <f t="shared" si="21"/>
        <v>13.866645311999999</v>
      </c>
      <c r="AS37" s="2">
        <f>SUMIF('June 2027'!$B:$B,'PTO SUMMARY 2027'!AF37,'June 2027'!$AK:$AK)</f>
        <v>0</v>
      </c>
      <c r="AT37" s="1">
        <f t="shared" si="47"/>
        <v>83.196645312000001</v>
      </c>
      <c r="AU37" s="1">
        <v>0</v>
      </c>
      <c r="AV37" s="1">
        <v>0</v>
      </c>
      <c r="AW37" s="3">
        <v>0</v>
      </c>
      <c r="AX37" s="31">
        <v>0</v>
      </c>
      <c r="AY37" s="31">
        <v>0</v>
      </c>
      <c r="AZ37" s="30">
        <f t="shared" si="8"/>
        <v>0</v>
      </c>
      <c r="BA37" s="3">
        <f t="shared" si="22"/>
        <v>13.866645311999999</v>
      </c>
      <c r="BB37" s="2">
        <f>SUMIF('July 2027'!$B:$B,'PTO SUMMARY 2027'!AK37,'July 2027'!$AK:$AK)</f>
        <v>0</v>
      </c>
      <c r="BC37" s="1">
        <f t="shared" si="9"/>
        <v>97.063290624000004</v>
      </c>
      <c r="BD37" s="1">
        <v>0</v>
      </c>
      <c r="BE37" s="1">
        <v>0</v>
      </c>
      <c r="BF37" s="3">
        <f t="shared" si="23"/>
        <v>13.866645311999999</v>
      </c>
      <c r="BG37" s="2">
        <f>SUMIF('August 2027'!$B:$B,'PTO SUMMARY 2027'!AP37,'August 2027'!$AK:$AK)</f>
        <v>0</v>
      </c>
      <c r="BH37" s="1">
        <f t="shared" si="10"/>
        <v>110.92993593600001</v>
      </c>
      <c r="BI37" s="1">
        <v>0</v>
      </c>
      <c r="BJ37" s="1">
        <v>0</v>
      </c>
      <c r="BK37" s="3">
        <f t="shared" si="24"/>
        <v>13.866645311999999</v>
      </c>
      <c r="BL37" s="2">
        <f>SUMIF('September 2027'!$B:$B,'PTO SUMMARY 2027'!AU37,'September 2027'!$AK:$AK)</f>
        <v>0</v>
      </c>
      <c r="BM37" s="1">
        <f t="shared" si="48"/>
        <v>124.79658124800001</v>
      </c>
      <c r="BN37" s="1">
        <v>0</v>
      </c>
      <c r="BO37" s="1">
        <v>0</v>
      </c>
      <c r="BP37" s="3">
        <v>0</v>
      </c>
      <c r="BQ37" s="31">
        <v>0</v>
      </c>
      <c r="BR37" s="31">
        <v>0</v>
      </c>
      <c r="BS37" s="30">
        <f t="shared" si="12"/>
        <v>0</v>
      </c>
      <c r="BT37" s="3">
        <f t="shared" si="25"/>
        <v>13.866645311999999</v>
      </c>
      <c r="BU37" s="2">
        <f>SUMIF('October 2027'!$B:$B,'PTO SUMMARY 2027'!BH37,'October 2027'!$AK:$AK)</f>
        <v>0</v>
      </c>
      <c r="BV37" s="1">
        <f t="shared" si="49"/>
        <v>138.66322656</v>
      </c>
      <c r="BW37" s="1">
        <v>0</v>
      </c>
      <c r="BX37" s="1">
        <v>0</v>
      </c>
      <c r="BY37" s="3">
        <f t="shared" si="26"/>
        <v>13.866645311999999</v>
      </c>
      <c r="BZ37" s="2">
        <f>SUMIF('November 2027'!$B:$B,'PTO SUMMARY 2027'!BM37,'November 2027'!$AK:$AK)</f>
        <v>0</v>
      </c>
      <c r="CA37" s="1">
        <f t="shared" si="50"/>
        <v>152.529871872</v>
      </c>
      <c r="CB37" s="1">
        <v>0</v>
      </c>
      <c r="CC37" s="1">
        <v>0</v>
      </c>
      <c r="CD37" s="3">
        <f t="shared" si="27"/>
        <v>13.866645311999999</v>
      </c>
      <c r="CE37" s="2">
        <f>SUMIF('December 2027'!$B:$B,'PTO SUMMARY 2027'!$B:$B,'December 2027'!$AK:$AK)</f>
        <v>0</v>
      </c>
      <c r="CF37" s="1">
        <f t="shared" si="51"/>
        <v>166.396517184</v>
      </c>
      <c r="CG37" s="1">
        <v>0</v>
      </c>
      <c r="CH37" s="1">
        <v>0</v>
      </c>
      <c r="CI37" s="1">
        <v>0</v>
      </c>
      <c r="CJ37" s="3">
        <v>0</v>
      </c>
      <c r="CK37" s="31">
        <v>0</v>
      </c>
      <c r="CL37" s="31">
        <v>0</v>
      </c>
      <c r="CM37" s="31">
        <v>0</v>
      </c>
      <c r="CN37" s="30">
        <f t="shared" si="28"/>
        <v>0</v>
      </c>
    </row>
    <row r="38" spans="1:92">
      <c r="A38" s="35" t="s">
        <v>151</v>
      </c>
      <c r="B38" s="8" t="s">
        <v>152</v>
      </c>
      <c r="C38" s="8" t="s">
        <v>64</v>
      </c>
      <c r="D38" s="9" t="s">
        <v>65</v>
      </c>
      <c r="E38" s="36" t="s">
        <v>66</v>
      </c>
      <c r="F38" s="12" t="s">
        <v>77</v>
      </c>
      <c r="G38" s="7">
        <v>1</v>
      </c>
      <c r="H38" s="34">
        <v>0</v>
      </c>
      <c r="I38" s="33">
        <v>0</v>
      </c>
      <c r="J38" s="1">
        <v>0</v>
      </c>
      <c r="K38" s="1">
        <v>0</v>
      </c>
      <c r="L38" s="1">
        <v>0</v>
      </c>
      <c r="M38" s="32">
        <v>0</v>
      </c>
      <c r="N38" s="2">
        <f t="shared" si="16"/>
        <v>0</v>
      </c>
      <c r="O38" s="2">
        <f>SUMIF('January 2027'!$B:$B,'PTO SUMMARY 2027'!B38,'January 2027'!$AK:$AK)</f>
        <v>8</v>
      </c>
      <c r="P38" s="1">
        <f t="shared" si="42"/>
        <v>-8</v>
      </c>
      <c r="Q38" s="1">
        <v>0</v>
      </c>
      <c r="R38" s="1">
        <v>0</v>
      </c>
      <c r="S38" s="3">
        <f t="shared" si="17"/>
        <v>0</v>
      </c>
      <c r="T38" s="2">
        <f>SUMIF('February 2027'!$B:$B,'PTO SUMMARY 2027'!G38,'February 2027'!$AK:$AK)</f>
        <v>0</v>
      </c>
      <c r="U38" s="154">
        <v>0</v>
      </c>
      <c r="V38" s="1">
        <f t="shared" si="43"/>
        <v>-8</v>
      </c>
      <c r="W38" s="1">
        <v>0</v>
      </c>
      <c r="X38" s="1">
        <v>0</v>
      </c>
      <c r="Y38" s="3">
        <f t="shared" si="18"/>
        <v>0</v>
      </c>
      <c r="Z38" s="2">
        <f>SUMIF('March 2027'!$B:$B,'PTO SUMMARY 2027'!M38,'March 2027'!$AK:$AK)</f>
        <v>0</v>
      </c>
      <c r="AA38" s="1">
        <f t="shared" si="29"/>
        <v>-8</v>
      </c>
      <c r="AB38" s="1">
        <v>0</v>
      </c>
      <c r="AC38" s="1">
        <v>0</v>
      </c>
      <c r="AD38" s="3">
        <v>0</v>
      </c>
      <c r="AE38" s="31">
        <f t="shared" si="41"/>
        <v>0</v>
      </c>
      <c r="AF38" s="31">
        <v>0</v>
      </c>
      <c r="AG38" s="30">
        <f t="shared" si="44"/>
        <v>0</v>
      </c>
      <c r="AH38" s="2">
        <f t="shared" si="19"/>
        <v>0</v>
      </c>
      <c r="AI38" s="2">
        <f>SUMIF('April 2027'!$B:$B,'PTO SUMMARY 2027'!V38,'April 2027'!$AK:$AK)</f>
        <v>0</v>
      </c>
      <c r="AJ38" s="1">
        <f t="shared" si="45"/>
        <v>-8</v>
      </c>
      <c r="AK38" s="1">
        <v>0</v>
      </c>
      <c r="AL38" s="1">
        <v>0</v>
      </c>
      <c r="AM38" s="3">
        <f t="shared" si="20"/>
        <v>0</v>
      </c>
      <c r="AN38" s="2">
        <f>SUMIF('May 2027'!$B:$B,'PTO SUMMARY 2027'!AA38,'May 2027'!$AK:$AK)</f>
        <v>0</v>
      </c>
      <c r="AO38" s="1">
        <f t="shared" si="46"/>
        <v>-8</v>
      </c>
      <c r="AP38" s="1">
        <v>0</v>
      </c>
      <c r="AQ38" s="1">
        <v>0</v>
      </c>
      <c r="AR38" s="3">
        <f t="shared" si="21"/>
        <v>0</v>
      </c>
      <c r="AS38" s="2">
        <f>SUMIF('June 2027'!$B:$B,'PTO SUMMARY 2027'!AF38,'June 2027'!$AK:$AK)</f>
        <v>0</v>
      </c>
      <c r="AT38" s="1">
        <f t="shared" si="47"/>
        <v>-8</v>
      </c>
      <c r="AU38" s="1">
        <v>0</v>
      </c>
      <c r="AV38" s="1">
        <v>0</v>
      </c>
      <c r="AW38" s="3">
        <v>0</v>
      </c>
      <c r="AX38" s="31">
        <v>0</v>
      </c>
      <c r="AY38" s="31">
        <v>0</v>
      </c>
      <c r="AZ38" s="30">
        <f t="shared" si="8"/>
        <v>0</v>
      </c>
      <c r="BA38" s="3">
        <f t="shared" si="22"/>
        <v>0</v>
      </c>
      <c r="BB38" s="2">
        <f>SUMIF('July 2027'!$B:$B,'PTO SUMMARY 2027'!AK38,'July 2027'!$AK:$AK)</f>
        <v>0</v>
      </c>
      <c r="BC38" s="1">
        <f t="shared" si="9"/>
        <v>-8</v>
      </c>
      <c r="BD38" s="1">
        <v>0</v>
      </c>
      <c r="BE38" s="1">
        <v>0</v>
      </c>
      <c r="BF38" s="3">
        <f t="shared" si="23"/>
        <v>0</v>
      </c>
      <c r="BG38" s="2">
        <f>SUMIF('August 2027'!$B:$B,'PTO SUMMARY 2027'!AP38,'August 2027'!$AK:$AK)</f>
        <v>0</v>
      </c>
      <c r="BH38" s="1">
        <f t="shared" si="10"/>
        <v>-8</v>
      </c>
      <c r="BI38" s="1">
        <v>0</v>
      </c>
      <c r="BJ38" s="1">
        <v>0</v>
      </c>
      <c r="BK38" s="3">
        <f t="shared" si="24"/>
        <v>0</v>
      </c>
      <c r="BL38" s="2">
        <f>SUMIF('September 2027'!$B:$B,'PTO SUMMARY 2027'!AU38,'September 2027'!$AK:$AK)</f>
        <v>0</v>
      </c>
      <c r="BM38" s="1">
        <f t="shared" si="48"/>
        <v>-8</v>
      </c>
      <c r="BN38" s="1">
        <v>0</v>
      </c>
      <c r="BO38" s="1">
        <v>0</v>
      </c>
      <c r="BP38" s="3">
        <v>0</v>
      </c>
      <c r="BQ38" s="31">
        <v>0</v>
      </c>
      <c r="BR38" s="31">
        <v>0</v>
      </c>
      <c r="BS38" s="30">
        <f t="shared" si="12"/>
        <v>0</v>
      </c>
      <c r="BT38" s="3">
        <f t="shared" si="25"/>
        <v>0</v>
      </c>
      <c r="BU38" s="2">
        <f>SUMIF('October 2027'!$B:$B,'PTO SUMMARY 2027'!BH38,'October 2027'!$AK:$AK)</f>
        <v>0</v>
      </c>
      <c r="BV38" s="1">
        <f t="shared" si="49"/>
        <v>-8</v>
      </c>
      <c r="BW38" s="1">
        <v>0</v>
      </c>
      <c r="BX38" s="1">
        <v>0</v>
      </c>
      <c r="BY38" s="3">
        <f t="shared" si="26"/>
        <v>0</v>
      </c>
      <c r="BZ38" s="2">
        <f>SUMIF('November 2027'!$B:$B,'PTO SUMMARY 2027'!BM38,'November 2027'!$AK:$AK)</f>
        <v>0</v>
      </c>
      <c r="CA38" s="1">
        <f t="shared" si="50"/>
        <v>-8</v>
      </c>
      <c r="CB38" s="1">
        <v>0</v>
      </c>
      <c r="CC38" s="1">
        <v>0</v>
      </c>
      <c r="CD38" s="3">
        <f t="shared" si="27"/>
        <v>0</v>
      </c>
      <c r="CE38" s="2">
        <f>SUMIF('December 2027'!$B:$B,'PTO SUMMARY 2027'!$B:$B,'December 2027'!$AK:$AK)</f>
        <v>0</v>
      </c>
      <c r="CF38" s="1">
        <f t="shared" si="51"/>
        <v>-8</v>
      </c>
      <c r="CG38" s="1">
        <v>0</v>
      </c>
      <c r="CH38" s="1">
        <v>0</v>
      </c>
      <c r="CI38" s="1">
        <v>0</v>
      </c>
      <c r="CJ38" s="3">
        <v>0</v>
      </c>
      <c r="CK38" s="31">
        <v>0</v>
      </c>
      <c r="CL38" s="31">
        <v>0</v>
      </c>
      <c r="CM38" s="31">
        <v>0</v>
      </c>
      <c r="CN38" s="30">
        <f t="shared" si="28"/>
        <v>0</v>
      </c>
    </row>
    <row r="39" spans="1:92">
      <c r="A39" s="35" t="s">
        <v>153</v>
      </c>
      <c r="B39" s="8" t="s">
        <v>154</v>
      </c>
      <c r="C39" s="8" t="s">
        <v>64</v>
      </c>
      <c r="D39" s="9" t="s">
        <v>65</v>
      </c>
      <c r="E39" s="36" t="s">
        <v>66</v>
      </c>
      <c r="F39" s="12" t="s">
        <v>83</v>
      </c>
      <c r="G39" s="7">
        <v>0.75</v>
      </c>
      <c r="H39" s="34">
        <v>0</v>
      </c>
      <c r="I39" s="33">
        <v>0</v>
      </c>
      <c r="J39" s="1">
        <v>0</v>
      </c>
      <c r="K39" s="1">
        <v>0</v>
      </c>
      <c r="L39" s="1">
        <v>0</v>
      </c>
      <c r="M39" s="32">
        <v>0</v>
      </c>
      <c r="N39" s="2">
        <f t="shared" si="16"/>
        <v>0</v>
      </c>
      <c r="O39" s="2">
        <f>SUMIF('January 2027'!$B:$B,'PTO SUMMARY 2027'!B39,'January 2027'!$AK:$AK)</f>
        <v>0</v>
      </c>
      <c r="P39" s="1">
        <f t="shared" si="42"/>
        <v>0</v>
      </c>
      <c r="Q39" s="1">
        <v>0</v>
      </c>
      <c r="R39" s="1">
        <v>0</v>
      </c>
      <c r="S39" s="3">
        <f t="shared" si="17"/>
        <v>0</v>
      </c>
      <c r="T39" s="2">
        <f>SUMIF('February 2027'!$B:$B,'PTO SUMMARY 2027'!G39,'February 2027'!$AK:$AK)</f>
        <v>0</v>
      </c>
      <c r="U39" s="154">
        <v>0</v>
      </c>
      <c r="V39" s="1">
        <f t="shared" si="43"/>
        <v>0</v>
      </c>
      <c r="W39" s="1">
        <v>0</v>
      </c>
      <c r="X39" s="1">
        <v>0</v>
      </c>
      <c r="Y39" s="3">
        <f t="shared" si="18"/>
        <v>0</v>
      </c>
      <c r="Z39" s="2">
        <f>SUMIF('March 2027'!$B:$B,'PTO SUMMARY 2027'!M39,'March 2027'!$AK:$AK)</f>
        <v>0</v>
      </c>
      <c r="AA39" s="1">
        <f t="shared" si="29"/>
        <v>0</v>
      </c>
      <c r="AB39" s="1">
        <v>0</v>
      </c>
      <c r="AC39" s="1">
        <v>0</v>
      </c>
      <c r="AD39" s="3">
        <v>0</v>
      </c>
      <c r="AE39" s="31">
        <f t="shared" si="41"/>
        <v>0</v>
      </c>
      <c r="AF39" s="31">
        <v>0</v>
      </c>
      <c r="AG39" s="30">
        <f t="shared" si="44"/>
        <v>0</v>
      </c>
      <c r="AH39" s="2">
        <f t="shared" si="19"/>
        <v>0</v>
      </c>
      <c r="AI39" s="2">
        <f>SUMIF('April 2027'!$B:$B,'PTO SUMMARY 2027'!V39,'April 2027'!$AK:$AK)</f>
        <v>0</v>
      </c>
      <c r="AJ39" s="1">
        <f t="shared" si="45"/>
        <v>0</v>
      </c>
      <c r="AK39" s="1">
        <v>0</v>
      </c>
      <c r="AL39" s="1">
        <v>0</v>
      </c>
      <c r="AM39" s="3">
        <f t="shared" si="20"/>
        <v>0</v>
      </c>
      <c r="AN39" s="2">
        <f>SUMIF('May 2027'!$B:$B,'PTO SUMMARY 2027'!AA39,'May 2027'!$AK:$AK)</f>
        <v>0</v>
      </c>
      <c r="AO39" s="1">
        <f t="shared" si="46"/>
        <v>0</v>
      </c>
      <c r="AP39" s="1">
        <v>0</v>
      </c>
      <c r="AQ39" s="1">
        <v>0</v>
      </c>
      <c r="AR39" s="3">
        <f t="shared" si="21"/>
        <v>0</v>
      </c>
      <c r="AS39" s="2">
        <f>SUMIF('June 2027'!$B:$B,'PTO SUMMARY 2027'!AF39,'June 2027'!$AK:$AK)</f>
        <v>0</v>
      </c>
      <c r="AT39" s="1">
        <f t="shared" si="47"/>
        <v>0</v>
      </c>
      <c r="AU39" s="1">
        <v>0</v>
      </c>
      <c r="AV39" s="1">
        <v>0</v>
      </c>
      <c r="AW39" s="3">
        <v>0</v>
      </c>
      <c r="AX39" s="31">
        <v>0</v>
      </c>
      <c r="AY39" s="31">
        <v>0</v>
      </c>
      <c r="AZ39" s="30">
        <f t="shared" si="8"/>
        <v>0</v>
      </c>
      <c r="BA39" s="3">
        <f t="shared" si="22"/>
        <v>0</v>
      </c>
      <c r="BB39" s="2">
        <f>SUMIF('July 2027'!$B:$B,'PTO SUMMARY 2027'!AK39,'July 2027'!$AK:$AK)</f>
        <v>0</v>
      </c>
      <c r="BC39" s="1">
        <f t="shared" si="9"/>
        <v>0</v>
      </c>
      <c r="BD39" s="1">
        <v>0</v>
      </c>
      <c r="BE39" s="1">
        <v>0</v>
      </c>
      <c r="BF39" s="3">
        <f t="shared" si="23"/>
        <v>0</v>
      </c>
      <c r="BG39" s="2">
        <f>SUMIF('August 2027'!$B:$B,'PTO SUMMARY 2027'!AP39,'August 2027'!$AK:$AK)</f>
        <v>0</v>
      </c>
      <c r="BH39" s="1">
        <f t="shared" si="10"/>
        <v>0</v>
      </c>
      <c r="BI39" s="1">
        <v>0</v>
      </c>
      <c r="BJ39" s="1">
        <v>0</v>
      </c>
      <c r="BK39" s="3">
        <f t="shared" si="24"/>
        <v>0</v>
      </c>
      <c r="BL39" s="2">
        <f>SUMIF('September 2027'!$B:$B,'PTO SUMMARY 2027'!AU39,'September 2027'!$AK:$AK)</f>
        <v>0</v>
      </c>
      <c r="BM39" s="1">
        <f t="shared" si="48"/>
        <v>0</v>
      </c>
      <c r="BN39" s="1">
        <v>0</v>
      </c>
      <c r="BO39" s="1">
        <v>0</v>
      </c>
      <c r="BP39" s="3">
        <v>0</v>
      </c>
      <c r="BQ39" s="31">
        <v>0</v>
      </c>
      <c r="BR39" s="31">
        <v>0</v>
      </c>
      <c r="BS39" s="30">
        <f t="shared" si="12"/>
        <v>0</v>
      </c>
      <c r="BT39" s="3">
        <f t="shared" si="25"/>
        <v>0</v>
      </c>
      <c r="BU39" s="2">
        <f>SUMIF('October 2027'!$B:$B,'PTO SUMMARY 2027'!BH39,'October 2027'!$AK:$AK)</f>
        <v>0</v>
      </c>
      <c r="BV39" s="1">
        <f t="shared" si="49"/>
        <v>0</v>
      </c>
      <c r="BW39" s="1">
        <v>0</v>
      </c>
      <c r="BX39" s="1">
        <v>0</v>
      </c>
      <c r="BY39" s="3">
        <f t="shared" si="26"/>
        <v>0</v>
      </c>
      <c r="BZ39" s="2">
        <f>SUMIF('November 2027'!$B:$B,'PTO SUMMARY 2027'!BM39,'November 2027'!$AK:$AK)</f>
        <v>0</v>
      </c>
      <c r="CA39" s="1">
        <f t="shared" si="50"/>
        <v>0</v>
      </c>
      <c r="CB39" s="1">
        <v>0</v>
      </c>
      <c r="CC39" s="1">
        <v>0</v>
      </c>
      <c r="CD39" s="3">
        <f t="shared" si="27"/>
        <v>0</v>
      </c>
      <c r="CE39" s="2">
        <f>SUMIF('December 2027'!$B:$B,'PTO SUMMARY 2027'!$B:$B,'December 2027'!$AK:$AK)</f>
        <v>0</v>
      </c>
      <c r="CF39" s="1">
        <f t="shared" si="51"/>
        <v>0</v>
      </c>
      <c r="CG39" s="1">
        <v>0</v>
      </c>
      <c r="CH39" s="1">
        <v>0</v>
      </c>
      <c r="CI39" s="1">
        <v>0</v>
      </c>
      <c r="CJ39" s="3">
        <v>0</v>
      </c>
      <c r="CK39" s="31">
        <v>0</v>
      </c>
      <c r="CL39" s="31">
        <v>0</v>
      </c>
      <c r="CM39" s="31">
        <v>0</v>
      </c>
      <c r="CN39" s="30">
        <f t="shared" si="28"/>
        <v>0</v>
      </c>
    </row>
    <row r="40" spans="1:92">
      <c r="A40" s="35" t="s">
        <v>155</v>
      </c>
      <c r="B40" s="8" t="s">
        <v>156</v>
      </c>
      <c r="C40" s="8" t="s">
        <v>75</v>
      </c>
      <c r="D40" s="9" t="s">
        <v>65</v>
      </c>
      <c r="E40" t="s">
        <v>95</v>
      </c>
      <c r="F40" s="12" t="s">
        <v>99</v>
      </c>
      <c r="G40" s="7">
        <v>0.8</v>
      </c>
      <c r="H40" s="34">
        <v>0</v>
      </c>
      <c r="I40" s="33">
        <v>0</v>
      </c>
      <c r="J40" s="1">
        <v>0</v>
      </c>
      <c r="K40" s="1">
        <v>0</v>
      </c>
      <c r="L40" s="1">
        <v>0</v>
      </c>
      <c r="M40" s="32">
        <v>0</v>
      </c>
      <c r="N40" s="2">
        <f t="shared" si="16"/>
        <v>0</v>
      </c>
      <c r="O40" s="2">
        <f>SUMIF('January 2027'!$B:$B,'PTO SUMMARY 2027'!B40,'January 2027'!$AK:$AK)</f>
        <v>0</v>
      </c>
      <c r="P40" s="1">
        <f t="shared" si="42"/>
        <v>0</v>
      </c>
      <c r="Q40" s="1">
        <v>0</v>
      </c>
      <c r="R40" s="1">
        <v>0</v>
      </c>
      <c r="S40" s="3">
        <f t="shared" si="17"/>
        <v>0</v>
      </c>
      <c r="T40" s="2">
        <f>SUMIF('February 2027'!$B:$B,'PTO SUMMARY 2027'!G40,'February 2027'!$AK:$AK)</f>
        <v>0</v>
      </c>
      <c r="U40" s="154">
        <v>0</v>
      </c>
      <c r="V40" s="1">
        <f t="shared" si="43"/>
        <v>0</v>
      </c>
      <c r="W40" s="1">
        <v>0</v>
      </c>
      <c r="X40" s="1">
        <v>0</v>
      </c>
      <c r="Y40" s="3">
        <f t="shared" si="18"/>
        <v>0</v>
      </c>
      <c r="Z40" s="2">
        <f>SUMIF('March 2027'!$B:$B,'PTO SUMMARY 2027'!M40,'March 2027'!$AK:$AK)</f>
        <v>0</v>
      </c>
      <c r="AA40" s="1">
        <f t="shared" si="29"/>
        <v>0</v>
      </c>
      <c r="AB40" s="1">
        <v>0</v>
      </c>
      <c r="AC40" s="1">
        <v>0</v>
      </c>
      <c r="AD40" s="3">
        <v>0</v>
      </c>
      <c r="AE40" s="31">
        <f t="shared" si="41"/>
        <v>0</v>
      </c>
      <c r="AF40" s="31">
        <v>0</v>
      </c>
      <c r="AG40" s="30">
        <f t="shared" si="44"/>
        <v>0</v>
      </c>
      <c r="AH40" s="2">
        <f t="shared" si="19"/>
        <v>0</v>
      </c>
      <c r="AI40" s="2">
        <f>SUMIF('April 2027'!$B:$B,'PTO SUMMARY 2027'!V40,'April 2027'!$AK:$AK)</f>
        <v>0</v>
      </c>
      <c r="AJ40" s="1">
        <f t="shared" si="45"/>
        <v>0</v>
      </c>
      <c r="AK40" s="1">
        <v>0</v>
      </c>
      <c r="AL40" s="1">
        <v>0</v>
      </c>
      <c r="AM40" s="3">
        <f t="shared" si="20"/>
        <v>0</v>
      </c>
      <c r="AN40" s="2">
        <f>SUMIF('May 2027'!$B:$B,'PTO SUMMARY 2027'!AA40,'May 2027'!$AK:$AK)</f>
        <v>0</v>
      </c>
      <c r="AO40" s="1">
        <f t="shared" si="46"/>
        <v>0</v>
      </c>
      <c r="AP40" s="1">
        <v>0</v>
      </c>
      <c r="AQ40" s="1">
        <v>0</v>
      </c>
      <c r="AR40" s="3">
        <f t="shared" si="21"/>
        <v>0</v>
      </c>
      <c r="AS40" s="2">
        <f>SUMIF('June 2027'!$B:$B,'PTO SUMMARY 2027'!AF40,'June 2027'!$AK:$AK)</f>
        <v>0</v>
      </c>
      <c r="AT40" s="1">
        <f t="shared" si="47"/>
        <v>0</v>
      </c>
      <c r="AU40" s="1">
        <v>0</v>
      </c>
      <c r="AV40" s="1">
        <v>0</v>
      </c>
      <c r="AW40" s="3">
        <v>0</v>
      </c>
      <c r="AX40" s="31">
        <v>0</v>
      </c>
      <c r="AY40" s="31">
        <v>0</v>
      </c>
      <c r="AZ40" s="30">
        <f t="shared" si="8"/>
        <v>0</v>
      </c>
      <c r="BA40" s="3">
        <f t="shared" si="22"/>
        <v>0</v>
      </c>
      <c r="BB40" s="2">
        <f>SUMIF('July 2027'!$B:$B,'PTO SUMMARY 2027'!AK40,'July 2027'!$AK:$AK)</f>
        <v>0</v>
      </c>
      <c r="BC40" s="1">
        <f t="shared" si="9"/>
        <v>0</v>
      </c>
      <c r="BD40" s="1">
        <v>0</v>
      </c>
      <c r="BE40" s="1">
        <v>0</v>
      </c>
      <c r="BF40" s="3">
        <f t="shared" si="23"/>
        <v>0</v>
      </c>
      <c r="BG40" s="2">
        <f>SUMIF('August 2027'!$B:$B,'PTO SUMMARY 2027'!AP40,'August 2027'!$AK:$AK)</f>
        <v>0</v>
      </c>
      <c r="BH40" s="1">
        <f t="shared" si="10"/>
        <v>0</v>
      </c>
      <c r="BI40" s="1">
        <v>0</v>
      </c>
      <c r="BJ40" s="1">
        <v>0</v>
      </c>
      <c r="BK40" s="3">
        <f t="shared" si="24"/>
        <v>0</v>
      </c>
      <c r="BL40" s="2">
        <f>SUMIF('September 2027'!$B:$B,'PTO SUMMARY 2027'!AU40,'September 2027'!$AK:$AK)</f>
        <v>0</v>
      </c>
      <c r="BM40" s="1">
        <f t="shared" si="48"/>
        <v>0</v>
      </c>
      <c r="BN40" s="1">
        <v>0</v>
      </c>
      <c r="BO40" s="1">
        <v>0</v>
      </c>
      <c r="BP40" s="3">
        <v>0</v>
      </c>
      <c r="BQ40" s="31">
        <v>0</v>
      </c>
      <c r="BR40" s="31">
        <v>0</v>
      </c>
      <c r="BS40" s="30">
        <f t="shared" si="12"/>
        <v>0</v>
      </c>
      <c r="BT40" s="3">
        <f t="shared" si="25"/>
        <v>0</v>
      </c>
      <c r="BU40" s="2">
        <f>SUMIF('October 2027'!$B:$B,'PTO SUMMARY 2027'!BH40,'October 2027'!$AK:$AK)</f>
        <v>0</v>
      </c>
      <c r="BV40" s="1">
        <f t="shared" si="49"/>
        <v>0</v>
      </c>
      <c r="BW40" s="1">
        <v>0</v>
      </c>
      <c r="BX40" s="1">
        <v>0</v>
      </c>
      <c r="BY40" s="3">
        <f t="shared" si="26"/>
        <v>0</v>
      </c>
      <c r="BZ40" s="2">
        <f>SUMIF('November 2027'!$B:$B,'PTO SUMMARY 2027'!BM40,'November 2027'!$AK:$AK)</f>
        <v>0</v>
      </c>
      <c r="CA40" s="1">
        <f t="shared" si="50"/>
        <v>0</v>
      </c>
      <c r="CB40" s="1">
        <v>0</v>
      </c>
      <c r="CC40" s="1">
        <v>0</v>
      </c>
      <c r="CD40" s="3">
        <f t="shared" si="27"/>
        <v>0</v>
      </c>
      <c r="CE40" s="2">
        <f>SUMIF('December 2027'!$B:$B,'PTO SUMMARY 2027'!$B:$B,'December 2027'!$AK:$AK)</f>
        <v>0</v>
      </c>
      <c r="CF40" s="1">
        <f t="shared" si="51"/>
        <v>0</v>
      </c>
      <c r="CG40" s="1">
        <v>0</v>
      </c>
      <c r="CH40" s="1">
        <v>0</v>
      </c>
      <c r="CI40" s="1">
        <v>0</v>
      </c>
      <c r="CJ40" s="3">
        <v>0</v>
      </c>
      <c r="CK40" s="31">
        <v>0</v>
      </c>
      <c r="CL40" s="31">
        <v>0</v>
      </c>
      <c r="CM40" s="31">
        <v>0</v>
      </c>
      <c r="CN40" s="30">
        <f t="shared" si="28"/>
        <v>0</v>
      </c>
    </row>
    <row r="41" spans="1:92">
      <c r="A41" s="8" t="s">
        <v>157</v>
      </c>
      <c r="B41" s="8" t="s">
        <v>158</v>
      </c>
      <c r="C41" s="8" t="s">
        <v>64</v>
      </c>
      <c r="D41" s="9" t="s">
        <v>70</v>
      </c>
      <c r="E41" t="s">
        <v>71</v>
      </c>
      <c r="F41" s="12" t="s">
        <v>72</v>
      </c>
      <c r="G41" s="7">
        <v>1</v>
      </c>
      <c r="H41" s="11">
        <f>((G41*86.67)*2)*(SUMIF('Accrual Rates'!B:B,'PTO SUMMARY 2027'!B41,'Accrual Rates'!G:G))</f>
        <v>15.999975360000001</v>
      </c>
      <c r="I41" s="33">
        <v>0</v>
      </c>
      <c r="J41" s="1">
        <v>0</v>
      </c>
      <c r="K41" s="1">
        <v>0</v>
      </c>
      <c r="L41" s="1">
        <v>0</v>
      </c>
      <c r="M41" s="32">
        <v>0</v>
      </c>
      <c r="N41" s="2">
        <f t="shared" si="16"/>
        <v>15.999975360000001</v>
      </c>
      <c r="O41" s="2">
        <f>SUMIF('January 2027'!$B:$B,'PTO SUMMARY 2027'!B41,'January 2027'!$AK:$AK)</f>
        <v>0</v>
      </c>
      <c r="P41" s="1">
        <f t="shared" si="42"/>
        <v>15.999975360000001</v>
      </c>
      <c r="Q41" s="1">
        <v>0</v>
      </c>
      <c r="R41" s="1">
        <v>0</v>
      </c>
      <c r="S41" s="3">
        <f t="shared" si="17"/>
        <v>15.999975360000001</v>
      </c>
      <c r="T41" s="2">
        <f>SUMIF('February 2027'!$B:$B,'PTO SUMMARY 2027'!G41,'February 2027'!$AK:$AK)</f>
        <v>0</v>
      </c>
      <c r="U41" s="154">
        <v>0</v>
      </c>
      <c r="V41" s="1">
        <f t="shared" si="43"/>
        <v>31.999950720000001</v>
      </c>
      <c r="W41" s="1">
        <v>0</v>
      </c>
      <c r="X41" s="1">
        <v>0</v>
      </c>
      <c r="Y41" s="3">
        <f t="shared" si="18"/>
        <v>15.999975360000001</v>
      </c>
      <c r="Z41" s="2">
        <f>SUMIF('March 2027'!$B:$B,'PTO SUMMARY 2027'!M41,'March 2027'!$AK:$AK)</f>
        <v>0</v>
      </c>
      <c r="AA41" s="1">
        <f t="shared" si="29"/>
        <v>47.999926080000002</v>
      </c>
      <c r="AB41" s="1">
        <v>0</v>
      </c>
      <c r="AC41" s="1">
        <v>0</v>
      </c>
      <c r="AD41" s="3">
        <v>0</v>
      </c>
      <c r="AE41" s="31">
        <f t="shared" si="41"/>
        <v>0</v>
      </c>
      <c r="AF41" s="31">
        <v>0</v>
      </c>
      <c r="AG41" s="30">
        <f t="shared" si="44"/>
        <v>0</v>
      </c>
      <c r="AH41" s="2">
        <f t="shared" si="19"/>
        <v>15.999975360000001</v>
      </c>
      <c r="AI41" s="2">
        <f>SUMIF('April 2027'!$B:$B,'PTO SUMMARY 2027'!V41,'April 2027'!$AK:$AK)</f>
        <v>0</v>
      </c>
      <c r="AJ41" s="1">
        <f t="shared" si="45"/>
        <v>63.999901440000002</v>
      </c>
      <c r="AK41" s="1">
        <v>0</v>
      </c>
      <c r="AL41" s="1">
        <v>0</v>
      </c>
      <c r="AM41" s="3">
        <f t="shared" si="20"/>
        <v>15.999975360000001</v>
      </c>
      <c r="AN41" s="2">
        <f>SUMIF('May 2027'!$B:$B,'PTO SUMMARY 2027'!AA41,'May 2027'!$AK:$AK)</f>
        <v>0</v>
      </c>
      <c r="AO41" s="1">
        <f t="shared" si="46"/>
        <v>80</v>
      </c>
      <c r="AP41" s="1">
        <v>0</v>
      </c>
      <c r="AQ41" s="1">
        <v>0</v>
      </c>
      <c r="AR41" s="3">
        <f t="shared" si="21"/>
        <v>15.999975360000001</v>
      </c>
      <c r="AS41" s="2">
        <f>SUMIF('June 2027'!$B:$B,'PTO SUMMARY 2027'!AF41,'June 2027'!$AK:$AK)</f>
        <v>0</v>
      </c>
      <c r="AT41" s="1">
        <f t="shared" si="47"/>
        <v>95.999975360000008</v>
      </c>
      <c r="AU41" s="1">
        <v>0</v>
      </c>
      <c r="AV41" s="1">
        <v>0</v>
      </c>
      <c r="AW41" s="3">
        <v>0</v>
      </c>
      <c r="AX41" s="31">
        <v>0</v>
      </c>
      <c r="AY41" s="31">
        <v>0</v>
      </c>
      <c r="AZ41" s="30">
        <f t="shared" si="8"/>
        <v>0</v>
      </c>
      <c r="BA41" s="3">
        <f t="shared" si="22"/>
        <v>15.999975360000001</v>
      </c>
      <c r="BB41" s="2">
        <f>SUMIF('July 2027'!$B:$B,'PTO SUMMARY 2027'!AK41,'July 2027'!$AK:$AK)</f>
        <v>0</v>
      </c>
      <c r="BC41" s="1">
        <f t="shared" si="9"/>
        <v>111.99995072000002</v>
      </c>
      <c r="BD41" s="1">
        <v>0</v>
      </c>
      <c r="BE41" s="1">
        <v>0</v>
      </c>
      <c r="BF41" s="3">
        <f t="shared" si="23"/>
        <v>15.999975360000001</v>
      </c>
      <c r="BG41" s="2">
        <f>SUMIF('August 2027'!$B:$B,'PTO SUMMARY 2027'!AP41,'August 2027'!$AK:$AK)</f>
        <v>0</v>
      </c>
      <c r="BH41" s="1">
        <f t="shared" ref="BH41:BH66" si="52">BC41+BF41-BG41</f>
        <v>127.99992608000002</v>
      </c>
      <c r="BI41" s="1">
        <v>0</v>
      </c>
      <c r="BJ41" s="1">
        <v>0</v>
      </c>
      <c r="BK41" s="3">
        <f t="shared" si="24"/>
        <v>15.999975360000001</v>
      </c>
      <c r="BL41" s="2">
        <f>SUMIF('September 2027'!$B:$B,'PTO SUMMARY 2027'!AU41,'September 2027'!$AK:$AK)</f>
        <v>0</v>
      </c>
      <c r="BM41" s="1">
        <f t="shared" si="48"/>
        <v>143.99990144000003</v>
      </c>
      <c r="BN41" s="1">
        <v>0</v>
      </c>
      <c r="BO41" s="1">
        <v>0</v>
      </c>
      <c r="BP41" s="3">
        <v>0</v>
      </c>
      <c r="BQ41" s="31">
        <v>0</v>
      </c>
      <c r="BR41" s="31">
        <v>0</v>
      </c>
      <c r="BS41" s="30">
        <f t="shared" si="12"/>
        <v>0</v>
      </c>
      <c r="BT41" s="3">
        <f t="shared" si="25"/>
        <v>15.999975360000001</v>
      </c>
      <c r="BU41" s="2">
        <f>SUMIF('October 2027'!$B:$B,'PTO SUMMARY 2027'!BH41,'October 2027'!$AK:$AK)</f>
        <v>0</v>
      </c>
      <c r="BV41" s="1">
        <f t="shared" si="49"/>
        <v>159.99987680000004</v>
      </c>
      <c r="BW41" s="1">
        <v>0</v>
      </c>
      <c r="BX41" s="1">
        <v>0</v>
      </c>
      <c r="BY41" s="3">
        <f t="shared" si="26"/>
        <v>15.999975360000001</v>
      </c>
      <c r="BZ41" s="2">
        <f>SUMIF('November 2027'!$B:$B,'PTO SUMMARY 2027'!BM41,'November 2027'!$AK:$AK)</f>
        <v>0</v>
      </c>
      <c r="CA41" s="1">
        <f t="shared" si="50"/>
        <v>175.99985216000005</v>
      </c>
      <c r="CB41" s="1">
        <v>0</v>
      </c>
      <c r="CC41" s="1">
        <v>0</v>
      </c>
      <c r="CD41" s="3">
        <f t="shared" si="27"/>
        <v>15.999975360000001</v>
      </c>
      <c r="CE41" s="2">
        <f>SUMIF('December 2027'!$B:$B,'PTO SUMMARY 2027'!$B:$B,'December 2027'!$AK:$AK)</f>
        <v>0</v>
      </c>
      <c r="CF41" s="1">
        <f t="shared" si="51"/>
        <v>191.99982752000005</v>
      </c>
      <c r="CG41" s="1">
        <v>0</v>
      </c>
      <c r="CH41" s="1">
        <v>0</v>
      </c>
      <c r="CI41" s="1">
        <v>0</v>
      </c>
      <c r="CJ41" s="3">
        <v>0</v>
      </c>
      <c r="CK41" s="31">
        <v>0</v>
      </c>
      <c r="CL41" s="31">
        <v>0</v>
      </c>
      <c r="CM41" s="31">
        <v>0</v>
      </c>
      <c r="CN41" s="30">
        <f t="shared" si="28"/>
        <v>0</v>
      </c>
    </row>
    <row r="42" spans="1:92">
      <c r="A42" s="35" t="s">
        <v>159</v>
      </c>
      <c r="B42" s="8" t="s">
        <v>160</v>
      </c>
      <c r="C42" s="8" t="s">
        <v>64</v>
      </c>
      <c r="D42" s="9" t="s">
        <v>65</v>
      </c>
      <c r="E42" s="36" t="s">
        <v>66</v>
      </c>
      <c r="F42" s="12" t="s">
        <v>67</v>
      </c>
      <c r="G42" s="7">
        <v>1</v>
      </c>
      <c r="H42" s="34">
        <v>0</v>
      </c>
      <c r="I42" s="33">
        <v>0</v>
      </c>
      <c r="J42" s="1">
        <v>0</v>
      </c>
      <c r="K42" s="1">
        <v>0</v>
      </c>
      <c r="L42" s="1">
        <v>0</v>
      </c>
      <c r="M42" s="32">
        <v>0</v>
      </c>
      <c r="N42" s="2">
        <f t="shared" si="16"/>
        <v>0</v>
      </c>
      <c r="O42" s="2">
        <f>SUMIF('January 2027'!$B:$B,'PTO SUMMARY 2027'!B42,'January 2027'!$AK:$AK)</f>
        <v>0</v>
      </c>
      <c r="P42" s="1">
        <f t="shared" si="42"/>
        <v>0</v>
      </c>
      <c r="Q42" s="1">
        <v>0</v>
      </c>
      <c r="R42" s="1">
        <v>0</v>
      </c>
      <c r="S42" s="3">
        <f t="shared" si="17"/>
        <v>0</v>
      </c>
      <c r="T42" s="2">
        <f>SUMIF('February 2027'!$B:$B,'PTO SUMMARY 2027'!G42,'February 2027'!$AK:$AK)</f>
        <v>0</v>
      </c>
      <c r="U42" s="154">
        <v>0</v>
      </c>
      <c r="V42" s="1">
        <f t="shared" si="43"/>
        <v>0</v>
      </c>
      <c r="W42" s="1">
        <v>0</v>
      </c>
      <c r="X42" s="1">
        <v>0</v>
      </c>
      <c r="Y42" s="3">
        <f t="shared" si="18"/>
        <v>0</v>
      </c>
      <c r="Z42" s="2">
        <f>SUMIF('March 2027'!$B:$B,'PTO SUMMARY 2027'!M42,'March 2027'!$AK:$AK)</f>
        <v>0</v>
      </c>
      <c r="AA42" s="1">
        <f t="shared" si="29"/>
        <v>0</v>
      </c>
      <c r="AB42" s="1">
        <v>0</v>
      </c>
      <c r="AC42" s="1">
        <v>0</v>
      </c>
      <c r="AD42" s="3">
        <v>0</v>
      </c>
      <c r="AE42" s="31">
        <f t="shared" si="41"/>
        <v>0</v>
      </c>
      <c r="AF42" s="31">
        <v>0</v>
      </c>
      <c r="AG42" s="30">
        <f t="shared" si="44"/>
        <v>0</v>
      </c>
      <c r="AH42" s="2">
        <f t="shared" si="19"/>
        <v>0</v>
      </c>
      <c r="AI42" s="2">
        <f>SUMIF('April 2027'!$B:$B,'PTO SUMMARY 2027'!V42,'April 2027'!$AK:$AK)</f>
        <v>0</v>
      </c>
      <c r="AJ42" s="1">
        <f t="shared" si="45"/>
        <v>0</v>
      </c>
      <c r="AK42" s="1">
        <v>0</v>
      </c>
      <c r="AL42" s="1">
        <v>0</v>
      </c>
      <c r="AM42" s="3">
        <f t="shared" si="20"/>
        <v>0</v>
      </c>
      <c r="AN42" s="2">
        <f>SUMIF('May 2027'!$B:$B,'PTO SUMMARY 2027'!AA42,'May 2027'!$AK:$AK)</f>
        <v>0</v>
      </c>
      <c r="AO42" s="1">
        <f t="shared" si="46"/>
        <v>0</v>
      </c>
      <c r="AP42" s="1">
        <v>0</v>
      </c>
      <c r="AQ42" s="1">
        <v>0</v>
      </c>
      <c r="AR42" s="3">
        <f t="shared" si="21"/>
        <v>0</v>
      </c>
      <c r="AS42" s="2">
        <f>SUMIF('June 2027'!$B:$B,'PTO SUMMARY 2027'!AF42,'June 2027'!$AK:$AK)</f>
        <v>0</v>
      </c>
      <c r="AT42" s="1">
        <f t="shared" si="47"/>
        <v>0</v>
      </c>
      <c r="AU42" s="1">
        <v>0</v>
      </c>
      <c r="AV42" s="1">
        <v>0</v>
      </c>
      <c r="AW42" s="3">
        <v>0</v>
      </c>
      <c r="AX42" s="31">
        <v>0</v>
      </c>
      <c r="AY42" s="31">
        <v>0</v>
      </c>
      <c r="AZ42" s="30">
        <f t="shared" si="8"/>
        <v>0</v>
      </c>
      <c r="BA42" s="3">
        <f t="shared" si="22"/>
        <v>0</v>
      </c>
      <c r="BB42" s="2">
        <f>SUMIF('July 2027'!$B:$B,'PTO SUMMARY 2027'!AK42,'July 2027'!$AK:$AK)</f>
        <v>0</v>
      </c>
      <c r="BC42" s="1">
        <f t="shared" si="9"/>
        <v>0</v>
      </c>
      <c r="BD42" s="1">
        <v>0</v>
      </c>
      <c r="BE42" s="1">
        <v>0</v>
      </c>
      <c r="BF42" s="3">
        <f t="shared" si="23"/>
        <v>0</v>
      </c>
      <c r="BG42" s="2">
        <f>SUMIF('August 2027'!$B:$B,'PTO SUMMARY 2027'!AP42,'August 2027'!$AK:$AK)</f>
        <v>0</v>
      </c>
      <c r="BH42" s="1">
        <f t="shared" si="52"/>
        <v>0</v>
      </c>
      <c r="BI42" s="1">
        <v>0</v>
      </c>
      <c r="BJ42" s="1">
        <v>0</v>
      </c>
      <c r="BK42" s="3">
        <f t="shared" si="24"/>
        <v>0</v>
      </c>
      <c r="BL42" s="2">
        <f>SUMIF('September 2027'!$B:$B,'PTO SUMMARY 2027'!AU42,'September 2027'!$AK:$AK)</f>
        <v>0</v>
      </c>
      <c r="BM42" s="1">
        <f t="shared" si="48"/>
        <v>0</v>
      </c>
      <c r="BN42" s="1">
        <v>0</v>
      </c>
      <c r="BO42" s="1">
        <v>0</v>
      </c>
      <c r="BP42" s="3">
        <v>0</v>
      </c>
      <c r="BQ42" s="31">
        <v>0</v>
      </c>
      <c r="BR42" s="31">
        <v>0</v>
      </c>
      <c r="BS42" s="30">
        <f t="shared" si="12"/>
        <v>0</v>
      </c>
      <c r="BT42" s="3">
        <f t="shared" si="25"/>
        <v>0</v>
      </c>
      <c r="BU42" s="2">
        <f>SUMIF('October 2027'!$B:$B,'PTO SUMMARY 2027'!BH42,'October 2027'!$AK:$AK)</f>
        <v>0</v>
      </c>
      <c r="BV42" s="1">
        <f t="shared" si="49"/>
        <v>0</v>
      </c>
      <c r="BW42" s="1">
        <v>0</v>
      </c>
      <c r="BX42" s="1">
        <v>0</v>
      </c>
      <c r="BY42" s="3">
        <f t="shared" si="26"/>
        <v>0</v>
      </c>
      <c r="BZ42" s="2">
        <f>SUMIF('November 2027'!$B:$B,'PTO SUMMARY 2027'!BM42,'November 2027'!$AK:$AK)</f>
        <v>0</v>
      </c>
      <c r="CA42" s="1">
        <f t="shared" si="50"/>
        <v>0</v>
      </c>
      <c r="CB42" s="1">
        <v>0</v>
      </c>
      <c r="CC42" s="1">
        <v>0</v>
      </c>
      <c r="CD42" s="3">
        <f t="shared" si="27"/>
        <v>0</v>
      </c>
      <c r="CE42" s="2">
        <f>SUMIF('December 2027'!$B:$B,'PTO SUMMARY 2027'!$B:$B,'December 2027'!$AK:$AK)</f>
        <v>0</v>
      </c>
      <c r="CF42" s="1">
        <f t="shared" si="51"/>
        <v>0</v>
      </c>
      <c r="CG42" s="1">
        <v>0</v>
      </c>
      <c r="CH42" s="1">
        <v>0</v>
      </c>
      <c r="CI42" s="1">
        <v>0</v>
      </c>
      <c r="CJ42" s="3">
        <v>0</v>
      </c>
      <c r="CK42" s="31">
        <v>0</v>
      </c>
      <c r="CL42" s="31">
        <v>0</v>
      </c>
      <c r="CM42" s="31">
        <v>0</v>
      </c>
      <c r="CN42" s="30">
        <f t="shared" si="28"/>
        <v>0</v>
      </c>
    </row>
    <row r="43" spans="1:92">
      <c r="A43" s="8" t="s">
        <v>161</v>
      </c>
      <c r="B43" s="8" t="s">
        <v>162</v>
      </c>
      <c r="C43" s="8" t="s">
        <v>64</v>
      </c>
      <c r="D43" s="9" t="s">
        <v>70</v>
      </c>
      <c r="E43" t="s">
        <v>71</v>
      </c>
      <c r="F43" s="12" t="s">
        <v>77</v>
      </c>
      <c r="G43" s="7">
        <v>0.75</v>
      </c>
      <c r="H43" s="11">
        <f>((G43*86.67)*2)*(SUMIF('Accrual Rates'!B:B,'PTO SUMMARY 2027'!B43,'Accrual Rates'!G:G))</f>
        <v>11.999981519999999</v>
      </c>
      <c r="I43" s="33">
        <v>0</v>
      </c>
      <c r="J43" s="1">
        <v>0</v>
      </c>
      <c r="K43" s="1">
        <v>0</v>
      </c>
      <c r="L43" s="1">
        <v>0</v>
      </c>
      <c r="M43" s="32">
        <v>0</v>
      </c>
      <c r="N43" s="2">
        <f t="shared" si="16"/>
        <v>11.999981519999999</v>
      </c>
      <c r="O43" s="2">
        <f>SUMIF('January 2027'!$B:$B,'PTO SUMMARY 2027'!B43,'January 2027'!$AK:$AK)</f>
        <v>8</v>
      </c>
      <c r="P43" s="1">
        <f t="shared" si="42"/>
        <v>3.9999815199999986</v>
      </c>
      <c r="Q43" s="1">
        <v>0</v>
      </c>
      <c r="R43" s="1">
        <v>0</v>
      </c>
      <c r="S43" s="3">
        <f t="shared" si="17"/>
        <v>11.999981519999999</v>
      </c>
      <c r="T43" s="2">
        <f>SUMIF('February 2027'!$B:$B,'PTO SUMMARY 2027'!G43,'February 2027'!$AK:$AK)</f>
        <v>0</v>
      </c>
      <c r="U43" s="154">
        <v>0</v>
      </c>
      <c r="V43" s="1">
        <f t="shared" si="43"/>
        <v>15.999963039999997</v>
      </c>
      <c r="W43" s="1">
        <v>0</v>
      </c>
      <c r="X43" s="1">
        <v>0</v>
      </c>
      <c r="Y43" s="3">
        <f t="shared" si="18"/>
        <v>11.999981519999999</v>
      </c>
      <c r="Z43" s="2">
        <f>SUMIF('March 2027'!$B:$B,'PTO SUMMARY 2027'!M43,'March 2027'!$AK:$AK)</f>
        <v>0</v>
      </c>
      <c r="AA43" s="1">
        <f t="shared" si="29"/>
        <v>27.999944559999996</v>
      </c>
      <c r="AB43" s="1">
        <v>0</v>
      </c>
      <c r="AC43" s="1">
        <v>0</v>
      </c>
      <c r="AD43" s="3">
        <v>0</v>
      </c>
      <c r="AE43" s="31">
        <f t="shared" si="41"/>
        <v>0</v>
      </c>
      <c r="AF43" s="31">
        <v>0</v>
      </c>
      <c r="AG43" s="30">
        <f t="shared" si="44"/>
        <v>0</v>
      </c>
      <c r="AH43" s="2">
        <f t="shared" si="19"/>
        <v>11.999981519999999</v>
      </c>
      <c r="AI43" s="2">
        <f>SUMIF('April 2027'!$B:$B,'PTO SUMMARY 2027'!V43,'April 2027'!$AK:$AK)</f>
        <v>0</v>
      </c>
      <c r="AJ43" s="1">
        <f t="shared" si="45"/>
        <v>39.999926079999994</v>
      </c>
      <c r="AK43" s="1">
        <v>0</v>
      </c>
      <c r="AL43" s="1">
        <v>0</v>
      </c>
      <c r="AM43" s="3">
        <f t="shared" si="20"/>
        <v>11.999981519999999</v>
      </c>
      <c r="AN43" s="2">
        <f>SUMIF('May 2027'!$B:$B,'PTO SUMMARY 2027'!AA43,'May 2027'!$AK:$AK)</f>
        <v>0</v>
      </c>
      <c r="AO43" s="1">
        <f t="shared" si="46"/>
        <v>52</v>
      </c>
      <c r="AP43" s="1">
        <v>0</v>
      </c>
      <c r="AQ43" s="1">
        <v>0</v>
      </c>
      <c r="AR43" s="3">
        <f t="shared" si="21"/>
        <v>11.999981519999999</v>
      </c>
      <c r="AS43" s="2">
        <f>SUMIF('June 2027'!$B:$B,'PTO SUMMARY 2027'!AF43,'June 2027'!$AK:$AK)</f>
        <v>0</v>
      </c>
      <c r="AT43" s="1">
        <f t="shared" si="47"/>
        <v>63.999981519999999</v>
      </c>
      <c r="AU43" s="1">
        <v>0</v>
      </c>
      <c r="AV43" s="1">
        <v>0</v>
      </c>
      <c r="AW43" s="3">
        <v>0</v>
      </c>
      <c r="AX43" s="31">
        <v>0</v>
      </c>
      <c r="AY43" s="31">
        <v>0</v>
      </c>
      <c r="AZ43" s="30">
        <f t="shared" si="8"/>
        <v>0</v>
      </c>
      <c r="BA43" s="3">
        <f t="shared" si="22"/>
        <v>11.999981519999999</v>
      </c>
      <c r="BB43" s="2">
        <f>SUMIF('July 2027'!$B:$B,'PTO SUMMARY 2027'!AK43,'July 2027'!$AK:$AK)</f>
        <v>0</v>
      </c>
      <c r="BC43" s="1">
        <f t="shared" si="9"/>
        <v>75.999963039999997</v>
      </c>
      <c r="BD43" s="1">
        <v>0</v>
      </c>
      <c r="BE43" s="1">
        <v>0</v>
      </c>
      <c r="BF43" s="3">
        <f t="shared" si="23"/>
        <v>11.999981519999999</v>
      </c>
      <c r="BG43" s="2">
        <f>SUMIF('August 2027'!$B:$B,'PTO SUMMARY 2027'!AP43,'August 2027'!$AK:$AK)</f>
        <v>0</v>
      </c>
      <c r="BH43" s="1">
        <f t="shared" si="52"/>
        <v>87.999944559999989</v>
      </c>
      <c r="BI43" s="1">
        <v>0</v>
      </c>
      <c r="BJ43" s="1">
        <v>0</v>
      </c>
      <c r="BK43" s="3">
        <f t="shared" si="24"/>
        <v>11.999981519999999</v>
      </c>
      <c r="BL43" s="2">
        <f>SUMIF('September 2027'!$B:$B,'PTO SUMMARY 2027'!AU43,'September 2027'!$AK:$AK)</f>
        <v>0</v>
      </c>
      <c r="BM43" s="1">
        <f t="shared" si="48"/>
        <v>99.999926079999994</v>
      </c>
      <c r="BN43" s="1">
        <v>0</v>
      </c>
      <c r="BO43" s="1">
        <v>0</v>
      </c>
      <c r="BP43" s="3">
        <v>0</v>
      </c>
      <c r="BQ43" s="31">
        <v>0</v>
      </c>
      <c r="BR43" s="31">
        <v>0</v>
      </c>
      <c r="BS43" s="30">
        <f t="shared" si="12"/>
        <v>0</v>
      </c>
      <c r="BT43" s="3">
        <f t="shared" si="25"/>
        <v>11.999981519999999</v>
      </c>
      <c r="BU43" s="2">
        <f>SUMIF('October 2027'!$B:$B,'PTO SUMMARY 2027'!BH43,'October 2027'!$AK:$AK)</f>
        <v>0</v>
      </c>
      <c r="BV43" s="1">
        <f t="shared" si="49"/>
        <v>111.9999076</v>
      </c>
      <c r="BW43" s="1">
        <v>0</v>
      </c>
      <c r="BX43" s="1">
        <v>0</v>
      </c>
      <c r="BY43" s="3">
        <f t="shared" si="26"/>
        <v>11.999981519999999</v>
      </c>
      <c r="BZ43" s="2">
        <f>SUMIF('November 2027'!$B:$B,'PTO SUMMARY 2027'!BM43,'November 2027'!$AK:$AK)</f>
        <v>0</v>
      </c>
      <c r="CA43" s="1">
        <f t="shared" si="50"/>
        <v>123.99988912000001</v>
      </c>
      <c r="CB43" s="1">
        <v>0</v>
      </c>
      <c r="CC43" s="1">
        <v>0</v>
      </c>
      <c r="CD43" s="3">
        <f t="shared" si="27"/>
        <v>11.999981519999999</v>
      </c>
      <c r="CE43" s="2">
        <f>SUMIF('December 2027'!$B:$B,'PTO SUMMARY 2027'!$B:$B,'December 2027'!$AK:$AK)</f>
        <v>0</v>
      </c>
      <c r="CF43" s="1">
        <f t="shared" si="51"/>
        <v>135.99987064000001</v>
      </c>
      <c r="CG43" s="1">
        <v>0</v>
      </c>
      <c r="CH43" s="1">
        <v>0</v>
      </c>
      <c r="CI43" s="1">
        <v>0</v>
      </c>
      <c r="CJ43" s="3">
        <v>0</v>
      </c>
      <c r="CK43" s="31">
        <v>0</v>
      </c>
      <c r="CL43" s="31">
        <v>0</v>
      </c>
      <c r="CM43" s="31">
        <v>0</v>
      </c>
      <c r="CN43" s="30">
        <f t="shared" si="28"/>
        <v>0</v>
      </c>
    </row>
    <row r="44" spans="1:92">
      <c r="A44" s="35" t="s">
        <v>163</v>
      </c>
      <c r="B44" s="8" t="s">
        <v>164</v>
      </c>
      <c r="C44" s="8" t="s">
        <v>64</v>
      </c>
      <c r="D44" s="9" t="s">
        <v>65</v>
      </c>
      <c r="E44" s="36" t="s">
        <v>66</v>
      </c>
      <c r="F44" s="12" t="s">
        <v>108</v>
      </c>
      <c r="G44" s="7">
        <v>0.88</v>
      </c>
      <c r="H44" s="34">
        <v>0</v>
      </c>
      <c r="I44" s="33">
        <v>0</v>
      </c>
      <c r="J44" s="1">
        <v>0</v>
      </c>
      <c r="K44" s="1">
        <v>0</v>
      </c>
      <c r="L44" s="1">
        <v>0</v>
      </c>
      <c r="M44" s="32">
        <v>0</v>
      </c>
      <c r="N44" s="2">
        <f t="shared" si="16"/>
        <v>0</v>
      </c>
      <c r="O44" s="2">
        <f>SUMIF('January 2027'!$B:$B,'PTO SUMMARY 2027'!B44,'January 2027'!$AK:$AK)</f>
        <v>0</v>
      </c>
      <c r="P44" s="1">
        <f t="shared" si="42"/>
        <v>0</v>
      </c>
      <c r="Q44" s="1">
        <v>0</v>
      </c>
      <c r="R44" s="1">
        <v>0</v>
      </c>
      <c r="S44" s="3">
        <f t="shared" si="17"/>
        <v>0</v>
      </c>
      <c r="T44" s="2">
        <f>SUMIF('February 2027'!$B:$B,'PTO SUMMARY 2027'!G44,'February 2027'!$AK:$AK)</f>
        <v>0</v>
      </c>
      <c r="U44" s="154">
        <v>0</v>
      </c>
      <c r="V44" s="1">
        <f t="shared" si="43"/>
        <v>0</v>
      </c>
      <c r="W44" s="1">
        <v>0</v>
      </c>
      <c r="X44" s="1">
        <v>0</v>
      </c>
      <c r="Y44" s="3">
        <f t="shared" si="18"/>
        <v>0</v>
      </c>
      <c r="Z44" s="2">
        <f>SUMIF('March 2027'!$B:$B,'PTO SUMMARY 2027'!M44,'March 2027'!$AK:$AK)</f>
        <v>0</v>
      </c>
      <c r="AA44" s="1">
        <f t="shared" si="29"/>
        <v>0</v>
      </c>
      <c r="AB44" s="1">
        <v>0</v>
      </c>
      <c r="AC44" s="1">
        <v>0</v>
      </c>
      <c r="AD44" s="3">
        <v>0</v>
      </c>
      <c r="AE44" s="31">
        <f t="shared" si="41"/>
        <v>0</v>
      </c>
      <c r="AF44" s="31">
        <v>0</v>
      </c>
      <c r="AG44" s="30">
        <f t="shared" si="44"/>
        <v>0</v>
      </c>
      <c r="AH44" s="2">
        <f t="shared" si="19"/>
        <v>0</v>
      </c>
      <c r="AI44" s="2">
        <f>SUMIF('April 2027'!$B:$B,'PTO SUMMARY 2027'!V44,'April 2027'!$AK:$AK)</f>
        <v>0</v>
      </c>
      <c r="AJ44" s="1">
        <f t="shared" si="45"/>
        <v>0</v>
      </c>
      <c r="AK44" s="1">
        <v>0</v>
      </c>
      <c r="AL44" s="1">
        <v>0</v>
      </c>
      <c r="AM44" s="3">
        <f t="shared" si="20"/>
        <v>0</v>
      </c>
      <c r="AN44" s="2">
        <f>SUMIF('May 2027'!$B:$B,'PTO SUMMARY 2027'!AA44,'May 2027'!$AK:$AK)</f>
        <v>0</v>
      </c>
      <c r="AO44" s="1">
        <f t="shared" si="46"/>
        <v>0</v>
      </c>
      <c r="AP44" s="1">
        <v>0</v>
      </c>
      <c r="AQ44" s="1">
        <v>0</v>
      </c>
      <c r="AR44" s="3">
        <f t="shared" si="21"/>
        <v>0</v>
      </c>
      <c r="AS44" s="2">
        <f>SUMIF('June 2027'!$B:$B,'PTO SUMMARY 2027'!AF44,'June 2027'!$AK:$AK)</f>
        <v>0</v>
      </c>
      <c r="AT44" s="1">
        <f t="shared" si="47"/>
        <v>0</v>
      </c>
      <c r="AU44" s="1">
        <v>0</v>
      </c>
      <c r="AV44" s="1">
        <v>0</v>
      </c>
      <c r="AW44" s="3">
        <v>0</v>
      </c>
      <c r="AX44" s="31">
        <v>0</v>
      </c>
      <c r="AY44" s="31">
        <v>0</v>
      </c>
      <c r="AZ44" s="30">
        <f t="shared" si="8"/>
        <v>0</v>
      </c>
      <c r="BA44" s="3">
        <f t="shared" si="22"/>
        <v>0</v>
      </c>
      <c r="BB44" s="2">
        <f>SUMIF('July 2027'!$B:$B,'PTO SUMMARY 2027'!AK44,'July 2027'!$AK:$AK)</f>
        <v>0</v>
      </c>
      <c r="BC44" s="1">
        <f t="shared" si="9"/>
        <v>0</v>
      </c>
      <c r="BD44" s="1">
        <v>0</v>
      </c>
      <c r="BE44" s="1">
        <v>0</v>
      </c>
      <c r="BF44" s="3">
        <f t="shared" si="23"/>
        <v>0</v>
      </c>
      <c r="BG44" s="2">
        <f>SUMIF('August 2027'!$B:$B,'PTO SUMMARY 2027'!AP44,'August 2027'!$AK:$AK)</f>
        <v>0</v>
      </c>
      <c r="BH44" s="1">
        <f t="shared" si="52"/>
        <v>0</v>
      </c>
      <c r="BI44" s="1">
        <v>0</v>
      </c>
      <c r="BJ44" s="1">
        <v>0</v>
      </c>
      <c r="BK44" s="3">
        <f t="shared" si="24"/>
        <v>0</v>
      </c>
      <c r="BL44" s="2">
        <f>SUMIF('September 2027'!$B:$B,'PTO SUMMARY 2027'!AU44,'September 2027'!$AK:$AK)</f>
        <v>0</v>
      </c>
      <c r="BM44" s="1">
        <f t="shared" si="48"/>
        <v>0</v>
      </c>
      <c r="BN44" s="1">
        <v>0</v>
      </c>
      <c r="BO44" s="1">
        <v>0</v>
      </c>
      <c r="BP44" s="3">
        <v>0</v>
      </c>
      <c r="BQ44" s="31">
        <v>0</v>
      </c>
      <c r="BR44" s="31">
        <v>0</v>
      </c>
      <c r="BS44" s="30">
        <f t="shared" si="12"/>
        <v>0</v>
      </c>
      <c r="BT44" s="3">
        <f t="shared" si="25"/>
        <v>0</v>
      </c>
      <c r="BU44" s="2">
        <f>SUMIF('October 2027'!$B:$B,'PTO SUMMARY 2027'!BH44,'October 2027'!$AK:$AK)</f>
        <v>0</v>
      </c>
      <c r="BV44" s="1">
        <f t="shared" si="49"/>
        <v>0</v>
      </c>
      <c r="BW44" s="1">
        <v>0</v>
      </c>
      <c r="BX44" s="1">
        <v>0</v>
      </c>
      <c r="BY44" s="3">
        <f t="shared" si="26"/>
        <v>0</v>
      </c>
      <c r="BZ44" s="2">
        <f>SUMIF('November 2027'!$B:$B,'PTO SUMMARY 2027'!BM44,'November 2027'!$AK:$AK)</f>
        <v>0</v>
      </c>
      <c r="CA44" s="1">
        <f t="shared" si="50"/>
        <v>0</v>
      </c>
      <c r="CB44" s="1">
        <v>0</v>
      </c>
      <c r="CC44" s="1">
        <v>0</v>
      </c>
      <c r="CD44" s="3">
        <f t="shared" si="27"/>
        <v>0</v>
      </c>
      <c r="CE44" s="2">
        <f>SUMIF('December 2027'!$B:$B,'PTO SUMMARY 2027'!$B:$B,'December 2027'!$AK:$AK)</f>
        <v>0</v>
      </c>
      <c r="CF44" s="1">
        <f t="shared" si="51"/>
        <v>0</v>
      </c>
      <c r="CG44" s="1">
        <v>0</v>
      </c>
      <c r="CH44" s="1">
        <v>0</v>
      </c>
      <c r="CI44" s="1">
        <v>0</v>
      </c>
      <c r="CJ44" s="3">
        <v>0</v>
      </c>
      <c r="CK44" s="31">
        <v>0</v>
      </c>
      <c r="CL44" s="31">
        <v>0</v>
      </c>
      <c r="CM44" s="31">
        <v>0</v>
      </c>
      <c r="CN44" s="30">
        <f t="shared" si="28"/>
        <v>0</v>
      </c>
    </row>
    <row r="45" spans="1:92">
      <c r="A45" s="35" t="s">
        <v>165</v>
      </c>
      <c r="B45" s="8" t="s">
        <v>166</v>
      </c>
      <c r="C45" s="8" t="s">
        <v>75</v>
      </c>
      <c r="D45" s="9" t="s">
        <v>65</v>
      </c>
      <c r="E45" t="s">
        <v>95</v>
      </c>
      <c r="F45" s="12" t="s">
        <v>136</v>
      </c>
      <c r="G45" s="7">
        <v>0.75</v>
      </c>
      <c r="H45" s="34">
        <v>0</v>
      </c>
      <c r="I45" s="33">
        <v>0</v>
      </c>
      <c r="J45" s="1">
        <v>0</v>
      </c>
      <c r="K45" s="1">
        <v>0</v>
      </c>
      <c r="L45" s="1">
        <v>0</v>
      </c>
      <c r="M45" s="32">
        <v>0</v>
      </c>
      <c r="N45" s="2">
        <f t="shared" si="16"/>
        <v>0</v>
      </c>
      <c r="O45" s="2">
        <f>SUMIF('January 2027'!$B:$B,'PTO SUMMARY 2027'!B45,'January 2027'!$AK:$AK)</f>
        <v>0</v>
      </c>
      <c r="P45" s="1">
        <f t="shared" si="42"/>
        <v>0</v>
      </c>
      <c r="Q45" s="1">
        <v>0</v>
      </c>
      <c r="R45" s="1">
        <v>0</v>
      </c>
      <c r="S45" s="3">
        <f t="shared" si="17"/>
        <v>0</v>
      </c>
      <c r="T45" s="2">
        <f>SUMIF('February 2027'!$B:$B,'PTO SUMMARY 2027'!G45,'February 2027'!$AK:$AK)</f>
        <v>0</v>
      </c>
      <c r="U45" s="154">
        <v>0</v>
      </c>
      <c r="V45" s="1">
        <f t="shared" si="43"/>
        <v>0</v>
      </c>
      <c r="W45" s="1">
        <v>0</v>
      </c>
      <c r="X45" s="1">
        <v>0</v>
      </c>
      <c r="Y45" s="3">
        <f t="shared" si="18"/>
        <v>0</v>
      </c>
      <c r="Z45" s="2">
        <f>SUMIF('March 2027'!$B:$B,'PTO SUMMARY 2027'!M45,'March 2027'!$AK:$AK)</f>
        <v>0</v>
      </c>
      <c r="AA45" s="1">
        <f t="shared" si="29"/>
        <v>0</v>
      </c>
      <c r="AB45" s="1">
        <v>0</v>
      </c>
      <c r="AC45" s="1">
        <v>0</v>
      </c>
      <c r="AD45" s="3">
        <v>0</v>
      </c>
      <c r="AE45" s="31">
        <f t="shared" si="41"/>
        <v>0</v>
      </c>
      <c r="AF45" s="31">
        <v>0</v>
      </c>
      <c r="AG45" s="30">
        <f t="shared" si="44"/>
        <v>0</v>
      </c>
      <c r="AH45" s="2">
        <f t="shared" si="19"/>
        <v>0</v>
      </c>
      <c r="AI45" s="2">
        <f>SUMIF('April 2027'!$B:$B,'PTO SUMMARY 2027'!V45,'April 2027'!$AK:$AK)</f>
        <v>0</v>
      </c>
      <c r="AJ45" s="1">
        <f t="shared" si="45"/>
        <v>0</v>
      </c>
      <c r="AK45" s="1">
        <v>0</v>
      </c>
      <c r="AL45" s="1">
        <v>0</v>
      </c>
      <c r="AM45" s="3">
        <f t="shared" si="20"/>
        <v>0</v>
      </c>
      <c r="AN45" s="2">
        <f>SUMIF('May 2027'!$B:$B,'PTO SUMMARY 2027'!AA45,'May 2027'!$AK:$AK)</f>
        <v>0</v>
      </c>
      <c r="AO45" s="1">
        <f t="shared" si="46"/>
        <v>0</v>
      </c>
      <c r="AP45" s="1">
        <v>0</v>
      </c>
      <c r="AQ45" s="1">
        <v>0</v>
      </c>
      <c r="AR45" s="3">
        <f t="shared" si="21"/>
        <v>0</v>
      </c>
      <c r="AS45" s="2">
        <f>SUMIF('June 2027'!$B:$B,'PTO SUMMARY 2027'!AF45,'June 2027'!$AK:$AK)</f>
        <v>0</v>
      </c>
      <c r="AT45" s="1">
        <f t="shared" si="47"/>
        <v>0</v>
      </c>
      <c r="AU45" s="1">
        <v>0</v>
      </c>
      <c r="AV45" s="1">
        <v>0</v>
      </c>
      <c r="AW45" s="3">
        <v>0</v>
      </c>
      <c r="AX45" s="31">
        <v>0</v>
      </c>
      <c r="AY45" s="31">
        <v>0</v>
      </c>
      <c r="AZ45" s="30">
        <f t="shared" si="8"/>
        <v>0</v>
      </c>
      <c r="BA45" s="3">
        <f t="shared" si="22"/>
        <v>0</v>
      </c>
      <c r="BB45" s="2">
        <f>SUMIF('July 2027'!$B:$B,'PTO SUMMARY 2027'!AK45,'July 2027'!$AK:$AK)</f>
        <v>0</v>
      </c>
      <c r="BC45" s="1">
        <f t="shared" si="9"/>
        <v>0</v>
      </c>
      <c r="BD45" s="1">
        <v>0</v>
      </c>
      <c r="BE45" s="1">
        <v>0</v>
      </c>
      <c r="BF45" s="3">
        <f t="shared" si="23"/>
        <v>0</v>
      </c>
      <c r="BG45" s="2">
        <f>SUMIF('August 2027'!$B:$B,'PTO SUMMARY 2027'!AP45,'August 2027'!$AK:$AK)</f>
        <v>0</v>
      </c>
      <c r="BH45" s="1">
        <f t="shared" si="52"/>
        <v>0</v>
      </c>
      <c r="BI45" s="1">
        <v>0</v>
      </c>
      <c r="BJ45" s="1">
        <v>0</v>
      </c>
      <c r="BK45" s="3">
        <f t="shared" si="24"/>
        <v>0</v>
      </c>
      <c r="BL45" s="2">
        <f>SUMIF('September 2027'!$B:$B,'PTO SUMMARY 2027'!AU45,'September 2027'!$AK:$AK)</f>
        <v>0</v>
      </c>
      <c r="BM45" s="1">
        <f t="shared" si="48"/>
        <v>0</v>
      </c>
      <c r="BN45" s="1">
        <v>0</v>
      </c>
      <c r="BO45" s="1">
        <v>0</v>
      </c>
      <c r="BP45" s="3">
        <v>0</v>
      </c>
      <c r="BQ45" s="31">
        <v>0</v>
      </c>
      <c r="BR45" s="31">
        <v>0</v>
      </c>
      <c r="BS45" s="30">
        <f t="shared" si="12"/>
        <v>0</v>
      </c>
      <c r="BT45" s="3">
        <f t="shared" si="25"/>
        <v>0</v>
      </c>
      <c r="BU45" s="2">
        <f>SUMIF('October 2027'!$B:$B,'PTO SUMMARY 2027'!BH45,'October 2027'!$AK:$AK)</f>
        <v>0</v>
      </c>
      <c r="BV45" s="1">
        <f t="shared" si="49"/>
        <v>0</v>
      </c>
      <c r="BW45" s="1">
        <v>0</v>
      </c>
      <c r="BX45" s="1">
        <v>0</v>
      </c>
      <c r="BY45" s="3">
        <f t="shared" si="26"/>
        <v>0</v>
      </c>
      <c r="BZ45" s="2">
        <f>SUMIF('November 2027'!$B:$B,'PTO SUMMARY 2027'!BM45,'November 2027'!$AK:$AK)</f>
        <v>0</v>
      </c>
      <c r="CA45" s="1">
        <f t="shared" si="50"/>
        <v>0</v>
      </c>
      <c r="CB45" s="1">
        <v>0</v>
      </c>
      <c r="CC45" s="1">
        <v>0</v>
      </c>
      <c r="CD45" s="3">
        <f t="shared" si="27"/>
        <v>0</v>
      </c>
      <c r="CE45" s="2">
        <f>SUMIF('December 2027'!$B:$B,'PTO SUMMARY 2027'!$B:$B,'December 2027'!$AK:$AK)</f>
        <v>0</v>
      </c>
      <c r="CF45" s="1">
        <f t="shared" si="51"/>
        <v>0</v>
      </c>
      <c r="CG45" s="1">
        <v>0</v>
      </c>
      <c r="CH45" s="1">
        <v>0</v>
      </c>
      <c r="CI45" s="1">
        <v>0</v>
      </c>
      <c r="CJ45" s="3">
        <v>0</v>
      </c>
      <c r="CK45" s="31">
        <v>0</v>
      </c>
      <c r="CL45" s="31">
        <v>0</v>
      </c>
      <c r="CM45" s="31">
        <v>0</v>
      </c>
      <c r="CN45" s="30">
        <f t="shared" si="28"/>
        <v>0</v>
      </c>
    </row>
    <row r="46" spans="1:92">
      <c r="A46" s="35" t="s">
        <v>167</v>
      </c>
      <c r="B46" s="8" t="s">
        <v>168</v>
      </c>
      <c r="C46" s="8" t="s">
        <v>64</v>
      </c>
      <c r="D46" s="9" t="s">
        <v>65</v>
      </c>
      <c r="E46" s="36" t="s">
        <v>66</v>
      </c>
      <c r="F46" s="12" t="s">
        <v>108</v>
      </c>
      <c r="G46" s="7">
        <v>1</v>
      </c>
      <c r="H46" s="34">
        <v>0</v>
      </c>
      <c r="I46" s="33">
        <v>0</v>
      </c>
      <c r="J46" s="1">
        <v>0</v>
      </c>
      <c r="K46" s="1">
        <v>0</v>
      </c>
      <c r="L46" s="1">
        <v>0</v>
      </c>
      <c r="M46" s="32">
        <v>0</v>
      </c>
      <c r="N46" s="2">
        <f t="shared" si="16"/>
        <v>0</v>
      </c>
      <c r="O46" s="2">
        <f>SUMIF('January 2027'!$B:$B,'PTO SUMMARY 2027'!B46,'January 2027'!$AK:$AK)</f>
        <v>0</v>
      </c>
      <c r="P46" s="1">
        <f t="shared" si="42"/>
        <v>0</v>
      </c>
      <c r="Q46" s="1">
        <v>0</v>
      </c>
      <c r="R46" s="1">
        <v>0</v>
      </c>
      <c r="S46" s="3">
        <f t="shared" si="17"/>
        <v>0</v>
      </c>
      <c r="T46" s="2">
        <f>SUMIF('February 2027'!$B:$B,'PTO SUMMARY 2027'!G46,'February 2027'!$AK:$AK)</f>
        <v>0</v>
      </c>
      <c r="U46" s="154">
        <v>0</v>
      </c>
      <c r="V46" s="1">
        <f t="shared" si="43"/>
        <v>0</v>
      </c>
      <c r="W46" s="1">
        <v>0</v>
      </c>
      <c r="X46" s="1">
        <v>0</v>
      </c>
      <c r="Y46" s="3">
        <f t="shared" si="18"/>
        <v>0</v>
      </c>
      <c r="Z46" s="2">
        <f>SUMIF('March 2027'!$B:$B,'PTO SUMMARY 2027'!M46,'March 2027'!$AK:$AK)</f>
        <v>0</v>
      </c>
      <c r="AA46" s="1">
        <f t="shared" si="29"/>
        <v>0</v>
      </c>
      <c r="AB46" s="1">
        <v>0</v>
      </c>
      <c r="AC46" s="1">
        <v>0</v>
      </c>
      <c r="AD46" s="3">
        <v>0</v>
      </c>
      <c r="AE46" s="31">
        <f t="shared" si="41"/>
        <v>0</v>
      </c>
      <c r="AF46" s="31">
        <v>0</v>
      </c>
      <c r="AG46" s="30">
        <f t="shared" si="44"/>
        <v>0</v>
      </c>
      <c r="AH46" s="2">
        <f t="shared" si="19"/>
        <v>0</v>
      </c>
      <c r="AI46" s="2">
        <f>SUMIF('April 2027'!$B:$B,'PTO SUMMARY 2027'!V46,'April 2027'!$AK:$AK)</f>
        <v>0</v>
      </c>
      <c r="AJ46" s="1">
        <f t="shared" si="45"/>
        <v>0</v>
      </c>
      <c r="AK46" s="1">
        <v>0</v>
      </c>
      <c r="AL46" s="1">
        <v>0</v>
      </c>
      <c r="AM46" s="3">
        <f t="shared" si="20"/>
        <v>0</v>
      </c>
      <c r="AN46" s="2">
        <f>SUMIF('May 2027'!$B:$B,'PTO SUMMARY 2027'!AA46,'May 2027'!$AK:$AK)</f>
        <v>0</v>
      </c>
      <c r="AO46" s="1">
        <f t="shared" si="46"/>
        <v>0</v>
      </c>
      <c r="AP46" s="1">
        <v>0</v>
      </c>
      <c r="AQ46" s="1">
        <v>0</v>
      </c>
      <c r="AR46" s="3">
        <f t="shared" si="21"/>
        <v>0</v>
      </c>
      <c r="AS46" s="2">
        <f>SUMIF('June 2027'!$B:$B,'PTO SUMMARY 2027'!AF46,'June 2027'!$AK:$AK)</f>
        <v>0</v>
      </c>
      <c r="AT46" s="1">
        <f t="shared" si="47"/>
        <v>0</v>
      </c>
      <c r="AU46" s="1">
        <v>0</v>
      </c>
      <c r="AV46" s="1">
        <v>0</v>
      </c>
      <c r="AW46" s="3">
        <v>0</v>
      </c>
      <c r="AX46" s="31">
        <v>0</v>
      </c>
      <c r="AY46" s="31">
        <v>0</v>
      </c>
      <c r="AZ46" s="30">
        <f t="shared" si="8"/>
        <v>0</v>
      </c>
      <c r="BA46" s="3">
        <f t="shared" si="22"/>
        <v>0</v>
      </c>
      <c r="BB46" s="2">
        <f>SUMIF('July 2027'!$B:$B,'PTO SUMMARY 2027'!AK46,'July 2027'!$AK:$AK)</f>
        <v>0</v>
      </c>
      <c r="BC46" s="1">
        <f t="shared" si="9"/>
        <v>0</v>
      </c>
      <c r="BD46" s="1">
        <v>0</v>
      </c>
      <c r="BE46" s="1">
        <v>0</v>
      </c>
      <c r="BF46" s="3">
        <f t="shared" si="23"/>
        <v>0</v>
      </c>
      <c r="BG46" s="2">
        <f>SUMIF('August 2027'!$B:$B,'PTO SUMMARY 2027'!AP46,'August 2027'!$AK:$AK)</f>
        <v>0</v>
      </c>
      <c r="BH46" s="1">
        <f t="shared" si="52"/>
        <v>0</v>
      </c>
      <c r="BI46" s="1">
        <v>0</v>
      </c>
      <c r="BJ46" s="1">
        <v>0</v>
      </c>
      <c r="BK46" s="3">
        <f t="shared" si="24"/>
        <v>0</v>
      </c>
      <c r="BL46" s="2">
        <f>SUMIF('September 2027'!$B:$B,'PTO SUMMARY 2027'!AU46,'September 2027'!$AK:$AK)</f>
        <v>0</v>
      </c>
      <c r="BM46" s="1">
        <f t="shared" si="48"/>
        <v>0</v>
      </c>
      <c r="BN46" s="1">
        <v>0</v>
      </c>
      <c r="BO46" s="1">
        <v>0</v>
      </c>
      <c r="BP46" s="3">
        <v>0</v>
      </c>
      <c r="BQ46" s="31">
        <v>0</v>
      </c>
      <c r="BR46" s="31">
        <v>0</v>
      </c>
      <c r="BS46" s="30">
        <f t="shared" si="12"/>
        <v>0</v>
      </c>
      <c r="BT46" s="3">
        <f t="shared" si="25"/>
        <v>0</v>
      </c>
      <c r="BU46" s="2">
        <f>SUMIF('October 2027'!$B:$B,'PTO SUMMARY 2027'!BH46,'October 2027'!$AK:$AK)</f>
        <v>0</v>
      </c>
      <c r="BV46" s="1">
        <f t="shared" si="49"/>
        <v>0</v>
      </c>
      <c r="BW46" s="1">
        <v>0</v>
      </c>
      <c r="BX46" s="1">
        <v>0</v>
      </c>
      <c r="BY46" s="3">
        <f t="shared" si="26"/>
        <v>0</v>
      </c>
      <c r="BZ46" s="2">
        <f>SUMIF('November 2027'!$B:$B,'PTO SUMMARY 2027'!BM46,'November 2027'!$AK:$AK)</f>
        <v>0</v>
      </c>
      <c r="CA46" s="1">
        <f t="shared" si="50"/>
        <v>0</v>
      </c>
      <c r="CB46" s="1">
        <v>0</v>
      </c>
      <c r="CC46" s="1">
        <v>0</v>
      </c>
      <c r="CD46" s="3">
        <f t="shared" si="27"/>
        <v>0</v>
      </c>
      <c r="CE46" s="2">
        <f>SUMIF('December 2027'!$B:$B,'PTO SUMMARY 2027'!$B:$B,'December 2027'!$AK:$AK)</f>
        <v>0</v>
      </c>
      <c r="CF46" s="1">
        <f t="shared" si="51"/>
        <v>0</v>
      </c>
      <c r="CG46" s="1">
        <v>0</v>
      </c>
      <c r="CH46" s="1">
        <v>0</v>
      </c>
      <c r="CI46" s="1">
        <v>0</v>
      </c>
      <c r="CJ46" s="3">
        <v>0</v>
      </c>
      <c r="CK46" s="31">
        <v>0</v>
      </c>
      <c r="CL46" s="31">
        <v>0</v>
      </c>
      <c r="CM46" s="31">
        <v>0</v>
      </c>
      <c r="CN46" s="30">
        <f t="shared" si="28"/>
        <v>0</v>
      </c>
    </row>
    <row r="47" spans="1:92">
      <c r="A47" s="8" t="s">
        <v>169</v>
      </c>
      <c r="B47" s="8" t="s">
        <v>170</v>
      </c>
      <c r="C47" s="8" t="s">
        <v>75</v>
      </c>
      <c r="D47" s="9" t="s">
        <v>70</v>
      </c>
      <c r="E47" t="s">
        <v>76</v>
      </c>
      <c r="F47" s="12" t="s">
        <v>80</v>
      </c>
      <c r="G47" s="7">
        <v>1</v>
      </c>
      <c r="H47" s="11">
        <f>((G47*86.67)*2)*(SUMIF('Accrual Rates'!B:B,'PTO SUMMARY 2027'!B47,'Accrual Rates'!G:G))</f>
        <v>13.3333128</v>
      </c>
      <c r="I47" s="33">
        <v>0</v>
      </c>
      <c r="J47" s="1">
        <v>0</v>
      </c>
      <c r="K47" s="1">
        <v>0</v>
      </c>
      <c r="L47" s="1">
        <v>0</v>
      </c>
      <c r="M47" s="32">
        <v>0</v>
      </c>
      <c r="N47" s="2">
        <f t="shared" si="16"/>
        <v>13.3333128</v>
      </c>
      <c r="O47" s="2">
        <f>SUMIF('January 2027'!$B:$B,'PTO SUMMARY 2027'!B47,'January 2027'!$AK:$AK)</f>
        <v>0</v>
      </c>
      <c r="P47" s="1">
        <f t="shared" si="42"/>
        <v>13.3333128</v>
      </c>
      <c r="Q47" s="1">
        <v>0</v>
      </c>
      <c r="R47" s="1">
        <v>0</v>
      </c>
      <c r="S47" s="3">
        <f t="shared" si="17"/>
        <v>13.3333128</v>
      </c>
      <c r="T47" s="2">
        <f>SUMIF('February 2027'!$B:$B,'PTO SUMMARY 2027'!G47,'February 2027'!$AK:$AK)</f>
        <v>0</v>
      </c>
      <c r="U47" s="154">
        <v>0</v>
      </c>
      <c r="V47" s="1">
        <f t="shared" si="43"/>
        <v>26.6666256</v>
      </c>
      <c r="W47" s="1">
        <v>0</v>
      </c>
      <c r="X47" s="1">
        <v>0</v>
      </c>
      <c r="Y47" s="3">
        <f t="shared" si="18"/>
        <v>13.3333128</v>
      </c>
      <c r="Z47" s="2">
        <f>SUMIF('March 2027'!$B:$B,'PTO SUMMARY 2027'!M47,'March 2027'!$AK:$AK)</f>
        <v>0</v>
      </c>
      <c r="AA47" s="1">
        <f t="shared" si="29"/>
        <v>39.999938399999998</v>
      </c>
      <c r="AB47" s="1">
        <v>0</v>
      </c>
      <c r="AC47" s="1">
        <v>0</v>
      </c>
      <c r="AD47" s="3">
        <v>0</v>
      </c>
      <c r="AE47" s="31">
        <f t="shared" si="41"/>
        <v>0</v>
      </c>
      <c r="AF47" s="31">
        <v>0</v>
      </c>
      <c r="AG47" s="30">
        <f t="shared" si="44"/>
        <v>0</v>
      </c>
      <c r="AH47" s="2">
        <f t="shared" si="19"/>
        <v>13.3333128</v>
      </c>
      <c r="AI47" s="2">
        <f>SUMIF('April 2027'!$B:$B,'PTO SUMMARY 2027'!V47,'April 2027'!$AK:$AK)</f>
        <v>0</v>
      </c>
      <c r="AJ47" s="1">
        <f t="shared" si="45"/>
        <v>53.333251199999999</v>
      </c>
      <c r="AK47" s="1">
        <v>0</v>
      </c>
      <c r="AL47" s="1">
        <v>0</v>
      </c>
      <c r="AM47" s="3">
        <f t="shared" si="20"/>
        <v>13.3333128</v>
      </c>
      <c r="AN47" s="2">
        <f>SUMIF('May 2027'!$B:$B,'PTO SUMMARY 2027'!AA47,'May 2027'!$AK:$AK)</f>
        <v>0</v>
      </c>
      <c r="AO47" s="1">
        <f t="shared" si="46"/>
        <v>66.67</v>
      </c>
      <c r="AP47" s="1">
        <v>0</v>
      </c>
      <c r="AQ47" s="1">
        <v>0</v>
      </c>
      <c r="AR47" s="3">
        <f t="shared" si="21"/>
        <v>13.3333128</v>
      </c>
      <c r="AS47" s="2">
        <f>SUMIF('June 2027'!$B:$B,'PTO SUMMARY 2027'!AF47,'June 2027'!$AK:$AK)</f>
        <v>0</v>
      </c>
      <c r="AT47" s="1">
        <f t="shared" si="47"/>
        <v>80.003312800000003</v>
      </c>
      <c r="AU47" s="1">
        <v>0</v>
      </c>
      <c r="AV47" s="1">
        <v>0</v>
      </c>
      <c r="AW47" s="3">
        <v>0</v>
      </c>
      <c r="AX47" s="31">
        <v>0</v>
      </c>
      <c r="AY47" s="31">
        <v>0</v>
      </c>
      <c r="AZ47" s="30">
        <f t="shared" si="8"/>
        <v>0</v>
      </c>
      <c r="BA47" s="3">
        <f t="shared" si="22"/>
        <v>13.3333128</v>
      </c>
      <c r="BB47" s="2">
        <f>SUMIF('July 2027'!$B:$B,'PTO SUMMARY 2027'!AK47,'July 2027'!$AK:$AK)</f>
        <v>0</v>
      </c>
      <c r="BC47" s="1">
        <f t="shared" si="9"/>
        <v>93.336625600000005</v>
      </c>
      <c r="BD47" s="1">
        <v>0</v>
      </c>
      <c r="BE47" s="1">
        <v>0</v>
      </c>
      <c r="BF47" s="3">
        <f t="shared" si="23"/>
        <v>13.3333128</v>
      </c>
      <c r="BG47" s="2">
        <f>SUMIF('August 2027'!$B:$B,'PTO SUMMARY 2027'!AP47,'August 2027'!$AK:$AK)</f>
        <v>0</v>
      </c>
      <c r="BH47" s="1">
        <f t="shared" si="52"/>
        <v>106.66993840000001</v>
      </c>
      <c r="BI47" s="1">
        <v>0</v>
      </c>
      <c r="BJ47" s="1">
        <v>0</v>
      </c>
      <c r="BK47" s="3">
        <f t="shared" si="24"/>
        <v>13.3333128</v>
      </c>
      <c r="BL47" s="2">
        <f>SUMIF('September 2027'!$B:$B,'PTO SUMMARY 2027'!AU47,'September 2027'!$AK:$AK)</f>
        <v>0</v>
      </c>
      <c r="BM47" s="1">
        <f t="shared" si="48"/>
        <v>120.00325120000001</v>
      </c>
      <c r="BN47" s="1">
        <v>0</v>
      </c>
      <c r="BO47" s="1">
        <v>0</v>
      </c>
      <c r="BP47" s="3">
        <v>0</v>
      </c>
      <c r="BQ47" s="31">
        <v>0</v>
      </c>
      <c r="BR47" s="31">
        <v>0</v>
      </c>
      <c r="BS47" s="30">
        <f t="shared" si="12"/>
        <v>0</v>
      </c>
      <c r="BT47" s="3">
        <f t="shared" si="25"/>
        <v>13.3333128</v>
      </c>
      <c r="BU47" s="2">
        <f>SUMIF('October 2027'!$B:$B,'PTO SUMMARY 2027'!BH47,'October 2027'!$AK:$AK)</f>
        <v>0</v>
      </c>
      <c r="BV47" s="1">
        <f t="shared" si="49"/>
        <v>133.33656400000001</v>
      </c>
      <c r="BW47" s="1">
        <v>0</v>
      </c>
      <c r="BX47" s="1">
        <v>0</v>
      </c>
      <c r="BY47" s="3">
        <f t="shared" si="26"/>
        <v>13.3333128</v>
      </c>
      <c r="BZ47" s="2">
        <f>SUMIF('November 2027'!$B:$B,'PTO SUMMARY 2027'!BM47,'November 2027'!$AK:$AK)</f>
        <v>0</v>
      </c>
      <c r="CA47" s="1">
        <f t="shared" si="50"/>
        <v>146.6698768</v>
      </c>
      <c r="CB47" s="1">
        <v>0</v>
      </c>
      <c r="CC47" s="1">
        <v>0</v>
      </c>
      <c r="CD47" s="3">
        <f t="shared" si="27"/>
        <v>13.3333128</v>
      </c>
      <c r="CE47" s="2">
        <f>SUMIF('December 2027'!$B:$B,'PTO SUMMARY 2027'!$B:$B,'December 2027'!$AK:$AK)</f>
        <v>0</v>
      </c>
      <c r="CF47" s="1">
        <f t="shared" si="51"/>
        <v>160.00318959999998</v>
      </c>
      <c r="CG47" s="1">
        <v>0</v>
      </c>
      <c r="CH47" s="1">
        <v>0</v>
      </c>
      <c r="CI47" s="1">
        <v>0</v>
      </c>
      <c r="CJ47" s="3">
        <v>0</v>
      </c>
      <c r="CK47" s="31">
        <v>0</v>
      </c>
      <c r="CL47" s="31">
        <v>0</v>
      </c>
      <c r="CM47" s="31">
        <v>0</v>
      </c>
      <c r="CN47" s="30">
        <f t="shared" si="28"/>
        <v>0</v>
      </c>
    </row>
    <row r="48" spans="1:92">
      <c r="A48" s="8" t="s">
        <v>171</v>
      </c>
      <c r="B48" s="39" t="s">
        <v>172</v>
      </c>
      <c r="C48" s="8" t="s">
        <v>75</v>
      </c>
      <c r="E48" t="s">
        <v>76</v>
      </c>
      <c r="F48" s="12" t="s">
        <v>83</v>
      </c>
      <c r="G48" s="7">
        <v>1</v>
      </c>
      <c r="H48" s="11">
        <f>((G48*86.67)*2)*(SUMIF('Accrual Rates'!B:B,'PTO SUMMARY 2027'!B48,'Accrual Rates'!G:G))</f>
        <v>13.3333128</v>
      </c>
      <c r="I48" s="33">
        <v>0</v>
      </c>
      <c r="J48" s="1">
        <v>0</v>
      </c>
      <c r="K48" s="1">
        <v>0</v>
      </c>
      <c r="L48" s="1">
        <v>0</v>
      </c>
      <c r="M48" s="32">
        <v>0</v>
      </c>
      <c r="N48" s="2">
        <f t="shared" si="16"/>
        <v>13.3333128</v>
      </c>
      <c r="O48" s="2">
        <f>SUMIF('January 2027'!$B:$B,'PTO SUMMARY 2027'!B48,'January 2027'!$AK:$AK)</f>
        <v>0</v>
      </c>
      <c r="P48" s="1">
        <f t="shared" si="42"/>
        <v>13.3333128</v>
      </c>
      <c r="Q48" s="1">
        <v>0</v>
      </c>
      <c r="R48" s="1">
        <v>0</v>
      </c>
      <c r="S48" s="3">
        <f t="shared" si="17"/>
        <v>13.3333128</v>
      </c>
      <c r="T48" s="2">
        <f>SUMIF('February 2027'!$B:$B,'PTO SUMMARY 2027'!G48,'February 2027'!$AK:$AK)</f>
        <v>0</v>
      </c>
      <c r="U48" s="154">
        <v>0</v>
      </c>
      <c r="V48" s="1">
        <f t="shared" si="43"/>
        <v>26.6666256</v>
      </c>
      <c r="W48" s="1">
        <v>0</v>
      </c>
      <c r="X48" s="1">
        <v>0</v>
      </c>
      <c r="Y48" s="3">
        <f t="shared" si="18"/>
        <v>13.3333128</v>
      </c>
      <c r="Z48" s="2">
        <f>SUMIF('March 2027'!$B:$B,'PTO SUMMARY 2027'!M48,'March 2027'!$AK:$AK)</f>
        <v>0</v>
      </c>
      <c r="AA48" s="1">
        <f t="shared" si="29"/>
        <v>39.999938399999998</v>
      </c>
      <c r="AB48" s="1">
        <v>0</v>
      </c>
      <c r="AC48" s="1">
        <v>0</v>
      </c>
      <c r="AD48" s="3">
        <v>0</v>
      </c>
      <c r="AE48" s="31">
        <f t="shared" si="41"/>
        <v>0</v>
      </c>
      <c r="AF48" s="31">
        <v>0</v>
      </c>
      <c r="AG48" s="30">
        <f t="shared" si="44"/>
        <v>0</v>
      </c>
      <c r="AH48" s="2">
        <f t="shared" si="19"/>
        <v>13.3333128</v>
      </c>
      <c r="AI48" s="2">
        <f>SUMIF('April 2027'!$B:$B,'PTO SUMMARY 2027'!V48,'April 2027'!$AK:$AK)</f>
        <v>0</v>
      </c>
      <c r="AJ48" s="1">
        <f t="shared" si="45"/>
        <v>53.333251199999999</v>
      </c>
      <c r="AK48" s="1">
        <v>0</v>
      </c>
      <c r="AL48" s="1">
        <v>0</v>
      </c>
      <c r="AM48" s="3">
        <f t="shared" si="20"/>
        <v>13.3333128</v>
      </c>
      <c r="AN48" s="2">
        <f>SUMIF('May 2027'!$B:$B,'PTO SUMMARY 2027'!AA48,'May 2027'!$AK:$AK)</f>
        <v>0</v>
      </c>
      <c r="AO48" s="1">
        <f t="shared" si="46"/>
        <v>66.67</v>
      </c>
      <c r="AP48" s="1">
        <v>0</v>
      </c>
      <c r="AQ48" s="1">
        <v>0</v>
      </c>
      <c r="AR48" s="3">
        <f t="shared" si="21"/>
        <v>13.3333128</v>
      </c>
      <c r="AS48" s="2">
        <f>SUMIF('June 2027'!$B:$B,'PTO SUMMARY 2027'!AF48,'June 2027'!$AK:$AK)</f>
        <v>0</v>
      </c>
      <c r="AT48" s="1">
        <f t="shared" si="47"/>
        <v>80.003312800000003</v>
      </c>
      <c r="AU48" s="1">
        <v>0</v>
      </c>
      <c r="AV48" s="1">
        <v>0</v>
      </c>
      <c r="AW48" s="3">
        <v>0</v>
      </c>
      <c r="AX48" s="31">
        <v>0</v>
      </c>
      <c r="AY48" s="31">
        <v>0</v>
      </c>
      <c r="AZ48" s="30">
        <f t="shared" si="8"/>
        <v>0</v>
      </c>
      <c r="BA48" s="3">
        <f t="shared" si="22"/>
        <v>13.3333128</v>
      </c>
      <c r="BB48" s="2">
        <f>SUMIF('July 2027'!$B:$B,'PTO SUMMARY 2027'!AK48,'July 2027'!$AK:$AK)</f>
        <v>0</v>
      </c>
      <c r="BC48" s="1">
        <f t="shared" si="9"/>
        <v>93.336625600000005</v>
      </c>
      <c r="BD48" s="1">
        <v>0</v>
      </c>
      <c r="BE48" s="1">
        <v>0</v>
      </c>
      <c r="BF48" s="3">
        <f t="shared" si="23"/>
        <v>13.3333128</v>
      </c>
      <c r="BG48" s="2">
        <f>SUMIF('August 2027'!$B:$B,'PTO SUMMARY 2027'!AP48,'August 2027'!$AK:$AK)</f>
        <v>0</v>
      </c>
      <c r="BH48" s="1">
        <f t="shared" si="52"/>
        <v>106.66993840000001</v>
      </c>
      <c r="BI48" s="1">
        <v>0</v>
      </c>
      <c r="BJ48" s="1">
        <v>0</v>
      </c>
      <c r="BK48" s="3">
        <f t="shared" si="24"/>
        <v>13.3333128</v>
      </c>
      <c r="BL48" s="2">
        <f>SUMIF('September 2027'!$B:$B,'PTO SUMMARY 2027'!AU48,'September 2027'!$AK:$AK)</f>
        <v>0</v>
      </c>
      <c r="BM48" s="1">
        <f t="shared" si="48"/>
        <v>120.00325120000001</v>
      </c>
      <c r="BN48" s="1">
        <v>0</v>
      </c>
      <c r="BO48" s="1">
        <v>0</v>
      </c>
      <c r="BP48" s="3">
        <v>0</v>
      </c>
      <c r="BQ48" s="31">
        <v>0</v>
      </c>
      <c r="BR48" s="31">
        <v>0</v>
      </c>
      <c r="BS48" s="30">
        <f t="shared" si="12"/>
        <v>0</v>
      </c>
      <c r="BT48" s="3">
        <f t="shared" si="25"/>
        <v>13.3333128</v>
      </c>
      <c r="BU48" s="2">
        <f>SUMIF('October 2027'!$B:$B,'PTO SUMMARY 2027'!BH48,'October 2027'!$AK:$AK)</f>
        <v>0</v>
      </c>
      <c r="BV48" s="1">
        <f t="shared" si="49"/>
        <v>133.33656400000001</v>
      </c>
      <c r="BW48" s="1">
        <v>0</v>
      </c>
      <c r="BX48" s="1">
        <v>0</v>
      </c>
      <c r="BY48" s="3">
        <f t="shared" si="26"/>
        <v>13.3333128</v>
      </c>
      <c r="BZ48" s="2">
        <f>SUMIF('November 2027'!$B:$B,'PTO SUMMARY 2027'!BM48,'November 2027'!$AK:$AK)</f>
        <v>0</v>
      </c>
      <c r="CA48" s="1">
        <f t="shared" si="50"/>
        <v>146.6698768</v>
      </c>
      <c r="CB48" s="1">
        <v>0</v>
      </c>
      <c r="CC48" s="1">
        <v>0</v>
      </c>
      <c r="CD48" s="3">
        <f t="shared" si="27"/>
        <v>13.3333128</v>
      </c>
      <c r="CE48" s="2">
        <f>SUMIF('December 2027'!$B:$B,'PTO SUMMARY 2027'!$B:$B,'December 2027'!$AK:$AK)</f>
        <v>0</v>
      </c>
      <c r="CF48" s="1">
        <f t="shared" si="51"/>
        <v>160.00318959999998</v>
      </c>
      <c r="CG48" s="1">
        <v>0</v>
      </c>
      <c r="CH48" s="1">
        <v>0</v>
      </c>
      <c r="CI48" s="1">
        <v>0</v>
      </c>
      <c r="CJ48" s="3">
        <v>0</v>
      </c>
      <c r="CK48" s="31">
        <v>0</v>
      </c>
      <c r="CL48" s="31">
        <v>0</v>
      </c>
      <c r="CM48" s="31">
        <v>0</v>
      </c>
      <c r="CN48" s="30">
        <f t="shared" si="28"/>
        <v>0</v>
      </c>
    </row>
    <row r="49" spans="1:92">
      <c r="A49" s="35" t="s">
        <v>173</v>
      </c>
      <c r="B49" s="8" t="s">
        <v>174</v>
      </c>
      <c r="C49" s="8" t="s">
        <v>75</v>
      </c>
      <c r="D49" s="9" t="s">
        <v>65</v>
      </c>
      <c r="E49" t="s">
        <v>95</v>
      </c>
      <c r="F49" s="12" t="s">
        <v>96</v>
      </c>
      <c r="G49" s="7">
        <v>0.8</v>
      </c>
      <c r="H49" s="34">
        <v>0</v>
      </c>
      <c r="I49" s="33">
        <v>0</v>
      </c>
      <c r="J49" s="1">
        <v>0</v>
      </c>
      <c r="K49" s="1">
        <v>0</v>
      </c>
      <c r="L49" s="1">
        <v>0</v>
      </c>
      <c r="M49" s="32">
        <v>0</v>
      </c>
      <c r="N49" s="2">
        <f t="shared" si="16"/>
        <v>0</v>
      </c>
      <c r="O49" s="2">
        <f>SUMIF('January 2027'!$B:$B,'PTO SUMMARY 2027'!B49,'January 2027'!$AK:$AK)</f>
        <v>0</v>
      </c>
      <c r="P49" s="1">
        <f t="shared" si="42"/>
        <v>0</v>
      </c>
      <c r="Q49" s="1">
        <v>0</v>
      </c>
      <c r="R49" s="1">
        <v>0</v>
      </c>
      <c r="S49" s="3">
        <f t="shared" si="17"/>
        <v>0</v>
      </c>
      <c r="T49" s="2">
        <f>SUMIF('February 2027'!$B:$B,'PTO SUMMARY 2027'!G49,'February 2027'!$AK:$AK)</f>
        <v>0</v>
      </c>
      <c r="U49" s="154">
        <v>0</v>
      </c>
      <c r="V49" s="1">
        <f t="shared" si="43"/>
        <v>0</v>
      </c>
      <c r="W49" s="1">
        <v>0</v>
      </c>
      <c r="X49" s="1">
        <v>0</v>
      </c>
      <c r="Y49" s="3">
        <f t="shared" si="18"/>
        <v>0</v>
      </c>
      <c r="Z49" s="2">
        <f>SUMIF('March 2027'!$B:$B,'PTO SUMMARY 2027'!M49,'March 2027'!$AK:$AK)</f>
        <v>0</v>
      </c>
      <c r="AA49" s="1">
        <f t="shared" si="29"/>
        <v>0</v>
      </c>
      <c r="AB49" s="1">
        <v>0</v>
      </c>
      <c r="AC49" s="1">
        <v>0</v>
      </c>
      <c r="AD49" s="3">
        <v>0</v>
      </c>
      <c r="AE49" s="31">
        <f t="shared" si="41"/>
        <v>0</v>
      </c>
      <c r="AF49" s="31">
        <v>0</v>
      </c>
      <c r="AG49" s="30">
        <f t="shared" si="44"/>
        <v>0</v>
      </c>
      <c r="AH49" s="2">
        <f t="shared" si="19"/>
        <v>0</v>
      </c>
      <c r="AI49" s="2">
        <f>SUMIF('April 2027'!$B:$B,'PTO SUMMARY 2027'!V49,'April 2027'!$AK:$AK)</f>
        <v>0</v>
      </c>
      <c r="AJ49" s="1">
        <f t="shared" si="45"/>
        <v>0</v>
      </c>
      <c r="AK49" s="1">
        <v>0</v>
      </c>
      <c r="AL49" s="1">
        <v>0</v>
      </c>
      <c r="AM49" s="3">
        <f t="shared" si="20"/>
        <v>0</v>
      </c>
      <c r="AN49" s="2">
        <f>SUMIF('May 2027'!$B:$B,'PTO SUMMARY 2027'!AA49,'May 2027'!$AK:$AK)</f>
        <v>0</v>
      </c>
      <c r="AO49" s="1">
        <f t="shared" si="46"/>
        <v>0</v>
      </c>
      <c r="AP49" s="1">
        <v>0</v>
      </c>
      <c r="AQ49" s="1">
        <v>0</v>
      </c>
      <c r="AR49" s="3">
        <f t="shared" si="21"/>
        <v>0</v>
      </c>
      <c r="AS49" s="2">
        <f>SUMIF('June 2027'!$B:$B,'PTO SUMMARY 2027'!AF49,'June 2027'!$AK:$AK)</f>
        <v>0</v>
      </c>
      <c r="AT49" s="1">
        <f t="shared" si="47"/>
        <v>0</v>
      </c>
      <c r="AU49" s="1">
        <v>0</v>
      </c>
      <c r="AV49" s="1">
        <v>0</v>
      </c>
      <c r="AW49" s="3">
        <v>0</v>
      </c>
      <c r="AX49" s="31">
        <v>0</v>
      </c>
      <c r="AY49" s="31">
        <v>0</v>
      </c>
      <c r="AZ49" s="30">
        <f t="shared" si="8"/>
        <v>0</v>
      </c>
      <c r="BA49" s="3">
        <f t="shared" si="22"/>
        <v>0</v>
      </c>
      <c r="BB49" s="2">
        <f>SUMIF('July 2027'!$B:$B,'PTO SUMMARY 2027'!AK49,'July 2027'!$AK:$AK)</f>
        <v>0</v>
      </c>
      <c r="BC49" s="1">
        <f t="shared" si="9"/>
        <v>0</v>
      </c>
      <c r="BD49" s="1">
        <v>0</v>
      </c>
      <c r="BE49" s="1">
        <v>0</v>
      </c>
      <c r="BF49" s="3">
        <f t="shared" si="23"/>
        <v>0</v>
      </c>
      <c r="BG49" s="2">
        <f>SUMIF('August 2027'!$B:$B,'PTO SUMMARY 2027'!AP49,'August 2027'!$AK:$AK)</f>
        <v>0</v>
      </c>
      <c r="BH49" s="1">
        <f t="shared" si="52"/>
        <v>0</v>
      </c>
      <c r="BI49" s="1">
        <v>0</v>
      </c>
      <c r="BJ49" s="1">
        <v>0</v>
      </c>
      <c r="BK49" s="3">
        <f t="shared" si="24"/>
        <v>0</v>
      </c>
      <c r="BL49" s="2">
        <f>SUMIF('September 2027'!$B:$B,'PTO SUMMARY 2027'!AU49,'September 2027'!$AK:$AK)</f>
        <v>0</v>
      </c>
      <c r="BM49" s="1">
        <f t="shared" si="48"/>
        <v>0</v>
      </c>
      <c r="BN49" s="1">
        <v>0</v>
      </c>
      <c r="BO49" s="1">
        <v>0</v>
      </c>
      <c r="BP49" s="3">
        <v>0</v>
      </c>
      <c r="BQ49" s="31">
        <v>0</v>
      </c>
      <c r="BR49" s="31">
        <v>0</v>
      </c>
      <c r="BS49" s="30">
        <f t="shared" si="12"/>
        <v>0</v>
      </c>
      <c r="BT49" s="3">
        <f t="shared" si="25"/>
        <v>0</v>
      </c>
      <c r="BU49" s="2">
        <f>SUMIF('October 2027'!$B:$B,'PTO SUMMARY 2027'!BH49,'October 2027'!$AK:$AK)</f>
        <v>0</v>
      </c>
      <c r="BV49" s="1">
        <f t="shared" si="49"/>
        <v>0</v>
      </c>
      <c r="BW49" s="1">
        <v>0</v>
      </c>
      <c r="BX49" s="1">
        <v>0</v>
      </c>
      <c r="BY49" s="3">
        <f t="shared" si="26"/>
        <v>0</v>
      </c>
      <c r="BZ49" s="2">
        <f>SUMIF('November 2027'!$B:$B,'PTO SUMMARY 2027'!BM49,'November 2027'!$AK:$AK)</f>
        <v>0</v>
      </c>
      <c r="CA49" s="1">
        <f t="shared" si="50"/>
        <v>0</v>
      </c>
      <c r="CB49" s="1">
        <v>0</v>
      </c>
      <c r="CC49" s="1">
        <v>0</v>
      </c>
      <c r="CD49" s="3">
        <f t="shared" si="27"/>
        <v>0</v>
      </c>
      <c r="CE49" s="2">
        <f>SUMIF('December 2027'!$B:$B,'PTO SUMMARY 2027'!$B:$B,'December 2027'!$AK:$AK)</f>
        <v>0</v>
      </c>
      <c r="CF49" s="1">
        <f t="shared" si="51"/>
        <v>0</v>
      </c>
      <c r="CG49" s="1">
        <v>0</v>
      </c>
      <c r="CH49" s="1">
        <v>0</v>
      </c>
      <c r="CI49" s="1">
        <v>0</v>
      </c>
      <c r="CJ49" s="3">
        <v>0</v>
      </c>
      <c r="CK49" s="31">
        <v>0</v>
      </c>
      <c r="CL49" s="31">
        <v>0</v>
      </c>
      <c r="CM49" s="31">
        <v>0</v>
      </c>
      <c r="CN49" s="30">
        <f t="shared" si="28"/>
        <v>0</v>
      </c>
    </row>
    <row r="50" spans="1:92">
      <c r="A50" s="35" t="s">
        <v>175</v>
      </c>
      <c r="B50" s="8" t="s">
        <v>176</v>
      </c>
      <c r="C50" s="8" t="s">
        <v>75</v>
      </c>
      <c r="D50" s="9" t="s">
        <v>65</v>
      </c>
      <c r="E50" t="s">
        <v>95</v>
      </c>
      <c r="F50" s="12" t="s">
        <v>83</v>
      </c>
      <c r="G50" s="7">
        <v>1</v>
      </c>
      <c r="H50" s="34">
        <v>0</v>
      </c>
      <c r="I50" s="33">
        <v>0</v>
      </c>
      <c r="J50" s="1">
        <v>0</v>
      </c>
      <c r="K50" s="1">
        <v>0</v>
      </c>
      <c r="L50" s="1">
        <v>0</v>
      </c>
      <c r="M50" s="32">
        <v>0</v>
      </c>
      <c r="N50" s="2">
        <f t="shared" si="16"/>
        <v>0</v>
      </c>
      <c r="O50" s="2">
        <f>SUMIF('January 2027'!$B:$B,'PTO SUMMARY 2027'!B50,'January 2027'!$AK:$AK)</f>
        <v>0</v>
      </c>
      <c r="P50" s="1">
        <f t="shared" si="42"/>
        <v>0</v>
      </c>
      <c r="Q50" s="1">
        <v>0</v>
      </c>
      <c r="R50" s="1">
        <v>0</v>
      </c>
      <c r="S50" s="3">
        <f t="shared" si="17"/>
        <v>0</v>
      </c>
      <c r="T50" s="2">
        <f>SUMIF('February 2027'!$B:$B,'PTO SUMMARY 2027'!G50,'February 2027'!$AK:$AK)</f>
        <v>0</v>
      </c>
      <c r="U50" s="154">
        <v>0</v>
      </c>
      <c r="V50" s="1">
        <f t="shared" si="43"/>
        <v>0</v>
      </c>
      <c r="W50" s="1">
        <v>0</v>
      </c>
      <c r="X50" s="1">
        <v>0</v>
      </c>
      <c r="Y50" s="3">
        <f t="shared" si="18"/>
        <v>0</v>
      </c>
      <c r="Z50" s="2">
        <f>SUMIF('March 2027'!$B:$B,'PTO SUMMARY 2027'!M50,'March 2027'!$AK:$AK)</f>
        <v>0</v>
      </c>
      <c r="AA50" s="1">
        <f t="shared" si="29"/>
        <v>0</v>
      </c>
      <c r="AB50" s="1">
        <v>0</v>
      </c>
      <c r="AC50" s="1">
        <v>0</v>
      </c>
      <c r="AD50" s="3">
        <v>0</v>
      </c>
      <c r="AE50" s="31">
        <f t="shared" si="41"/>
        <v>0</v>
      </c>
      <c r="AF50" s="31">
        <v>0</v>
      </c>
      <c r="AG50" s="30">
        <f t="shared" si="44"/>
        <v>0</v>
      </c>
      <c r="AH50" s="2">
        <f t="shared" si="19"/>
        <v>0</v>
      </c>
      <c r="AI50" s="2">
        <f>SUMIF('April 2027'!$B:$B,'PTO SUMMARY 2027'!V50,'April 2027'!$AK:$AK)</f>
        <v>0</v>
      </c>
      <c r="AJ50" s="1">
        <f t="shared" si="45"/>
        <v>0</v>
      </c>
      <c r="AK50" s="1">
        <v>0</v>
      </c>
      <c r="AL50" s="1">
        <v>0</v>
      </c>
      <c r="AM50" s="3">
        <f t="shared" si="20"/>
        <v>0</v>
      </c>
      <c r="AN50" s="2">
        <f>SUMIF('May 2027'!$B:$B,'PTO SUMMARY 2027'!AA50,'May 2027'!$AK:$AK)</f>
        <v>0</v>
      </c>
      <c r="AO50" s="1">
        <f t="shared" si="46"/>
        <v>0</v>
      </c>
      <c r="AP50" s="1">
        <v>0</v>
      </c>
      <c r="AQ50" s="1">
        <v>0</v>
      </c>
      <c r="AR50" s="3">
        <f t="shared" si="21"/>
        <v>0</v>
      </c>
      <c r="AS50" s="2">
        <f>SUMIF('June 2027'!$B:$B,'PTO SUMMARY 2027'!AF50,'June 2027'!$AK:$AK)</f>
        <v>0</v>
      </c>
      <c r="AT50" s="1">
        <f t="shared" si="47"/>
        <v>0</v>
      </c>
      <c r="AU50" s="1">
        <v>0</v>
      </c>
      <c r="AV50" s="1">
        <v>0</v>
      </c>
      <c r="AW50" s="3">
        <v>0</v>
      </c>
      <c r="AX50" s="31">
        <v>0</v>
      </c>
      <c r="AY50" s="31">
        <v>0</v>
      </c>
      <c r="AZ50" s="30">
        <f t="shared" si="8"/>
        <v>0</v>
      </c>
      <c r="BA50" s="3">
        <f t="shared" si="22"/>
        <v>0</v>
      </c>
      <c r="BB50" s="2">
        <f>SUMIF('July 2027'!$B:$B,'PTO SUMMARY 2027'!AK50,'July 2027'!$AK:$AK)</f>
        <v>0</v>
      </c>
      <c r="BC50" s="1">
        <f t="shared" si="9"/>
        <v>0</v>
      </c>
      <c r="BD50" s="1">
        <v>0</v>
      </c>
      <c r="BE50" s="1">
        <v>0</v>
      </c>
      <c r="BF50" s="3">
        <f t="shared" si="23"/>
        <v>0</v>
      </c>
      <c r="BG50" s="2">
        <f>SUMIF('August 2027'!$B:$B,'PTO SUMMARY 2027'!AP50,'August 2027'!$AK:$AK)</f>
        <v>0</v>
      </c>
      <c r="BH50" s="1">
        <f t="shared" si="52"/>
        <v>0</v>
      </c>
      <c r="BI50" s="1">
        <v>0</v>
      </c>
      <c r="BJ50" s="1">
        <v>0</v>
      </c>
      <c r="BK50" s="3">
        <f t="shared" si="24"/>
        <v>0</v>
      </c>
      <c r="BL50" s="2">
        <f>SUMIF('September 2027'!$B:$B,'PTO SUMMARY 2027'!AU50,'September 2027'!$AK:$AK)</f>
        <v>0</v>
      </c>
      <c r="BM50" s="1">
        <f t="shared" si="48"/>
        <v>0</v>
      </c>
      <c r="BN50" s="1">
        <v>0</v>
      </c>
      <c r="BO50" s="1">
        <v>0</v>
      </c>
      <c r="BP50" s="3">
        <v>0</v>
      </c>
      <c r="BQ50" s="31">
        <v>0</v>
      </c>
      <c r="BR50" s="31">
        <v>0</v>
      </c>
      <c r="BS50" s="30">
        <f t="shared" si="12"/>
        <v>0</v>
      </c>
      <c r="BT50" s="3">
        <f t="shared" si="25"/>
        <v>0</v>
      </c>
      <c r="BU50" s="2">
        <f>SUMIF('October 2027'!$B:$B,'PTO SUMMARY 2027'!BH50,'October 2027'!$AK:$AK)</f>
        <v>0</v>
      </c>
      <c r="BV50" s="1">
        <f t="shared" si="49"/>
        <v>0</v>
      </c>
      <c r="BW50" s="1">
        <v>0</v>
      </c>
      <c r="BX50" s="1">
        <v>0</v>
      </c>
      <c r="BY50" s="3">
        <f t="shared" si="26"/>
        <v>0</v>
      </c>
      <c r="BZ50" s="2">
        <f>SUMIF('November 2027'!$B:$B,'PTO SUMMARY 2027'!BM50,'November 2027'!$AK:$AK)</f>
        <v>0</v>
      </c>
      <c r="CA50" s="1">
        <f t="shared" si="50"/>
        <v>0</v>
      </c>
      <c r="CB50" s="1">
        <v>0</v>
      </c>
      <c r="CC50" s="1">
        <v>0</v>
      </c>
      <c r="CD50" s="3">
        <f t="shared" si="27"/>
        <v>0</v>
      </c>
      <c r="CE50" s="2">
        <f>SUMIF('December 2027'!$B:$B,'PTO SUMMARY 2027'!$B:$B,'December 2027'!$AK:$AK)</f>
        <v>0</v>
      </c>
      <c r="CF50" s="1">
        <f t="shared" si="51"/>
        <v>0</v>
      </c>
      <c r="CG50" s="1">
        <v>0</v>
      </c>
      <c r="CH50" s="1">
        <v>0</v>
      </c>
      <c r="CI50" s="1">
        <v>0</v>
      </c>
      <c r="CJ50" s="3">
        <v>0</v>
      </c>
      <c r="CK50" s="31">
        <v>0</v>
      </c>
      <c r="CL50" s="31">
        <v>0</v>
      </c>
      <c r="CM50" s="31">
        <v>0</v>
      </c>
      <c r="CN50" s="30">
        <f t="shared" si="28"/>
        <v>0</v>
      </c>
    </row>
    <row r="51" spans="1:92">
      <c r="A51" s="35" t="s">
        <v>177</v>
      </c>
      <c r="B51" s="8" t="s">
        <v>178</v>
      </c>
      <c r="C51" s="8" t="s">
        <v>75</v>
      </c>
      <c r="D51" s="9" t="s">
        <v>65</v>
      </c>
      <c r="E51" t="s">
        <v>95</v>
      </c>
      <c r="F51" s="12" t="s">
        <v>72</v>
      </c>
      <c r="G51" s="7">
        <v>1</v>
      </c>
      <c r="H51" s="34">
        <v>0</v>
      </c>
      <c r="I51" s="33">
        <v>0</v>
      </c>
      <c r="J51" s="1">
        <v>0</v>
      </c>
      <c r="K51" s="1">
        <v>0</v>
      </c>
      <c r="L51" s="1">
        <v>0</v>
      </c>
      <c r="M51" s="32">
        <v>0</v>
      </c>
      <c r="N51" s="2">
        <f t="shared" si="16"/>
        <v>0</v>
      </c>
      <c r="O51" s="2">
        <f>SUMIF('January 2027'!$B:$B,'PTO SUMMARY 2027'!B51,'January 2027'!$AK:$AK)</f>
        <v>0</v>
      </c>
      <c r="P51" s="1">
        <f t="shared" si="42"/>
        <v>0</v>
      </c>
      <c r="Q51" s="1">
        <v>0</v>
      </c>
      <c r="R51" s="1">
        <v>0</v>
      </c>
      <c r="S51" s="3">
        <f t="shared" si="17"/>
        <v>0</v>
      </c>
      <c r="T51" s="2">
        <f>SUMIF('February 2027'!$B:$B,'PTO SUMMARY 2027'!G51,'February 2027'!$AK:$AK)</f>
        <v>0</v>
      </c>
      <c r="U51" s="154">
        <v>0</v>
      </c>
      <c r="V51" s="1">
        <f t="shared" si="43"/>
        <v>0</v>
      </c>
      <c r="W51" s="1">
        <v>0</v>
      </c>
      <c r="X51" s="1">
        <v>0</v>
      </c>
      <c r="Y51" s="3">
        <f t="shared" si="18"/>
        <v>0</v>
      </c>
      <c r="Z51" s="2">
        <f>SUMIF('March 2027'!$B:$B,'PTO SUMMARY 2027'!M51,'March 2027'!$AK:$AK)</f>
        <v>0</v>
      </c>
      <c r="AA51" s="1">
        <f t="shared" ref="AA51:AA82" si="53">V51+Y51-Z51</f>
        <v>0</v>
      </c>
      <c r="AB51" s="1">
        <v>0</v>
      </c>
      <c r="AC51" s="1">
        <v>0</v>
      </c>
      <c r="AD51" s="3">
        <v>0</v>
      </c>
      <c r="AE51" s="31">
        <f t="shared" si="41"/>
        <v>0</v>
      </c>
      <c r="AF51" s="31">
        <v>0</v>
      </c>
      <c r="AG51" s="30">
        <f t="shared" si="44"/>
        <v>0</v>
      </c>
      <c r="AH51" s="2">
        <f t="shared" si="19"/>
        <v>0</v>
      </c>
      <c r="AI51" s="2">
        <f>SUMIF('April 2027'!$B:$B,'PTO SUMMARY 2027'!V51,'April 2027'!$AK:$AK)</f>
        <v>0</v>
      </c>
      <c r="AJ51" s="1">
        <f t="shared" si="45"/>
        <v>0</v>
      </c>
      <c r="AK51" s="1">
        <v>0</v>
      </c>
      <c r="AL51" s="1">
        <v>0</v>
      </c>
      <c r="AM51" s="3">
        <f t="shared" si="20"/>
        <v>0</v>
      </c>
      <c r="AN51" s="2">
        <f>SUMIF('May 2027'!$B:$B,'PTO SUMMARY 2027'!AA51,'May 2027'!$AK:$AK)</f>
        <v>0</v>
      </c>
      <c r="AO51" s="1">
        <f t="shared" si="46"/>
        <v>0</v>
      </c>
      <c r="AP51" s="1">
        <v>0</v>
      </c>
      <c r="AQ51" s="1">
        <v>0</v>
      </c>
      <c r="AR51" s="3">
        <f t="shared" si="21"/>
        <v>0</v>
      </c>
      <c r="AS51" s="2">
        <f>SUMIF('June 2027'!$B:$B,'PTO SUMMARY 2027'!AF51,'June 2027'!$AK:$AK)</f>
        <v>0</v>
      </c>
      <c r="AT51" s="1">
        <f t="shared" si="47"/>
        <v>0</v>
      </c>
      <c r="AU51" s="1">
        <v>0</v>
      </c>
      <c r="AV51" s="1">
        <v>0</v>
      </c>
      <c r="AW51" s="3">
        <v>0</v>
      </c>
      <c r="AX51" s="31">
        <v>0</v>
      </c>
      <c r="AY51" s="31">
        <v>0</v>
      </c>
      <c r="AZ51" s="30">
        <f t="shared" si="8"/>
        <v>0</v>
      </c>
      <c r="BA51" s="3">
        <f t="shared" si="22"/>
        <v>0</v>
      </c>
      <c r="BB51" s="2">
        <f>SUMIF('July 2027'!$B:$B,'PTO SUMMARY 2027'!AK51,'July 2027'!$AK:$AK)</f>
        <v>0</v>
      </c>
      <c r="BC51" s="1">
        <f t="shared" si="9"/>
        <v>0</v>
      </c>
      <c r="BD51" s="1">
        <v>0</v>
      </c>
      <c r="BE51" s="1">
        <v>0</v>
      </c>
      <c r="BF51" s="3">
        <f t="shared" si="23"/>
        <v>0</v>
      </c>
      <c r="BG51" s="2">
        <f>SUMIF('August 2027'!$B:$B,'PTO SUMMARY 2027'!AP51,'August 2027'!$AK:$AK)</f>
        <v>0</v>
      </c>
      <c r="BH51" s="1">
        <f t="shared" si="52"/>
        <v>0</v>
      </c>
      <c r="BI51" s="1">
        <v>0</v>
      </c>
      <c r="BJ51" s="1">
        <v>0</v>
      </c>
      <c r="BK51" s="3">
        <f t="shared" si="24"/>
        <v>0</v>
      </c>
      <c r="BL51" s="2">
        <f>SUMIF('September 2027'!$B:$B,'PTO SUMMARY 2027'!AU51,'September 2027'!$AK:$AK)</f>
        <v>0</v>
      </c>
      <c r="BM51" s="1">
        <f t="shared" si="48"/>
        <v>0</v>
      </c>
      <c r="BN51" s="1">
        <v>0</v>
      </c>
      <c r="BO51" s="1">
        <v>0</v>
      </c>
      <c r="BP51" s="3">
        <v>0</v>
      </c>
      <c r="BQ51" s="31">
        <v>0</v>
      </c>
      <c r="BR51" s="31">
        <v>0</v>
      </c>
      <c r="BS51" s="30">
        <f t="shared" si="12"/>
        <v>0</v>
      </c>
      <c r="BT51" s="3">
        <f t="shared" si="25"/>
        <v>0</v>
      </c>
      <c r="BU51" s="2">
        <f>SUMIF('October 2027'!$B:$B,'PTO SUMMARY 2027'!BH51,'October 2027'!$AK:$AK)</f>
        <v>0</v>
      </c>
      <c r="BV51" s="1">
        <f t="shared" si="49"/>
        <v>0</v>
      </c>
      <c r="BW51" s="1">
        <v>0</v>
      </c>
      <c r="BX51" s="1">
        <v>0</v>
      </c>
      <c r="BY51" s="3">
        <f t="shared" si="26"/>
        <v>0</v>
      </c>
      <c r="BZ51" s="2">
        <f>SUMIF('November 2027'!$B:$B,'PTO SUMMARY 2027'!BM51,'November 2027'!$AK:$AK)</f>
        <v>0</v>
      </c>
      <c r="CA51" s="1">
        <f t="shared" si="50"/>
        <v>0</v>
      </c>
      <c r="CB51" s="1">
        <v>0</v>
      </c>
      <c r="CC51" s="1">
        <v>0</v>
      </c>
      <c r="CD51" s="3">
        <f t="shared" si="27"/>
        <v>0</v>
      </c>
      <c r="CE51" s="2">
        <f>SUMIF('December 2027'!$B:$B,'PTO SUMMARY 2027'!$B:$B,'December 2027'!$AK:$AK)</f>
        <v>0</v>
      </c>
      <c r="CF51" s="1">
        <f t="shared" si="51"/>
        <v>0</v>
      </c>
      <c r="CG51" s="1">
        <v>0</v>
      </c>
      <c r="CH51" s="1">
        <v>0</v>
      </c>
      <c r="CI51" s="1">
        <v>0</v>
      </c>
      <c r="CJ51" s="3">
        <v>0</v>
      </c>
      <c r="CK51" s="31">
        <v>0</v>
      </c>
      <c r="CL51" s="31">
        <v>0</v>
      </c>
      <c r="CM51" s="31">
        <v>0</v>
      </c>
      <c r="CN51" s="30">
        <f t="shared" si="28"/>
        <v>0</v>
      </c>
    </row>
    <row r="52" spans="1:92">
      <c r="A52" s="8" t="s">
        <v>179</v>
      </c>
      <c r="B52" s="41" t="s">
        <v>180</v>
      </c>
      <c r="C52" s="8" t="s">
        <v>75</v>
      </c>
      <c r="D52" s="9" t="s">
        <v>70</v>
      </c>
      <c r="E52" t="s">
        <v>76</v>
      </c>
      <c r="F52" s="12" t="s">
        <v>80</v>
      </c>
      <c r="G52" s="7">
        <v>1</v>
      </c>
      <c r="H52" s="11">
        <f>((G52*86.67)*2)*(SUMIF('Accrual Rates'!B:B,'PTO SUMMARY 2027'!B52,'Accrual Rates'!G:G))</f>
        <v>13.3333128</v>
      </c>
      <c r="I52" s="33">
        <v>0</v>
      </c>
      <c r="J52" s="1">
        <v>0</v>
      </c>
      <c r="K52" s="1">
        <v>0</v>
      </c>
      <c r="L52" s="1">
        <v>0</v>
      </c>
      <c r="M52" s="32">
        <v>0</v>
      </c>
      <c r="N52" s="2">
        <f t="shared" si="16"/>
        <v>13.3333128</v>
      </c>
      <c r="O52" s="2">
        <f>SUMIF('January 2027'!$B:$B,'PTO SUMMARY 2027'!B52,'January 2027'!$AK:$AK)</f>
        <v>0</v>
      </c>
      <c r="P52" s="1">
        <f t="shared" ref="P52" si="54">L52+M52+N52-O52</f>
        <v>13.3333128</v>
      </c>
      <c r="Q52" s="1">
        <v>0</v>
      </c>
      <c r="R52" s="1">
        <v>0</v>
      </c>
      <c r="S52" s="3">
        <f t="shared" si="17"/>
        <v>13.3333128</v>
      </c>
      <c r="T52" s="2">
        <f>SUMIF('February 2027'!$B:$B,'PTO SUMMARY 2027'!G52,'February 2027'!$AK:$AK)</f>
        <v>0</v>
      </c>
      <c r="U52" s="154">
        <v>0</v>
      </c>
      <c r="V52" s="1">
        <f t="shared" ref="V52" si="55">P52+S52-T52</f>
        <v>26.6666256</v>
      </c>
      <c r="W52" s="1">
        <v>0</v>
      </c>
      <c r="X52" s="1">
        <v>0</v>
      </c>
      <c r="Y52" s="3">
        <f t="shared" si="18"/>
        <v>13.3333128</v>
      </c>
      <c r="Z52" s="2">
        <f>SUMIF('March 2027'!$B:$B,'PTO SUMMARY 2027'!M52,'March 2027'!$AK:$AK)</f>
        <v>0</v>
      </c>
      <c r="AA52" s="1">
        <f t="shared" si="53"/>
        <v>39.999938399999998</v>
      </c>
      <c r="AB52" s="1">
        <v>0</v>
      </c>
      <c r="AC52" s="1">
        <v>0</v>
      </c>
      <c r="AD52" s="3">
        <v>0</v>
      </c>
      <c r="AE52" s="31">
        <f t="shared" si="41"/>
        <v>0</v>
      </c>
      <c r="AF52" s="31">
        <v>0</v>
      </c>
      <c r="AG52" s="30">
        <f t="shared" ref="AG52" si="56">AE52-AF52</f>
        <v>0</v>
      </c>
      <c r="AH52" s="2">
        <f t="shared" si="19"/>
        <v>13.3333128</v>
      </c>
      <c r="AI52" s="2">
        <f>SUMIF('April 2027'!$B:$B,'PTO SUMMARY 2027'!V52,'April 2027'!$AK:$AK)</f>
        <v>0</v>
      </c>
      <c r="AJ52" s="1">
        <f t="shared" ref="AJ52" si="57">AA52+AH52-AI52</f>
        <v>53.333251199999999</v>
      </c>
      <c r="AK52" s="1">
        <v>0</v>
      </c>
      <c r="AL52" s="1">
        <v>0</v>
      </c>
      <c r="AM52" s="3">
        <f t="shared" si="20"/>
        <v>13.3333128</v>
      </c>
      <c r="AN52" s="2">
        <f>SUMIF('May 2027'!$B:$B,'PTO SUMMARY 2027'!AA52,'May 2027'!$AK:$AK)</f>
        <v>0</v>
      </c>
      <c r="AO52" s="1">
        <f t="shared" ref="AO52" si="58">ROUND((AJ52+AM52-AN52),2)</f>
        <v>66.67</v>
      </c>
      <c r="AP52" s="1">
        <v>0</v>
      </c>
      <c r="AQ52" s="1">
        <v>0</v>
      </c>
      <c r="AR52" s="3">
        <f t="shared" si="21"/>
        <v>13.3333128</v>
      </c>
      <c r="AS52" s="2">
        <f>SUMIF('June 2027'!$B:$B,'PTO SUMMARY 2027'!AF52,'June 2027'!$AK:$AK)</f>
        <v>0</v>
      </c>
      <c r="AT52" s="1">
        <f t="shared" ref="AT52" si="59">AO52+AR52-AS52</f>
        <v>80.003312800000003</v>
      </c>
      <c r="AU52" s="1">
        <v>0</v>
      </c>
      <c r="AV52" s="1">
        <v>0</v>
      </c>
      <c r="AW52" s="3">
        <v>0</v>
      </c>
      <c r="AX52" s="31">
        <v>0</v>
      </c>
      <c r="AY52" s="31">
        <v>0</v>
      </c>
      <c r="AZ52" s="30">
        <f t="shared" si="8"/>
        <v>0</v>
      </c>
      <c r="BA52" s="3">
        <f t="shared" si="22"/>
        <v>13.3333128</v>
      </c>
      <c r="BB52" s="2">
        <f>SUMIF('July 2027'!$B:$B,'PTO SUMMARY 2027'!AK52,'July 2027'!$AK:$AK)</f>
        <v>0</v>
      </c>
      <c r="BC52" s="1">
        <f t="shared" si="9"/>
        <v>93.336625600000005</v>
      </c>
      <c r="BD52" s="1">
        <v>0</v>
      </c>
      <c r="BE52" s="1">
        <v>0</v>
      </c>
      <c r="BF52" s="3">
        <f t="shared" si="23"/>
        <v>13.3333128</v>
      </c>
      <c r="BG52" s="2">
        <f>SUMIF('August 2027'!$B:$B,'PTO SUMMARY 2027'!AP52,'August 2027'!$AK:$AK)</f>
        <v>0</v>
      </c>
      <c r="BH52" s="1">
        <f t="shared" ref="BH52" si="60">BC52+BF52-BG52</f>
        <v>106.66993840000001</v>
      </c>
      <c r="BI52" s="1">
        <v>0</v>
      </c>
      <c r="BJ52" s="1">
        <v>0</v>
      </c>
      <c r="BK52" s="3">
        <f t="shared" si="24"/>
        <v>13.3333128</v>
      </c>
      <c r="BL52" s="2">
        <f>SUMIF('September 2027'!$B:$B,'PTO SUMMARY 2027'!AU52,'September 2027'!$AK:$AK)</f>
        <v>0</v>
      </c>
      <c r="BM52" s="1">
        <f t="shared" ref="BM52" si="61">BH52+BK52-BL52</f>
        <v>120.00325120000001</v>
      </c>
      <c r="BN52" s="1">
        <v>0</v>
      </c>
      <c r="BO52" s="1">
        <v>0</v>
      </c>
      <c r="BP52" s="3">
        <v>0</v>
      </c>
      <c r="BQ52" s="31">
        <v>0</v>
      </c>
      <c r="BR52" s="31">
        <v>0</v>
      </c>
      <c r="BS52" s="30">
        <f t="shared" si="12"/>
        <v>0</v>
      </c>
      <c r="BT52" s="3">
        <f t="shared" si="25"/>
        <v>13.3333128</v>
      </c>
      <c r="BU52" s="2">
        <f>SUMIF('October 2027'!$B:$B,'PTO SUMMARY 2027'!BH52,'October 2027'!$AK:$AK)</f>
        <v>0</v>
      </c>
      <c r="BV52" s="1">
        <f t="shared" ref="BV52" si="62">BM52+BT52-BU52</f>
        <v>133.33656400000001</v>
      </c>
      <c r="BW52" s="1">
        <v>0</v>
      </c>
      <c r="BX52" s="1">
        <v>0</v>
      </c>
      <c r="BY52" s="3">
        <f t="shared" si="26"/>
        <v>13.3333128</v>
      </c>
      <c r="BZ52" s="2">
        <f>SUMIF('November 2027'!$B:$B,'PTO SUMMARY 2027'!BM52,'November 2027'!$AK:$AK)</f>
        <v>0</v>
      </c>
      <c r="CA52" s="1">
        <f t="shared" ref="CA52" si="63">BV52+BY52-BZ52</f>
        <v>146.6698768</v>
      </c>
      <c r="CB52" s="1">
        <v>0</v>
      </c>
      <c r="CC52" s="1">
        <v>0</v>
      </c>
      <c r="CD52" s="3">
        <f t="shared" si="27"/>
        <v>13.3333128</v>
      </c>
      <c r="CE52" s="2">
        <f>SUMIF('December 2027'!$B:$B,'PTO SUMMARY 2027'!$B:$B,'December 2027'!$AK:$AK)</f>
        <v>0</v>
      </c>
      <c r="CF52" s="1">
        <f t="shared" ref="CF52" si="64">CA52+CD52-CE52</f>
        <v>160.00318959999998</v>
      </c>
      <c r="CG52" s="1">
        <v>0</v>
      </c>
      <c r="CH52" s="1">
        <v>0</v>
      </c>
      <c r="CI52" s="1">
        <v>0</v>
      </c>
      <c r="CJ52" s="3">
        <v>0</v>
      </c>
      <c r="CK52" s="31">
        <v>0</v>
      </c>
      <c r="CL52" s="31">
        <v>0</v>
      </c>
      <c r="CM52" s="31">
        <v>0</v>
      </c>
      <c r="CN52" s="30">
        <f t="shared" si="28"/>
        <v>0</v>
      </c>
    </row>
    <row r="53" spans="1:92">
      <c r="A53" s="8" t="s">
        <v>181</v>
      </c>
      <c r="B53" s="41" t="s">
        <v>182</v>
      </c>
      <c r="C53" s="8" t="s">
        <v>64</v>
      </c>
      <c r="D53" s="9" t="s">
        <v>70</v>
      </c>
      <c r="E53" t="s">
        <v>71</v>
      </c>
      <c r="F53" s="12" t="s">
        <v>67</v>
      </c>
      <c r="G53" s="7">
        <v>1</v>
      </c>
      <c r="H53" s="11">
        <f>((G53*86.67)*2)*(SUMIF('Accrual Rates'!B:B,'PTO SUMMARY 2027'!B53,'Accrual Rates'!G:G))</f>
        <v>13.3333128</v>
      </c>
      <c r="I53" s="33">
        <v>0</v>
      </c>
      <c r="J53" s="1">
        <v>0</v>
      </c>
      <c r="K53" s="1">
        <v>0</v>
      </c>
      <c r="L53" s="1">
        <v>0</v>
      </c>
      <c r="M53" s="32">
        <v>0</v>
      </c>
      <c r="N53" s="2">
        <f t="shared" si="16"/>
        <v>13.3333128</v>
      </c>
      <c r="O53" s="2">
        <f>SUMIF('January 2027'!$B:$B,'PTO SUMMARY 2027'!B53,'January 2027'!$AK:$AK)</f>
        <v>8</v>
      </c>
      <c r="P53" s="1">
        <f t="shared" si="42"/>
        <v>5.3333127999999999</v>
      </c>
      <c r="Q53" s="1">
        <v>0</v>
      </c>
      <c r="R53" s="1">
        <v>0</v>
      </c>
      <c r="S53" s="3">
        <f t="shared" si="17"/>
        <v>13.3333128</v>
      </c>
      <c r="T53" s="2">
        <f>SUMIF('February 2027'!$B:$B,'PTO SUMMARY 2027'!G53,'February 2027'!$AK:$AK)</f>
        <v>0</v>
      </c>
      <c r="U53" s="154">
        <v>0</v>
      </c>
      <c r="V53" s="1">
        <f t="shared" si="43"/>
        <v>18.6666256</v>
      </c>
      <c r="W53" s="1">
        <v>0</v>
      </c>
      <c r="X53" s="1">
        <v>0</v>
      </c>
      <c r="Y53" s="3">
        <f t="shared" si="18"/>
        <v>13.3333128</v>
      </c>
      <c r="Z53" s="2">
        <f>SUMIF('March 2027'!$B:$B,'PTO SUMMARY 2027'!M53,'March 2027'!$AK:$AK)</f>
        <v>0</v>
      </c>
      <c r="AA53" s="1">
        <f t="shared" si="53"/>
        <v>31.999938399999998</v>
      </c>
      <c r="AB53" s="1">
        <v>0</v>
      </c>
      <c r="AC53" s="1">
        <v>0</v>
      </c>
      <c r="AD53" s="3">
        <v>0</v>
      </c>
      <c r="AE53" s="31">
        <f t="shared" si="41"/>
        <v>0</v>
      </c>
      <c r="AF53" s="31">
        <v>0</v>
      </c>
      <c r="AG53" s="30">
        <f t="shared" si="44"/>
        <v>0</v>
      </c>
      <c r="AH53" s="2">
        <f t="shared" si="19"/>
        <v>13.3333128</v>
      </c>
      <c r="AI53" s="2">
        <f>SUMIF('April 2027'!$B:$B,'PTO SUMMARY 2027'!V53,'April 2027'!$AK:$AK)</f>
        <v>0</v>
      </c>
      <c r="AJ53" s="1">
        <f t="shared" si="45"/>
        <v>45.333251199999999</v>
      </c>
      <c r="AK53" s="1">
        <v>0</v>
      </c>
      <c r="AL53" s="1">
        <v>0</v>
      </c>
      <c r="AM53" s="3">
        <f t="shared" si="20"/>
        <v>13.3333128</v>
      </c>
      <c r="AN53" s="2">
        <f>SUMIF('May 2027'!$B:$B,'PTO SUMMARY 2027'!AA53,'May 2027'!$AK:$AK)</f>
        <v>0</v>
      </c>
      <c r="AO53" s="1">
        <f t="shared" si="46"/>
        <v>58.67</v>
      </c>
      <c r="AP53" s="1">
        <v>0</v>
      </c>
      <c r="AQ53" s="1">
        <v>0</v>
      </c>
      <c r="AR53" s="3">
        <f t="shared" si="21"/>
        <v>13.3333128</v>
      </c>
      <c r="AS53" s="2">
        <f>SUMIF('June 2027'!$B:$B,'PTO SUMMARY 2027'!AF53,'June 2027'!$AK:$AK)</f>
        <v>0</v>
      </c>
      <c r="AT53" s="1">
        <f t="shared" si="47"/>
        <v>72.003312800000003</v>
      </c>
      <c r="AU53" s="1">
        <v>0</v>
      </c>
      <c r="AV53" s="1">
        <v>0</v>
      </c>
      <c r="AW53" s="3">
        <v>0</v>
      </c>
      <c r="AX53" s="31">
        <v>0</v>
      </c>
      <c r="AY53" s="31">
        <v>0</v>
      </c>
      <c r="AZ53" s="30">
        <f t="shared" si="8"/>
        <v>0</v>
      </c>
      <c r="BA53" s="3">
        <f t="shared" si="22"/>
        <v>13.3333128</v>
      </c>
      <c r="BB53" s="2">
        <f>SUMIF('July 2027'!$B:$B,'PTO SUMMARY 2027'!AK53,'July 2027'!$AK:$AK)</f>
        <v>0</v>
      </c>
      <c r="BC53" s="1">
        <f t="shared" si="9"/>
        <v>85.336625600000005</v>
      </c>
      <c r="BD53" s="1">
        <v>0</v>
      </c>
      <c r="BE53" s="1">
        <v>0</v>
      </c>
      <c r="BF53" s="3">
        <f t="shared" si="23"/>
        <v>13.3333128</v>
      </c>
      <c r="BG53" s="2">
        <f>SUMIF('August 2027'!$B:$B,'PTO SUMMARY 2027'!AP53,'August 2027'!$AK:$AK)</f>
        <v>0</v>
      </c>
      <c r="BH53" s="1">
        <f t="shared" si="52"/>
        <v>98.669938400000007</v>
      </c>
      <c r="BI53" s="1">
        <v>0</v>
      </c>
      <c r="BJ53" s="1">
        <v>0</v>
      </c>
      <c r="BK53" s="3">
        <f t="shared" si="24"/>
        <v>13.3333128</v>
      </c>
      <c r="BL53" s="2">
        <f>SUMIF('September 2027'!$B:$B,'PTO SUMMARY 2027'!AU53,'September 2027'!$AK:$AK)</f>
        <v>0</v>
      </c>
      <c r="BM53" s="1">
        <f t="shared" si="48"/>
        <v>112.00325120000001</v>
      </c>
      <c r="BN53" s="1">
        <v>0</v>
      </c>
      <c r="BO53" s="1">
        <v>0</v>
      </c>
      <c r="BP53" s="3">
        <v>0</v>
      </c>
      <c r="BQ53" s="31">
        <v>0</v>
      </c>
      <c r="BR53" s="31">
        <v>0</v>
      </c>
      <c r="BS53" s="30">
        <f t="shared" si="12"/>
        <v>0</v>
      </c>
      <c r="BT53" s="3">
        <f t="shared" si="25"/>
        <v>13.3333128</v>
      </c>
      <c r="BU53" s="2">
        <f>SUMIF('October 2027'!$B:$B,'PTO SUMMARY 2027'!BH53,'October 2027'!$AK:$AK)</f>
        <v>0</v>
      </c>
      <c r="BV53" s="1">
        <f t="shared" si="49"/>
        <v>125.33656400000001</v>
      </c>
      <c r="BW53" s="1">
        <v>0</v>
      </c>
      <c r="BX53" s="1">
        <v>0</v>
      </c>
      <c r="BY53" s="3">
        <f t="shared" si="26"/>
        <v>13.3333128</v>
      </c>
      <c r="BZ53" s="2">
        <f>SUMIF('November 2027'!$B:$B,'PTO SUMMARY 2027'!BM53,'November 2027'!$AK:$AK)</f>
        <v>0</v>
      </c>
      <c r="CA53" s="1">
        <f t="shared" si="50"/>
        <v>138.6698768</v>
      </c>
      <c r="CB53" s="1">
        <v>0</v>
      </c>
      <c r="CC53" s="1">
        <v>0</v>
      </c>
      <c r="CD53" s="3">
        <f t="shared" si="27"/>
        <v>13.3333128</v>
      </c>
      <c r="CE53" s="2">
        <f>SUMIF('December 2027'!$B:$B,'PTO SUMMARY 2027'!$B:$B,'December 2027'!$AK:$AK)</f>
        <v>0</v>
      </c>
      <c r="CF53" s="1">
        <f t="shared" si="51"/>
        <v>152.00318959999998</v>
      </c>
      <c r="CG53" s="1">
        <v>0</v>
      </c>
      <c r="CH53" s="1">
        <v>0</v>
      </c>
      <c r="CI53" s="1">
        <v>0</v>
      </c>
      <c r="CJ53" s="3">
        <v>0</v>
      </c>
      <c r="CK53" s="31">
        <v>0</v>
      </c>
      <c r="CL53" s="31">
        <v>0</v>
      </c>
      <c r="CM53" s="31">
        <v>0</v>
      </c>
      <c r="CN53" s="30">
        <f t="shared" si="28"/>
        <v>0</v>
      </c>
    </row>
    <row r="54" spans="1:92">
      <c r="A54" s="35" t="s">
        <v>183</v>
      </c>
      <c r="B54" s="8" t="s">
        <v>184</v>
      </c>
      <c r="C54" s="8" t="s">
        <v>64</v>
      </c>
      <c r="D54" s="9" t="s">
        <v>65</v>
      </c>
      <c r="E54" t="s">
        <v>185</v>
      </c>
      <c r="F54" s="12" t="s">
        <v>72</v>
      </c>
      <c r="G54" s="7">
        <v>1</v>
      </c>
      <c r="H54" s="148">
        <v>0</v>
      </c>
      <c r="I54" s="33">
        <v>0</v>
      </c>
      <c r="J54" s="1">
        <v>0</v>
      </c>
      <c r="K54" s="1">
        <v>0</v>
      </c>
      <c r="L54" s="1">
        <v>0</v>
      </c>
      <c r="M54" s="32">
        <v>0</v>
      </c>
      <c r="N54" s="2">
        <f t="shared" si="16"/>
        <v>0</v>
      </c>
      <c r="O54" s="2">
        <f>SUMIF('January 2027'!$B:$B,'PTO SUMMARY 2027'!B54,'January 2027'!$AK:$AK)</f>
        <v>0</v>
      </c>
      <c r="P54" s="1">
        <f t="shared" si="42"/>
        <v>0</v>
      </c>
      <c r="Q54" s="1">
        <v>0</v>
      </c>
      <c r="R54" s="1">
        <v>0</v>
      </c>
      <c r="S54" s="3">
        <f t="shared" si="17"/>
        <v>0</v>
      </c>
      <c r="T54" s="2">
        <f>SUMIF('February 2027'!$B:$B,'PTO SUMMARY 2027'!G54,'February 2027'!$AK:$AK)</f>
        <v>0</v>
      </c>
      <c r="U54" s="154">
        <v>0</v>
      </c>
      <c r="V54" s="1">
        <f t="shared" si="43"/>
        <v>0</v>
      </c>
      <c r="W54" s="1">
        <v>0</v>
      </c>
      <c r="X54" s="1">
        <v>0</v>
      </c>
      <c r="Y54" s="3">
        <f t="shared" si="18"/>
        <v>0</v>
      </c>
      <c r="Z54" s="2">
        <f>SUMIF('March 2027'!$B:$B,'PTO SUMMARY 2027'!M54,'March 2027'!$AK:$AK)</f>
        <v>0</v>
      </c>
      <c r="AA54" s="1">
        <f t="shared" si="53"/>
        <v>0</v>
      </c>
      <c r="AB54" s="1">
        <v>0</v>
      </c>
      <c r="AC54" s="1">
        <v>0</v>
      </c>
      <c r="AD54" s="3">
        <v>0</v>
      </c>
      <c r="AE54" s="31">
        <f t="shared" si="41"/>
        <v>0</v>
      </c>
      <c r="AF54" s="31">
        <v>0</v>
      </c>
      <c r="AG54" s="30">
        <f t="shared" si="44"/>
        <v>0</v>
      </c>
      <c r="AH54" s="2">
        <f t="shared" si="19"/>
        <v>0</v>
      </c>
      <c r="AI54" s="2">
        <f>SUMIF('April 2027'!$B:$B,'PTO SUMMARY 2027'!V54,'April 2027'!$AK:$AK)</f>
        <v>0</v>
      </c>
      <c r="AJ54" s="1">
        <f t="shared" si="45"/>
        <v>0</v>
      </c>
      <c r="AK54" s="1">
        <v>0</v>
      </c>
      <c r="AL54" s="1">
        <v>0</v>
      </c>
      <c r="AM54" s="3">
        <f t="shared" si="20"/>
        <v>0</v>
      </c>
      <c r="AN54" s="2">
        <f>SUMIF('May 2027'!$B:$B,'PTO SUMMARY 2027'!AA54,'May 2027'!$AK:$AK)</f>
        <v>0</v>
      </c>
      <c r="AO54" s="1">
        <f t="shared" si="46"/>
        <v>0</v>
      </c>
      <c r="AP54" s="1">
        <v>0</v>
      </c>
      <c r="AQ54" s="1">
        <v>0</v>
      </c>
      <c r="AR54" s="3">
        <f t="shared" si="21"/>
        <v>0</v>
      </c>
      <c r="AS54" s="2">
        <f>SUMIF('June 2027'!$B:$B,'PTO SUMMARY 2027'!AF54,'June 2027'!$AK:$AK)</f>
        <v>0</v>
      </c>
      <c r="AT54" s="1">
        <f t="shared" si="47"/>
        <v>0</v>
      </c>
      <c r="AU54" s="1">
        <v>0</v>
      </c>
      <c r="AV54" s="1">
        <v>0</v>
      </c>
      <c r="AW54" s="3">
        <v>0</v>
      </c>
      <c r="AX54" s="31">
        <v>0</v>
      </c>
      <c r="AY54" s="31">
        <v>0</v>
      </c>
      <c r="AZ54" s="30">
        <f t="shared" si="8"/>
        <v>0</v>
      </c>
      <c r="BA54" s="3">
        <f t="shared" si="22"/>
        <v>0</v>
      </c>
      <c r="BB54" s="2">
        <f>SUMIF('July 2027'!$B:$B,'PTO SUMMARY 2027'!AK54,'July 2027'!$AK:$AK)</f>
        <v>0</v>
      </c>
      <c r="BC54" s="1">
        <f t="shared" si="9"/>
        <v>0</v>
      </c>
      <c r="BD54" s="1">
        <v>0</v>
      </c>
      <c r="BE54" s="1">
        <v>0</v>
      </c>
      <c r="BF54" s="3">
        <f t="shared" si="23"/>
        <v>0</v>
      </c>
      <c r="BG54" s="2">
        <f>SUMIF('August 2027'!$B:$B,'PTO SUMMARY 2027'!AP54,'August 2027'!$AK:$AK)</f>
        <v>0</v>
      </c>
      <c r="BH54" s="1">
        <f t="shared" si="52"/>
        <v>0</v>
      </c>
      <c r="BI54" s="1">
        <v>0</v>
      </c>
      <c r="BJ54" s="1">
        <v>0</v>
      </c>
      <c r="BK54" s="3">
        <f t="shared" si="24"/>
        <v>0</v>
      </c>
      <c r="BL54" s="2">
        <f>SUMIF('September 2027'!$B:$B,'PTO SUMMARY 2027'!AU54,'September 2027'!$AK:$AK)</f>
        <v>0</v>
      </c>
      <c r="BM54" s="1">
        <f t="shared" si="48"/>
        <v>0</v>
      </c>
      <c r="BN54" s="1">
        <v>0</v>
      </c>
      <c r="BO54" s="1">
        <v>0</v>
      </c>
      <c r="BP54" s="3">
        <v>0</v>
      </c>
      <c r="BQ54" s="31">
        <v>0</v>
      </c>
      <c r="BR54" s="31">
        <v>0</v>
      </c>
      <c r="BS54" s="30">
        <f t="shared" si="12"/>
        <v>0</v>
      </c>
      <c r="BT54" s="3">
        <f t="shared" si="25"/>
        <v>0</v>
      </c>
      <c r="BU54" s="2">
        <f>SUMIF('October 2027'!$B:$B,'PTO SUMMARY 2027'!BH54,'October 2027'!$AK:$AK)</f>
        <v>0</v>
      </c>
      <c r="BV54" s="1">
        <f t="shared" si="49"/>
        <v>0</v>
      </c>
      <c r="BW54" s="1">
        <v>0</v>
      </c>
      <c r="BX54" s="1">
        <v>0</v>
      </c>
      <c r="BY54" s="3">
        <f t="shared" si="26"/>
        <v>0</v>
      </c>
      <c r="BZ54" s="2">
        <f>SUMIF('November 2027'!$B:$B,'PTO SUMMARY 2027'!BM54,'November 2027'!$AK:$AK)</f>
        <v>0</v>
      </c>
      <c r="CA54" s="1">
        <f t="shared" si="50"/>
        <v>0</v>
      </c>
      <c r="CB54" s="1">
        <v>0</v>
      </c>
      <c r="CC54" s="1">
        <v>0</v>
      </c>
      <c r="CD54" s="3">
        <f t="shared" si="27"/>
        <v>0</v>
      </c>
      <c r="CE54" s="2">
        <f>SUMIF('December 2027'!$B:$B,'PTO SUMMARY 2027'!$B:$B,'December 2027'!$AK:$AK)</f>
        <v>0</v>
      </c>
      <c r="CF54" s="1">
        <f t="shared" si="51"/>
        <v>0</v>
      </c>
      <c r="CG54" s="1">
        <v>0</v>
      </c>
      <c r="CH54" s="1">
        <v>0</v>
      </c>
      <c r="CI54" s="1">
        <v>0</v>
      </c>
      <c r="CJ54" s="3">
        <v>0</v>
      </c>
      <c r="CK54" s="31">
        <v>0</v>
      </c>
      <c r="CL54" s="31">
        <v>0</v>
      </c>
      <c r="CM54" s="31">
        <v>0</v>
      </c>
      <c r="CN54" s="30">
        <f t="shared" si="28"/>
        <v>0</v>
      </c>
    </row>
    <row r="55" spans="1:92">
      <c r="A55" s="8" t="s">
        <v>186</v>
      </c>
      <c r="B55" s="40" t="s">
        <v>187</v>
      </c>
      <c r="C55" s="8" t="s">
        <v>75</v>
      </c>
      <c r="D55" s="9" t="s">
        <v>70</v>
      </c>
      <c r="E55" t="s">
        <v>76</v>
      </c>
      <c r="F55" s="12" t="s">
        <v>80</v>
      </c>
      <c r="G55" s="7">
        <v>0.8</v>
      </c>
      <c r="H55" s="11">
        <f>((G55*86.67)*2)*(SUMIF('Accrual Rates'!B:B,'PTO SUMMARY 2027'!B55,'Accrual Rates'!G:G))</f>
        <v>10.666650240000001</v>
      </c>
      <c r="I55" s="33">
        <v>0</v>
      </c>
      <c r="J55" s="1">
        <v>0</v>
      </c>
      <c r="K55" s="1">
        <v>0</v>
      </c>
      <c r="L55" s="1">
        <v>0</v>
      </c>
      <c r="M55" s="32">
        <v>0</v>
      </c>
      <c r="N55" s="2">
        <f t="shared" si="16"/>
        <v>10.666650240000001</v>
      </c>
      <c r="O55" s="2">
        <f>SUMIF('January 2027'!$B:$B,'PTO SUMMARY 2027'!B55,'January 2027'!$AK:$AK)</f>
        <v>0</v>
      </c>
      <c r="P55" s="1">
        <f t="shared" si="42"/>
        <v>10.666650240000001</v>
      </c>
      <c r="Q55" s="1">
        <v>0</v>
      </c>
      <c r="R55" s="1">
        <v>0</v>
      </c>
      <c r="S55" s="3">
        <f t="shared" si="17"/>
        <v>10.666650240000001</v>
      </c>
      <c r="T55" s="2">
        <f>SUMIF('February 2027'!$B:$B,'PTO SUMMARY 2027'!G55,'February 2027'!$AK:$AK)</f>
        <v>0</v>
      </c>
      <c r="U55" s="154">
        <v>0</v>
      </c>
      <c r="V55" s="1">
        <f t="shared" si="43"/>
        <v>21.333300480000002</v>
      </c>
      <c r="W55" s="1">
        <v>0</v>
      </c>
      <c r="X55" s="1">
        <v>0</v>
      </c>
      <c r="Y55" s="3">
        <f t="shared" si="18"/>
        <v>10.666650240000001</v>
      </c>
      <c r="Z55" s="2">
        <f>SUMIF('March 2027'!$B:$B,'PTO SUMMARY 2027'!M55,'March 2027'!$AK:$AK)</f>
        <v>0</v>
      </c>
      <c r="AA55" s="1">
        <f t="shared" si="53"/>
        <v>31.999950720000001</v>
      </c>
      <c r="AB55" s="1">
        <v>0</v>
      </c>
      <c r="AC55" s="1">
        <v>0</v>
      </c>
      <c r="AD55" s="3">
        <v>0</v>
      </c>
      <c r="AE55" s="31">
        <f t="shared" si="41"/>
        <v>0</v>
      </c>
      <c r="AF55" s="31">
        <v>0</v>
      </c>
      <c r="AG55" s="30">
        <f t="shared" si="44"/>
        <v>0</v>
      </c>
      <c r="AH55" s="2">
        <f t="shared" si="19"/>
        <v>10.666650240000001</v>
      </c>
      <c r="AI55" s="2">
        <f>SUMIF('April 2027'!$B:$B,'PTO SUMMARY 2027'!V55,'April 2027'!$AK:$AK)</f>
        <v>0</v>
      </c>
      <c r="AJ55" s="1">
        <f t="shared" si="45"/>
        <v>42.666600960000004</v>
      </c>
      <c r="AK55" s="1">
        <v>0</v>
      </c>
      <c r="AL55" s="1">
        <v>0</v>
      </c>
      <c r="AM55" s="3">
        <f t="shared" si="20"/>
        <v>10.666650240000001</v>
      </c>
      <c r="AN55" s="2">
        <f>SUMIF('May 2027'!$B:$B,'PTO SUMMARY 2027'!AA55,'May 2027'!$AK:$AK)</f>
        <v>0</v>
      </c>
      <c r="AO55" s="1">
        <f t="shared" si="46"/>
        <v>53.33</v>
      </c>
      <c r="AP55" s="1">
        <v>0</v>
      </c>
      <c r="AQ55" s="1">
        <v>0</v>
      </c>
      <c r="AR55" s="3">
        <f t="shared" si="21"/>
        <v>10.666650240000001</v>
      </c>
      <c r="AS55" s="2">
        <f>SUMIF('June 2027'!$B:$B,'PTO SUMMARY 2027'!AF55,'June 2027'!$AK:$AK)</f>
        <v>0</v>
      </c>
      <c r="AT55" s="1">
        <f t="shared" si="47"/>
        <v>63.996650240000001</v>
      </c>
      <c r="AU55" s="1">
        <v>0</v>
      </c>
      <c r="AV55" s="1">
        <v>0</v>
      </c>
      <c r="AW55" s="3">
        <v>0</v>
      </c>
      <c r="AX55" s="31">
        <v>0</v>
      </c>
      <c r="AY55" s="31">
        <v>0</v>
      </c>
      <c r="AZ55" s="30">
        <f t="shared" si="8"/>
        <v>0</v>
      </c>
      <c r="BA55" s="3">
        <f t="shared" si="22"/>
        <v>10.666650240000001</v>
      </c>
      <c r="BB55" s="2">
        <f>SUMIF('July 2027'!$B:$B,'PTO SUMMARY 2027'!AK55,'July 2027'!$AK:$AK)</f>
        <v>0</v>
      </c>
      <c r="BC55" s="1">
        <f t="shared" si="9"/>
        <v>74.663300480000004</v>
      </c>
      <c r="BD55" s="1">
        <v>0</v>
      </c>
      <c r="BE55" s="1">
        <v>0</v>
      </c>
      <c r="BF55" s="3">
        <f t="shared" si="23"/>
        <v>10.666650240000001</v>
      </c>
      <c r="BG55" s="2">
        <f>SUMIF('August 2027'!$B:$B,'PTO SUMMARY 2027'!AP55,'August 2027'!$AK:$AK)</f>
        <v>0</v>
      </c>
      <c r="BH55" s="1">
        <f t="shared" si="52"/>
        <v>85.329950719999999</v>
      </c>
      <c r="BI55" s="1">
        <v>0</v>
      </c>
      <c r="BJ55" s="1">
        <v>0</v>
      </c>
      <c r="BK55" s="3">
        <f t="shared" si="24"/>
        <v>10.666650240000001</v>
      </c>
      <c r="BL55" s="2">
        <f>SUMIF('September 2027'!$B:$B,'PTO SUMMARY 2027'!AU55,'September 2027'!$AK:$AK)</f>
        <v>0</v>
      </c>
      <c r="BM55" s="1">
        <f t="shared" si="48"/>
        <v>95.996600959999995</v>
      </c>
      <c r="BN55" s="1">
        <v>0</v>
      </c>
      <c r="BO55" s="1">
        <v>0</v>
      </c>
      <c r="BP55" s="3">
        <v>0</v>
      </c>
      <c r="BQ55" s="31">
        <v>0</v>
      </c>
      <c r="BR55" s="31">
        <v>0</v>
      </c>
      <c r="BS55" s="30">
        <f t="shared" si="12"/>
        <v>0</v>
      </c>
      <c r="BT55" s="3">
        <f t="shared" si="25"/>
        <v>10.666650240000001</v>
      </c>
      <c r="BU55" s="2">
        <f>SUMIF('October 2027'!$B:$B,'PTO SUMMARY 2027'!BH55,'October 2027'!$AK:$AK)</f>
        <v>0</v>
      </c>
      <c r="BV55" s="1">
        <f t="shared" si="49"/>
        <v>106.66325119999999</v>
      </c>
      <c r="BW55" s="1">
        <v>0</v>
      </c>
      <c r="BX55" s="1">
        <v>0</v>
      </c>
      <c r="BY55" s="3">
        <f t="shared" si="26"/>
        <v>10.666650240000001</v>
      </c>
      <c r="BZ55" s="2">
        <f>SUMIF('November 2027'!$B:$B,'PTO SUMMARY 2027'!BM55,'November 2027'!$AK:$AK)</f>
        <v>0</v>
      </c>
      <c r="CA55" s="1">
        <f t="shared" si="50"/>
        <v>117.32990143999999</v>
      </c>
      <c r="CB55" s="1">
        <v>0</v>
      </c>
      <c r="CC55" s="1">
        <v>0</v>
      </c>
      <c r="CD55" s="3">
        <f t="shared" si="27"/>
        <v>10.666650240000001</v>
      </c>
      <c r="CE55" s="2">
        <f>SUMIF('December 2027'!$B:$B,'PTO SUMMARY 2027'!$B:$B,'December 2027'!$AK:$AK)</f>
        <v>0</v>
      </c>
      <c r="CF55" s="1">
        <f t="shared" si="51"/>
        <v>127.99655167999998</v>
      </c>
      <c r="CG55" s="1">
        <v>0</v>
      </c>
      <c r="CH55" s="1">
        <v>0</v>
      </c>
      <c r="CI55" s="1">
        <v>0</v>
      </c>
      <c r="CJ55" s="3">
        <v>0</v>
      </c>
      <c r="CK55" s="31">
        <v>0</v>
      </c>
      <c r="CL55" s="31">
        <v>0</v>
      </c>
      <c r="CM55" s="31">
        <v>0</v>
      </c>
      <c r="CN55" s="30">
        <f t="shared" si="28"/>
        <v>0</v>
      </c>
    </row>
    <row r="56" spans="1:92">
      <c r="A56" s="35" t="s">
        <v>188</v>
      </c>
      <c r="B56" s="8" t="s">
        <v>189</v>
      </c>
      <c r="C56" s="8" t="s">
        <v>64</v>
      </c>
      <c r="D56" s="9" t="s">
        <v>65</v>
      </c>
      <c r="E56" s="36" t="s">
        <v>66</v>
      </c>
      <c r="F56" s="12" t="s">
        <v>190</v>
      </c>
      <c r="G56" s="7">
        <v>1</v>
      </c>
      <c r="H56" s="34">
        <v>0</v>
      </c>
      <c r="I56" s="33">
        <v>0</v>
      </c>
      <c r="J56" s="1">
        <v>0</v>
      </c>
      <c r="K56" s="1">
        <v>0</v>
      </c>
      <c r="L56" s="1">
        <v>0</v>
      </c>
      <c r="M56" s="32">
        <v>0</v>
      </c>
      <c r="N56" s="2">
        <f t="shared" si="16"/>
        <v>0</v>
      </c>
      <c r="O56" s="2">
        <f>SUMIF('January 2027'!$B:$B,'PTO SUMMARY 2027'!B56,'January 2027'!$AK:$AK)</f>
        <v>0</v>
      </c>
      <c r="P56" s="1">
        <f t="shared" si="42"/>
        <v>0</v>
      </c>
      <c r="Q56" s="1">
        <v>0</v>
      </c>
      <c r="R56" s="1">
        <v>0</v>
      </c>
      <c r="S56" s="3">
        <f t="shared" si="17"/>
        <v>0</v>
      </c>
      <c r="T56" s="2">
        <f>SUMIF('February 2027'!$B:$B,'PTO SUMMARY 2027'!G56,'February 2027'!$AK:$AK)</f>
        <v>0</v>
      </c>
      <c r="U56" s="154">
        <v>0</v>
      </c>
      <c r="V56" s="1">
        <f t="shared" si="43"/>
        <v>0</v>
      </c>
      <c r="W56" s="1">
        <v>0</v>
      </c>
      <c r="X56" s="1">
        <v>0</v>
      </c>
      <c r="Y56" s="3">
        <f t="shared" si="18"/>
        <v>0</v>
      </c>
      <c r="Z56" s="2">
        <f>SUMIF('March 2027'!$B:$B,'PTO SUMMARY 2027'!M56,'March 2027'!$AK:$AK)</f>
        <v>0</v>
      </c>
      <c r="AA56" s="1">
        <f t="shared" si="53"/>
        <v>0</v>
      </c>
      <c r="AB56" s="1">
        <v>0</v>
      </c>
      <c r="AC56" s="1">
        <v>0</v>
      </c>
      <c r="AD56" s="3">
        <v>0</v>
      </c>
      <c r="AE56" s="31">
        <f t="shared" si="41"/>
        <v>0</v>
      </c>
      <c r="AF56" s="31">
        <v>0</v>
      </c>
      <c r="AG56" s="30">
        <f t="shared" si="44"/>
        <v>0</v>
      </c>
      <c r="AH56" s="2">
        <f t="shared" si="19"/>
        <v>0</v>
      </c>
      <c r="AI56" s="2">
        <f>SUMIF('April 2027'!$B:$B,'PTO SUMMARY 2027'!V56,'April 2027'!$AK:$AK)</f>
        <v>0</v>
      </c>
      <c r="AJ56" s="1">
        <f t="shared" si="45"/>
        <v>0</v>
      </c>
      <c r="AK56" s="1">
        <v>0</v>
      </c>
      <c r="AL56" s="1">
        <v>0</v>
      </c>
      <c r="AM56" s="3">
        <f t="shared" si="20"/>
        <v>0</v>
      </c>
      <c r="AN56" s="2">
        <f>SUMIF('May 2027'!$B:$B,'PTO SUMMARY 2027'!AA56,'May 2027'!$AK:$AK)</f>
        <v>0</v>
      </c>
      <c r="AO56" s="1">
        <f t="shared" si="46"/>
        <v>0</v>
      </c>
      <c r="AP56" s="1">
        <v>0</v>
      </c>
      <c r="AQ56" s="1">
        <v>0</v>
      </c>
      <c r="AR56" s="3">
        <f t="shared" si="21"/>
        <v>0</v>
      </c>
      <c r="AS56" s="2">
        <f>SUMIF('June 2027'!$B:$B,'PTO SUMMARY 2027'!AF56,'June 2027'!$AK:$AK)</f>
        <v>0</v>
      </c>
      <c r="AT56" s="1">
        <f t="shared" si="47"/>
        <v>0</v>
      </c>
      <c r="AU56" s="1">
        <v>0</v>
      </c>
      <c r="AV56" s="1">
        <v>0</v>
      </c>
      <c r="AW56" s="3">
        <v>0</v>
      </c>
      <c r="AX56" s="31">
        <v>0</v>
      </c>
      <c r="AY56" s="31">
        <v>0</v>
      </c>
      <c r="AZ56" s="30">
        <f t="shared" si="8"/>
        <v>0</v>
      </c>
      <c r="BA56" s="3">
        <f t="shared" si="22"/>
        <v>0</v>
      </c>
      <c r="BB56" s="2">
        <f>SUMIF('July 2027'!$B:$B,'PTO SUMMARY 2027'!AK56,'July 2027'!$AK:$AK)</f>
        <v>0</v>
      </c>
      <c r="BC56" s="1">
        <f t="shared" si="9"/>
        <v>0</v>
      </c>
      <c r="BD56" s="1">
        <v>0</v>
      </c>
      <c r="BE56" s="1">
        <v>0</v>
      </c>
      <c r="BF56" s="3">
        <f t="shared" si="23"/>
        <v>0</v>
      </c>
      <c r="BG56" s="2">
        <f>SUMIF('August 2027'!$B:$B,'PTO SUMMARY 2027'!AP56,'August 2027'!$AK:$AK)</f>
        <v>0</v>
      </c>
      <c r="BH56" s="1">
        <f t="shared" si="52"/>
        <v>0</v>
      </c>
      <c r="BI56" s="1">
        <v>0</v>
      </c>
      <c r="BJ56" s="1">
        <v>0</v>
      </c>
      <c r="BK56" s="3">
        <f t="shared" si="24"/>
        <v>0</v>
      </c>
      <c r="BL56" s="2">
        <f>SUMIF('September 2027'!$B:$B,'PTO SUMMARY 2027'!AU56,'September 2027'!$AK:$AK)</f>
        <v>0</v>
      </c>
      <c r="BM56" s="1">
        <f t="shared" si="48"/>
        <v>0</v>
      </c>
      <c r="BN56" s="1">
        <v>0</v>
      </c>
      <c r="BO56" s="1">
        <v>0</v>
      </c>
      <c r="BP56" s="3">
        <v>0</v>
      </c>
      <c r="BQ56" s="31">
        <v>0</v>
      </c>
      <c r="BR56" s="31">
        <v>0</v>
      </c>
      <c r="BS56" s="30">
        <f t="shared" si="12"/>
        <v>0</v>
      </c>
      <c r="BT56" s="3">
        <f t="shared" si="25"/>
        <v>0</v>
      </c>
      <c r="BU56" s="2">
        <f>SUMIF('October 2027'!$B:$B,'PTO SUMMARY 2027'!BH56,'October 2027'!$AK:$AK)</f>
        <v>0</v>
      </c>
      <c r="BV56" s="1">
        <f t="shared" si="49"/>
        <v>0</v>
      </c>
      <c r="BW56" s="1">
        <v>0</v>
      </c>
      <c r="BX56" s="1">
        <v>0</v>
      </c>
      <c r="BY56" s="3">
        <f t="shared" si="26"/>
        <v>0</v>
      </c>
      <c r="BZ56" s="2">
        <f>SUMIF('November 2027'!$B:$B,'PTO SUMMARY 2027'!BM56,'November 2027'!$AK:$AK)</f>
        <v>0</v>
      </c>
      <c r="CA56" s="1">
        <f t="shared" si="50"/>
        <v>0</v>
      </c>
      <c r="CB56" s="1">
        <v>0</v>
      </c>
      <c r="CC56" s="1">
        <v>0</v>
      </c>
      <c r="CD56" s="3">
        <f t="shared" si="27"/>
        <v>0</v>
      </c>
      <c r="CE56" s="2">
        <f>SUMIF('December 2027'!$B:$B,'PTO SUMMARY 2027'!$B:$B,'December 2027'!$AK:$AK)</f>
        <v>0</v>
      </c>
      <c r="CF56" s="1">
        <f t="shared" si="51"/>
        <v>0</v>
      </c>
      <c r="CG56" s="1">
        <v>0</v>
      </c>
      <c r="CH56" s="1">
        <v>0</v>
      </c>
      <c r="CI56" s="1">
        <v>0</v>
      </c>
      <c r="CJ56" s="3">
        <v>0</v>
      </c>
      <c r="CK56" s="31">
        <v>0</v>
      </c>
      <c r="CL56" s="31">
        <v>0</v>
      </c>
      <c r="CM56" s="31">
        <v>0</v>
      </c>
      <c r="CN56" s="30">
        <f t="shared" si="28"/>
        <v>0</v>
      </c>
    </row>
    <row r="57" spans="1:92">
      <c r="A57" s="8" t="s">
        <v>191</v>
      </c>
      <c r="B57" s="8" t="s">
        <v>192</v>
      </c>
      <c r="C57" s="8" t="s">
        <v>75</v>
      </c>
      <c r="D57" s="9" t="s">
        <v>70</v>
      </c>
      <c r="E57" t="s">
        <v>76</v>
      </c>
      <c r="F57" s="12" t="s">
        <v>77</v>
      </c>
      <c r="G57" s="7">
        <v>1</v>
      </c>
      <c r="H57" s="11">
        <f>((G57*86.67)*2)*(SUMIF('Accrual Rates'!B:B,'PTO SUMMARY 2027'!B57,'Accrual Rates'!G:G))</f>
        <v>13.3333128</v>
      </c>
      <c r="I57" s="33">
        <v>0</v>
      </c>
      <c r="J57" s="1">
        <v>0</v>
      </c>
      <c r="K57" s="1">
        <v>0</v>
      </c>
      <c r="L57" s="1">
        <v>0</v>
      </c>
      <c r="M57" s="32">
        <v>0</v>
      </c>
      <c r="N57" s="2">
        <f t="shared" si="16"/>
        <v>13.3333128</v>
      </c>
      <c r="O57" s="2">
        <f>SUMIF('January 2027'!$B:$B,'PTO SUMMARY 2027'!B57,'January 2027'!$AK:$AK)</f>
        <v>0</v>
      </c>
      <c r="P57" s="1">
        <f t="shared" si="42"/>
        <v>13.3333128</v>
      </c>
      <c r="Q57" s="1">
        <v>0</v>
      </c>
      <c r="R57" s="1">
        <v>0</v>
      </c>
      <c r="S57" s="3">
        <f t="shared" si="17"/>
        <v>13.3333128</v>
      </c>
      <c r="T57" s="2">
        <f>SUMIF('February 2027'!$B:$B,'PTO SUMMARY 2027'!G57,'February 2027'!$AK:$AK)</f>
        <v>0</v>
      </c>
      <c r="U57" s="154">
        <v>0</v>
      </c>
      <c r="V57" s="1">
        <f t="shared" si="43"/>
        <v>26.6666256</v>
      </c>
      <c r="W57" s="1">
        <v>0</v>
      </c>
      <c r="X57" s="1">
        <v>0</v>
      </c>
      <c r="Y57" s="3">
        <f t="shared" si="18"/>
        <v>13.3333128</v>
      </c>
      <c r="Z57" s="2">
        <f>SUMIF('March 2027'!$B:$B,'PTO SUMMARY 2027'!M57,'March 2027'!$AK:$AK)</f>
        <v>0</v>
      </c>
      <c r="AA57" s="1">
        <f t="shared" si="53"/>
        <v>39.999938399999998</v>
      </c>
      <c r="AB57" s="1">
        <v>0</v>
      </c>
      <c r="AC57" s="1">
        <v>0</v>
      </c>
      <c r="AD57" s="3">
        <v>0</v>
      </c>
      <c r="AE57" s="31">
        <f t="shared" si="41"/>
        <v>0</v>
      </c>
      <c r="AF57" s="31">
        <v>0</v>
      </c>
      <c r="AG57" s="30">
        <f t="shared" si="44"/>
        <v>0</v>
      </c>
      <c r="AH57" s="2">
        <f t="shared" si="19"/>
        <v>13.3333128</v>
      </c>
      <c r="AI57" s="2">
        <f>SUMIF('April 2027'!$B:$B,'PTO SUMMARY 2027'!V57,'April 2027'!$AK:$AK)</f>
        <v>0</v>
      </c>
      <c r="AJ57" s="1">
        <f t="shared" si="45"/>
        <v>53.333251199999999</v>
      </c>
      <c r="AK57" s="1">
        <v>0</v>
      </c>
      <c r="AL57" s="1">
        <v>0</v>
      </c>
      <c r="AM57" s="3">
        <f t="shared" si="20"/>
        <v>13.3333128</v>
      </c>
      <c r="AN57" s="2">
        <f>SUMIF('May 2027'!$B:$B,'PTO SUMMARY 2027'!AA57,'May 2027'!$AK:$AK)</f>
        <v>0</v>
      </c>
      <c r="AO57" s="1">
        <f t="shared" si="46"/>
        <v>66.67</v>
      </c>
      <c r="AP57" s="1">
        <v>0</v>
      </c>
      <c r="AQ57" s="1">
        <v>0</v>
      </c>
      <c r="AR57" s="3">
        <f t="shared" si="21"/>
        <v>13.3333128</v>
      </c>
      <c r="AS57" s="2">
        <f>SUMIF('June 2027'!$B:$B,'PTO SUMMARY 2027'!AF57,'June 2027'!$AK:$AK)</f>
        <v>0</v>
      </c>
      <c r="AT57" s="1">
        <f t="shared" si="47"/>
        <v>80.003312800000003</v>
      </c>
      <c r="AU57" s="1">
        <v>0</v>
      </c>
      <c r="AV57" s="1">
        <v>0</v>
      </c>
      <c r="AW57" s="3">
        <v>0</v>
      </c>
      <c r="AX57" s="31">
        <v>0</v>
      </c>
      <c r="AY57" s="31">
        <v>0</v>
      </c>
      <c r="AZ57" s="30">
        <f t="shared" si="8"/>
        <v>0</v>
      </c>
      <c r="BA57" s="3">
        <f t="shared" si="22"/>
        <v>13.3333128</v>
      </c>
      <c r="BB57" s="2">
        <f>SUMIF('July 2027'!$B:$B,'PTO SUMMARY 2027'!AK57,'July 2027'!$AK:$AK)</f>
        <v>0</v>
      </c>
      <c r="BC57" s="1">
        <f t="shared" si="9"/>
        <v>93.336625600000005</v>
      </c>
      <c r="BD57" s="1">
        <v>0</v>
      </c>
      <c r="BE57" s="1">
        <v>0</v>
      </c>
      <c r="BF57" s="3">
        <f t="shared" si="23"/>
        <v>13.3333128</v>
      </c>
      <c r="BG57" s="2">
        <f>SUMIF('August 2027'!$B:$B,'PTO SUMMARY 2027'!AP57,'August 2027'!$AK:$AK)</f>
        <v>0</v>
      </c>
      <c r="BH57" s="1">
        <f t="shared" si="52"/>
        <v>106.66993840000001</v>
      </c>
      <c r="BI57" s="1">
        <v>0</v>
      </c>
      <c r="BJ57" s="1">
        <v>0</v>
      </c>
      <c r="BK57" s="3">
        <f t="shared" si="24"/>
        <v>13.3333128</v>
      </c>
      <c r="BL57" s="2">
        <f>SUMIF('September 2027'!$B:$B,'PTO SUMMARY 2027'!AU57,'September 2027'!$AK:$AK)</f>
        <v>0</v>
      </c>
      <c r="BM57" s="1">
        <f t="shared" si="48"/>
        <v>120.00325120000001</v>
      </c>
      <c r="BN57" s="1">
        <v>0</v>
      </c>
      <c r="BO57" s="1">
        <v>0</v>
      </c>
      <c r="BP57" s="3">
        <v>0</v>
      </c>
      <c r="BQ57" s="31">
        <v>0</v>
      </c>
      <c r="BR57" s="31">
        <v>0</v>
      </c>
      <c r="BS57" s="30">
        <f t="shared" si="12"/>
        <v>0</v>
      </c>
      <c r="BT57" s="3">
        <f t="shared" si="25"/>
        <v>13.3333128</v>
      </c>
      <c r="BU57" s="2">
        <f>SUMIF('October 2027'!$B:$B,'PTO SUMMARY 2027'!BH57,'October 2027'!$AK:$AK)</f>
        <v>0</v>
      </c>
      <c r="BV57" s="1">
        <f t="shared" si="49"/>
        <v>133.33656400000001</v>
      </c>
      <c r="BW57" s="1">
        <v>0</v>
      </c>
      <c r="BX57" s="1">
        <v>0</v>
      </c>
      <c r="BY57" s="3">
        <f t="shared" si="26"/>
        <v>13.3333128</v>
      </c>
      <c r="BZ57" s="2">
        <f>SUMIF('November 2027'!$B:$B,'PTO SUMMARY 2027'!BM57,'November 2027'!$AK:$AK)</f>
        <v>0</v>
      </c>
      <c r="CA57" s="1">
        <f t="shared" si="50"/>
        <v>146.6698768</v>
      </c>
      <c r="CB57" s="1">
        <v>0</v>
      </c>
      <c r="CC57" s="1">
        <v>0</v>
      </c>
      <c r="CD57" s="3">
        <f t="shared" si="27"/>
        <v>13.3333128</v>
      </c>
      <c r="CE57" s="2">
        <f>SUMIF('December 2027'!$B:$B,'PTO SUMMARY 2027'!$B:$B,'December 2027'!$AK:$AK)</f>
        <v>0</v>
      </c>
      <c r="CF57" s="1">
        <f t="shared" si="51"/>
        <v>160.00318959999998</v>
      </c>
      <c r="CG57" s="1">
        <v>0</v>
      </c>
      <c r="CH57" s="1">
        <v>0</v>
      </c>
      <c r="CI57" s="1">
        <v>0</v>
      </c>
      <c r="CJ57" s="3">
        <v>0</v>
      </c>
      <c r="CK57" s="31">
        <v>0</v>
      </c>
      <c r="CL57" s="31">
        <v>0</v>
      </c>
      <c r="CM57" s="31">
        <v>0</v>
      </c>
      <c r="CN57" s="30">
        <f t="shared" si="28"/>
        <v>0</v>
      </c>
    </row>
    <row r="58" spans="1:92">
      <c r="A58" s="8" t="s">
        <v>193</v>
      </c>
      <c r="B58" s="8" t="s">
        <v>194</v>
      </c>
      <c r="C58" s="8" t="s">
        <v>75</v>
      </c>
      <c r="D58" s="9" t="s">
        <v>70</v>
      </c>
      <c r="E58" t="s">
        <v>76</v>
      </c>
      <c r="F58" s="12" t="s">
        <v>80</v>
      </c>
      <c r="G58" s="7">
        <v>1</v>
      </c>
      <c r="H58" s="11">
        <f>((G58*86.67)*2)*(SUMIF('Accrual Rates'!B:B,'PTO SUMMARY 2027'!B58,'Accrual Rates'!G:G))</f>
        <v>13.3333128</v>
      </c>
      <c r="I58" s="33">
        <v>0</v>
      </c>
      <c r="J58" s="1">
        <v>0</v>
      </c>
      <c r="K58" s="1">
        <v>0</v>
      </c>
      <c r="L58" s="1">
        <v>0</v>
      </c>
      <c r="M58" s="32">
        <v>0</v>
      </c>
      <c r="N58" s="2">
        <f t="shared" si="16"/>
        <v>13.3333128</v>
      </c>
      <c r="O58" s="2">
        <f>SUMIF('January 2027'!$B:$B,'PTO SUMMARY 2027'!B58,'January 2027'!$AK:$AK)</f>
        <v>0</v>
      </c>
      <c r="P58" s="1">
        <f t="shared" si="42"/>
        <v>13.3333128</v>
      </c>
      <c r="Q58" s="1">
        <v>0</v>
      </c>
      <c r="R58" s="1">
        <v>0</v>
      </c>
      <c r="S58" s="3">
        <f t="shared" si="17"/>
        <v>13.3333128</v>
      </c>
      <c r="T58" s="2">
        <f>SUMIF('February 2027'!$B:$B,'PTO SUMMARY 2027'!G58,'February 2027'!$AK:$AK)</f>
        <v>0</v>
      </c>
      <c r="U58" s="154">
        <v>0</v>
      </c>
      <c r="V58" s="1">
        <f t="shared" si="43"/>
        <v>26.6666256</v>
      </c>
      <c r="W58" s="1">
        <v>0</v>
      </c>
      <c r="X58" s="1">
        <v>0</v>
      </c>
      <c r="Y58" s="3">
        <f t="shared" si="18"/>
        <v>13.3333128</v>
      </c>
      <c r="Z58" s="2">
        <f>SUMIF('March 2027'!$B:$B,'PTO SUMMARY 2027'!M58,'March 2027'!$AK:$AK)</f>
        <v>0</v>
      </c>
      <c r="AA58" s="1">
        <f t="shared" si="53"/>
        <v>39.999938399999998</v>
      </c>
      <c r="AB58" s="1">
        <v>0</v>
      </c>
      <c r="AC58" s="1">
        <v>0</v>
      </c>
      <c r="AD58" s="3">
        <v>0</v>
      </c>
      <c r="AE58" s="31">
        <f t="shared" si="41"/>
        <v>0</v>
      </c>
      <c r="AF58" s="31">
        <v>0</v>
      </c>
      <c r="AG58" s="30">
        <f t="shared" si="44"/>
        <v>0</v>
      </c>
      <c r="AH58" s="2">
        <f t="shared" si="19"/>
        <v>13.3333128</v>
      </c>
      <c r="AI58" s="2">
        <f>SUMIF('April 2027'!$B:$B,'PTO SUMMARY 2027'!V58,'April 2027'!$AK:$AK)</f>
        <v>0</v>
      </c>
      <c r="AJ58" s="1">
        <f t="shared" si="45"/>
        <v>53.333251199999999</v>
      </c>
      <c r="AK58" s="1">
        <v>0</v>
      </c>
      <c r="AL58" s="1">
        <v>0</v>
      </c>
      <c r="AM58" s="3">
        <f t="shared" si="20"/>
        <v>13.3333128</v>
      </c>
      <c r="AN58" s="2">
        <f>SUMIF('May 2027'!$B:$B,'PTO SUMMARY 2027'!AA58,'May 2027'!$AK:$AK)</f>
        <v>0</v>
      </c>
      <c r="AO58" s="1">
        <f t="shared" si="46"/>
        <v>66.67</v>
      </c>
      <c r="AP58" s="1">
        <v>0</v>
      </c>
      <c r="AQ58" s="1">
        <v>0</v>
      </c>
      <c r="AR58" s="3">
        <f t="shared" si="21"/>
        <v>13.3333128</v>
      </c>
      <c r="AS58" s="2">
        <f>SUMIF('June 2027'!$B:$B,'PTO SUMMARY 2027'!AF58,'June 2027'!$AK:$AK)</f>
        <v>0</v>
      </c>
      <c r="AT58" s="1">
        <f t="shared" si="47"/>
        <v>80.003312800000003</v>
      </c>
      <c r="AU58" s="1">
        <v>0</v>
      </c>
      <c r="AV58" s="1">
        <v>0</v>
      </c>
      <c r="AW58" s="3">
        <v>0</v>
      </c>
      <c r="AX58" s="31">
        <v>0</v>
      </c>
      <c r="AY58" s="31">
        <v>0</v>
      </c>
      <c r="AZ58" s="30">
        <f t="shared" si="8"/>
        <v>0</v>
      </c>
      <c r="BA58" s="3">
        <f t="shared" si="22"/>
        <v>13.3333128</v>
      </c>
      <c r="BB58" s="2">
        <f>SUMIF('July 2027'!$B:$B,'PTO SUMMARY 2027'!AK58,'July 2027'!$AK:$AK)</f>
        <v>0</v>
      </c>
      <c r="BC58" s="1">
        <f t="shared" si="9"/>
        <v>93.336625600000005</v>
      </c>
      <c r="BD58" s="1">
        <v>0</v>
      </c>
      <c r="BE58" s="1">
        <v>0</v>
      </c>
      <c r="BF58" s="3">
        <f t="shared" si="23"/>
        <v>13.3333128</v>
      </c>
      <c r="BG58" s="2">
        <f>SUMIF('August 2027'!$B:$B,'PTO SUMMARY 2027'!AP58,'August 2027'!$AK:$AK)</f>
        <v>0</v>
      </c>
      <c r="BH58" s="1">
        <f t="shared" si="52"/>
        <v>106.66993840000001</v>
      </c>
      <c r="BI58" s="1">
        <v>0</v>
      </c>
      <c r="BJ58" s="1">
        <v>0</v>
      </c>
      <c r="BK58" s="3">
        <f t="shared" si="24"/>
        <v>13.3333128</v>
      </c>
      <c r="BL58" s="2">
        <f>SUMIF('September 2027'!$B:$B,'PTO SUMMARY 2027'!AU58,'September 2027'!$AK:$AK)</f>
        <v>0</v>
      </c>
      <c r="BM58" s="1">
        <f t="shared" si="48"/>
        <v>120.00325120000001</v>
      </c>
      <c r="BN58" s="1">
        <v>0</v>
      </c>
      <c r="BO58" s="1">
        <v>0</v>
      </c>
      <c r="BP58" s="3">
        <v>0</v>
      </c>
      <c r="BQ58" s="31">
        <v>0</v>
      </c>
      <c r="BR58" s="31">
        <v>0</v>
      </c>
      <c r="BS58" s="30">
        <f t="shared" si="12"/>
        <v>0</v>
      </c>
      <c r="BT58" s="3">
        <f t="shared" si="25"/>
        <v>13.3333128</v>
      </c>
      <c r="BU58" s="2">
        <f>SUMIF('October 2027'!$B:$B,'PTO SUMMARY 2027'!BH58,'October 2027'!$AK:$AK)</f>
        <v>0</v>
      </c>
      <c r="BV58" s="1">
        <f t="shared" si="49"/>
        <v>133.33656400000001</v>
      </c>
      <c r="BW58" s="1">
        <v>0</v>
      </c>
      <c r="BX58" s="1">
        <v>0</v>
      </c>
      <c r="BY58" s="3">
        <f t="shared" si="26"/>
        <v>13.3333128</v>
      </c>
      <c r="BZ58" s="2">
        <f>SUMIF('November 2027'!$B:$B,'PTO SUMMARY 2027'!BM58,'November 2027'!$AK:$AK)</f>
        <v>0</v>
      </c>
      <c r="CA58" s="1">
        <f t="shared" si="50"/>
        <v>146.6698768</v>
      </c>
      <c r="CB58" s="1">
        <v>0</v>
      </c>
      <c r="CC58" s="1">
        <v>0</v>
      </c>
      <c r="CD58" s="3">
        <f t="shared" si="27"/>
        <v>13.3333128</v>
      </c>
      <c r="CE58" s="2">
        <f>SUMIF('December 2027'!$B:$B,'PTO SUMMARY 2027'!$B:$B,'December 2027'!$AK:$AK)</f>
        <v>0</v>
      </c>
      <c r="CF58" s="1">
        <f t="shared" si="51"/>
        <v>160.00318959999998</v>
      </c>
      <c r="CG58" s="1">
        <v>0</v>
      </c>
      <c r="CH58" s="1">
        <v>0</v>
      </c>
      <c r="CI58" s="1">
        <v>0</v>
      </c>
      <c r="CJ58" s="3">
        <v>0</v>
      </c>
      <c r="CK58" s="31">
        <v>0</v>
      </c>
      <c r="CL58" s="31">
        <v>0</v>
      </c>
      <c r="CM58" s="31">
        <v>0</v>
      </c>
      <c r="CN58" s="30">
        <f t="shared" si="28"/>
        <v>0</v>
      </c>
    </row>
    <row r="59" spans="1:92">
      <c r="A59" s="35" t="s">
        <v>195</v>
      </c>
      <c r="B59" s="8" t="s">
        <v>196</v>
      </c>
      <c r="C59" s="8" t="s">
        <v>64</v>
      </c>
      <c r="D59" s="9" t="s">
        <v>65</v>
      </c>
      <c r="E59" s="36" t="s">
        <v>66</v>
      </c>
      <c r="F59" s="12" t="s">
        <v>190</v>
      </c>
      <c r="G59" s="7">
        <v>1</v>
      </c>
      <c r="H59" s="34">
        <v>0</v>
      </c>
      <c r="I59" s="33">
        <v>0</v>
      </c>
      <c r="J59" s="1">
        <v>0</v>
      </c>
      <c r="K59" s="1">
        <v>0</v>
      </c>
      <c r="L59" s="1">
        <v>0</v>
      </c>
      <c r="M59" s="32">
        <v>0</v>
      </c>
      <c r="N59" s="2">
        <f t="shared" si="16"/>
        <v>0</v>
      </c>
      <c r="O59" s="2">
        <f>SUMIF('January 2027'!$B:$B,'PTO SUMMARY 2027'!B59,'January 2027'!$AK:$AK)</f>
        <v>0</v>
      </c>
      <c r="P59" s="1">
        <f t="shared" si="42"/>
        <v>0</v>
      </c>
      <c r="Q59" s="1">
        <v>0</v>
      </c>
      <c r="R59" s="1">
        <v>0</v>
      </c>
      <c r="S59" s="3">
        <f t="shared" si="17"/>
        <v>0</v>
      </c>
      <c r="T59" s="2">
        <f>SUMIF('February 2027'!$B:$B,'PTO SUMMARY 2027'!G59,'February 2027'!$AK:$AK)</f>
        <v>0</v>
      </c>
      <c r="U59" s="154">
        <v>0</v>
      </c>
      <c r="V59" s="1">
        <f t="shared" si="43"/>
        <v>0</v>
      </c>
      <c r="W59" s="1">
        <v>0</v>
      </c>
      <c r="X59" s="1">
        <v>0</v>
      </c>
      <c r="Y59" s="3">
        <f t="shared" si="18"/>
        <v>0</v>
      </c>
      <c r="Z59" s="2">
        <f>SUMIF('March 2027'!$B:$B,'PTO SUMMARY 2027'!M59,'March 2027'!$AK:$AK)</f>
        <v>0</v>
      </c>
      <c r="AA59" s="1">
        <f t="shared" si="53"/>
        <v>0</v>
      </c>
      <c r="AB59" s="1">
        <v>0</v>
      </c>
      <c r="AC59" s="1">
        <v>0</v>
      </c>
      <c r="AD59" s="3">
        <v>0</v>
      </c>
      <c r="AE59" s="31">
        <f t="shared" si="41"/>
        <v>0</v>
      </c>
      <c r="AF59" s="31">
        <v>0</v>
      </c>
      <c r="AG59" s="30">
        <f t="shared" si="44"/>
        <v>0</v>
      </c>
      <c r="AH59" s="2">
        <f t="shared" si="19"/>
        <v>0</v>
      </c>
      <c r="AI59" s="2">
        <f>SUMIF('April 2027'!$B:$B,'PTO SUMMARY 2027'!V59,'April 2027'!$AK:$AK)</f>
        <v>0</v>
      </c>
      <c r="AJ59" s="1">
        <f t="shared" si="45"/>
        <v>0</v>
      </c>
      <c r="AK59" s="1">
        <v>0</v>
      </c>
      <c r="AL59" s="1">
        <v>0</v>
      </c>
      <c r="AM59" s="3">
        <f t="shared" si="20"/>
        <v>0</v>
      </c>
      <c r="AN59" s="2">
        <f>SUMIF('May 2027'!$B:$B,'PTO SUMMARY 2027'!AA59,'May 2027'!$AK:$AK)</f>
        <v>0</v>
      </c>
      <c r="AO59" s="1">
        <f t="shared" si="46"/>
        <v>0</v>
      </c>
      <c r="AP59" s="1">
        <v>0</v>
      </c>
      <c r="AQ59" s="1">
        <v>0</v>
      </c>
      <c r="AR59" s="3">
        <f t="shared" si="21"/>
        <v>0</v>
      </c>
      <c r="AS59" s="2">
        <f>SUMIF('June 2027'!$B:$B,'PTO SUMMARY 2027'!AF59,'June 2027'!$AK:$AK)</f>
        <v>0</v>
      </c>
      <c r="AT59" s="1">
        <f t="shared" si="47"/>
        <v>0</v>
      </c>
      <c r="AU59" s="1">
        <v>0</v>
      </c>
      <c r="AV59" s="1">
        <v>0</v>
      </c>
      <c r="AW59" s="3">
        <v>0</v>
      </c>
      <c r="AX59" s="31">
        <v>0</v>
      </c>
      <c r="AY59" s="31">
        <v>0</v>
      </c>
      <c r="AZ59" s="30">
        <f t="shared" si="8"/>
        <v>0</v>
      </c>
      <c r="BA59" s="3">
        <f t="shared" si="22"/>
        <v>0</v>
      </c>
      <c r="BB59" s="2">
        <f>SUMIF('July 2027'!$B:$B,'PTO SUMMARY 2027'!AK59,'July 2027'!$AK:$AK)</f>
        <v>0</v>
      </c>
      <c r="BC59" s="1">
        <f t="shared" si="9"/>
        <v>0</v>
      </c>
      <c r="BD59" s="1">
        <v>0</v>
      </c>
      <c r="BE59" s="1">
        <v>0</v>
      </c>
      <c r="BF59" s="3">
        <f t="shared" si="23"/>
        <v>0</v>
      </c>
      <c r="BG59" s="2">
        <f>SUMIF('August 2027'!$B:$B,'PTO SUMMARY 2027'!AP59,'August 2027'!$AK:$AK)</f>
        <v>0</v>
      </c>
      <c r="BH59" s="1">
        <f t="shared" si="52"/>
        <v>0</v>
      </c>
      <c r="BI59" s="1">
        <v>0</v>
      </c>
      <c r="BJ59" s="1">
        <v>0</v>
      </c>
      <c r="BK59" s="3">
        <f t="shared" si="24"/>
        <v>0</v>
      </c>
      <c r="BL59" s="2">
        <f>SUMIF('September 2027'!$B:$B,'PTO SUMMARY 2027'!AU59,'September 2027'!$AK:$AK)</f>
        <v>0</v>
      </c>
      <c r="BM59" s="1">
        <f t="shared" si="48"/>
        <v>0</v>
      </c>
      <c r="BN59" s="1">
        <v>0</v>
      </c>
      <c r="BO59" s="1">
        <v>0</v>
      </c>
      <c r="BP59" s="3">
        <v>0</v>
      </c>
      <c r="BQ59" s="31">
        <v>0</v>
      </c>
      <c r="BR59" s="31">
        <v>0</v>
      </c>
      <c r="BS59" s="30">
        <f t="shared" si="12"/>
        <v>0</v>
      </c>
      <c r="BT59" s="3">
        <f t="shared" si="25"/>
        <v>0</v>
      </c>
      <c r="BU59" s="2">
        <f>SUMIF('October 2027'!$B:$B,'PTO SUMMARY 2027'!BH59,'October 2027'!$AK:$AK)</f>
        <v>0</v>
      </c>
      <c r="BV59" s="1">
        <f t="shared" si="49"/>
        <v>0</v>
      </c>
      <c r="BW59" s="1">
        <v>0</v>
      </c>
      <c r="BX59" s="1">
        <v>0</v>
      </c>
      <c r="BY59" s="3">
        <f t="shared" si="26"/>
        <v>0</v>
      </c>
      <c r="BZ59" s="2">
        <f>SUMIF('November 2027'!$B:$B,'PTO SUMMARY 2027'!BM59,'November 2027'!$AK:$AK)</f>
        <v>0</v>
      </c>
      <c r="CA59" s="1">
        <f t="shared" si="50"/>
        <v>0</v>
      </c>
      <c r="CB59" s="1">
        <v>0</v>
      </c>
      <c r="CC59" s="1">
        <v>0</v>
      </c>
      <c r="CD59" s="3">
        <f t="shared" si="27"/>
        <v>0</v>
      </c>
      <c r="CE59" s="2">
        <f>SUMIF('December 2027'!$B:$B,'PTO SUMMARY 2027'!$B:$B,'December 2027'!$AK:$AK)</f>
        <v>0</v>
      </c>
      <c r="CF59" s="1">
        <f t="shared" si="51"/>
        <v>0</v>
      </c>
      <c r="CG59" s="1">
        <v>0</v>
      </c>
      <c r="CH59" s="1">
        <v>0</v>
      </c>
      <c r="CI59" s="1">
        <v>0</v>
      </c>
      <c r="CJ59" s="3">
        <v>0</v>
      </c>
      <c r="CK59" s="31">
        <v>0</v>
      </c>
      <c r="CL59" s="31">
        <v>0</v>
      </c>
      <c r="CM59" s="31">
        <v>0</v>
      </c>
      <c r="CN59" s="30">
        <f t="shared" si="28"/>
        <v>0</v>
      </c>
    </row>
    <row r="60" spans="1:92">
      <c r="A60" s="35" t="s">
        <v>197</v>
      </c>
      <c r="B60" s="8" t="s">
        <v>198</v>
      </c>
      <c r="C60" s="8" t="s">
        <v>64</v>
      </c>
      <c r="D60" s="9" t="s">
        <v>65</v>
      </c>
      <c r="E60" s="36" t="s">
        <v>66</v>
      </c>
      <c r="F60" s="12" t="s">
        <v>67</v>
      </c>
      <c r="G60" s="7">
        <v>0.63</v>
      </c>
      <c r="H60" s="34">
        <v>0</v>
      </c>
      <c r="I60" s="33">
        <v>0</v>
      </c>
      <c r="J60" s="1">
        <v>0</v>
      </c>
      <c r="K60" s="1">
        <v>0</v>
      </c>
      <c r="L60" s="1">
        <v>0</v>
      </c>
      <c r="M60" s="32">
        <v>0</v>
      </c>
      <c r="N60" s="2">
        <f t="shared" si="16"/>
        <v>0</v>
      </c>
      <c r="O60" s="2">
        <f>SUMIF('January 2027'!$B:$B,'PTO SUMMARY 2027'!B60,'January 2027'!$AK:$AK)</f>
        <v>0</v>
      </c>
      <c r="P60" s="1">
        <f t="shared" si="42"/>
        <v>0</v>
      </c>
      <c r="Q60" s="1">
        <v>0</v>
      </c>
      <c r="R60" s="1">
        <v>0</v>
      </c>
      <c r="S60" s="3">
        <f t="shared" si="17"/>
        <v>0</v>
      </c>
      <c r="T60" s="2">
        <f>SUMIF('February 2027'!$B:$B,'PTO SUMMARY 2027'!G60,'February 2027'!$AK:$AK)</f>
        <v>0</v>
      </c>
      <c r="U60" s="154">
        <v>0</v>
      </c>
      <c r="V60" s="1">
        <f t="shared" si="43"/>
        <v>0</v>
      </c>
      <c r="W60" s="1">
        <v>0</v>
      </c>
      <c r="X60" s="1">
        <v>0</v>
      </c>
      <c r="Y60" s="3">
        <f t="shared" si="18"/>
        <v>0</v>
      </c>
      <c r="Z60" s="2">
        <f>SUMIF('March 2027'!$B:$B,'PTO SUMMARY 2027'!M60,'March 2027'!$AK:$AK)</f>
        <v>0</v>
      </c>
      <c r="AA60" s="1">
        <f t="shared" si="53"/>
        <v>0</v>
      </c>
      <c r="AB60" s="1">
        <v>0</v>
      </c>
      <c r="AC60" s="1">
        <v>0</v>
      </c>
      <c r="AD60" s="3">
        <v>0</v>
      </c>
      <c r="AE60" s="31">
        <f t="shared" si="41"/>
        <v>0</v>
      </c>
      <c r="AF60" s="31">
        <v>0</v>
      </c>
      <c r="AG60" s="30">
        <f t="shared" si="44"/>
        <v>0</v>
      </c>
      <c r="AH60" s="2">
        <f t="shared" si="19"/>
        <v>0</v>
      </c>
      <c r="AI60" s="2">
        <f>SUMIF('April 2027'!$B:$B,'PTO SUMMARY 2027'!V60,'April 2027'!$AK:$AK)</f>
        <v>0</v>
      </c>
      <c r="AJ60" s="1">
        <f t="shared" si="45"/>
        <v>0</v>
      </c>
      <c r="AK60" s="1">
        <v>0</v>
      </c>
      <c r="AL60" s="1">
        <v>0</v>
      </c>
      <c r="AM60" s="3">
        <f t="shared" si="20"/>
        <v>0</v>
      </c>
      <c r="AN60" s="2">
        <f>SUMIF('May 2027'!$B:$B,'PTO SUMMARY 2027'!AA60,'May 2027'!$AK:$AK)</f>
        <v>0</v>
      </c>
      <c r="AO60" s="1">
        <f t="shared" si="46"/>
        <v>0</v>
      </c>
      <c r="AP60" s="1">
        <v>0</v>
      </c>
      <c r="AQ60" s="1">
        <v>0</v>
      </c>
      <c r="AR60" s="3">
        <f t="shared" si="21"/>
        <v>0</v>
      </c>
      <c r="AS60" s="2">
        <f>SUMIF('June 2027'!$B:$B,'PTO SUMMARY 2027'!AF60,'June 2027'!$AK:$AK)</f>
        <v>0</v>
      </c>
      <c r="AT60" s="1">
        <f t="shared" si="47"/>
        <v>0</v>
      </c>
      <c r="AU60" s="1">
        <v>0</v>
      </c>
      <c r="AV60" s="1">
        <v>0</v>
      </c>
      <c r="AW60" s="3">
        <v>0</v>
      </c>
      <c r="AX60" s="31">
        <v>0</v>
      </c>
      <c r="AY60" s="31">
        <v>0</v>
      </c>
      <c r="AZ60" s="30">
        <f t="shared" si="8"/>
        <v>0</v>
      </c>
      <c r="BA60" s="3">
        <f t="shared" si="22"/>
        <v>0</v>
      </c>
      <c r="BB60" s="2">
        <f>SUMIF('July 2027'!$B:$B,'PTO SUMMARY 2027'!AK60,'July 2027'!$AK:$AK)</f>
        <v>0</v>
      </c>
      <c r="BC60" s="1">
        <f t="shared" si="9"/>
        <v>0</v>
      </c>
      <c r="BD60" s="1">
        <v>0</v>
      </c>
      <c r="BE60" s="1">
        <v>0</v>
      </c>
      <c r="BF60" s="3">
        <f t="shared" si="23"/>
        <v>0</v>
      </c>
      <c r="BG60" s="2">
        <f>SUMIF('August 2027'!$B:$B,'PTO SUMMARY 2027'!AP60,'August 2027'!$AK:$AK)</f>
        <v>0</v>
      </c>
      <c r="BH60" s="1">
        <f t="shared" si="52"/>
        <v>0</v>
      </c>
      <c r="BI60" s="1">
        <v>0</v>
      </c>
      <c r="BJ60" s="1">
        <v>0</v>
      </c>
      <c r="BK60" s="3">
        <f t="shared" si="24"/>
        <v>0</v>
      </c>
      <c r="BL60" s="2">
        <f>SUMIF('September 2027'!$B:$B,'PTO SUMMARY 2027'!AU60,'September 2027'!$AK:$AK)</f>
        <v>0</v>
      </c>
      <c r="BM60" s="1">
        <f t="shared" si="48"/>
        <v>0</v>
      </c>
      <c r="BN60" s="1">
        <v>0</v>
      </c>
      <c r="BO60" s="1">
        <v>0</v>
      </c>
      <c r="BP60" s="3">
        <v>0</v>
      </c>
      <c r="BQ60" s="31">
        <v>0</v>
      </c>
      <c r="BR60" s="31">
        <v>0</v>
      </c>
      <c r="BS60" s="30">
        <f t="shared" si="12"/>
        <v>0</v>
      </c>
      <c r="BT60" s="3">
        <f t="shared" si="25"/>
        <v>0</v>
      </c>
      <c r="BU60" s="2">
        <f>SUMIF('October 2027'!$B:$B,'PTO SUMMARY 2027'!BH60,'October 2027'!$AK:$AK)</f>
        <v>0</v>
      </c>
      <c r="BV60" s="1">
        <f t="shared" si="49"/>
        <v>0</v>
      </c>
      <c r="BW60" s="1">
        <v>0</v>
      </c>
      <c r="BX60" s="1">
        <v>0</v>
      </c>
      <c r="BY60" s="3">
        <f t="shared" si="26"/>
        <v>0</v>
      </c>
      <c r="BZ60" s="2">
        <f>SUMIF('November 2027'!$B:$B,'PTO SUMMARY 2027'!BM60,'November 2027'!$AK:$AK)</f>
        <v>0</v>
      </c>
      <c r="CA60" s="1">
        <f t="shared" si="50"/>
        <v>0</v>
      </c>
      <c r="CB60" s="1">
        <v>0</v>
      </c>
      <c r="CC60" s="1">
        <v>0</v>
      </c>
      <c r="CD60" s="3">
        <f t="shared" si="27"/>
        <v>0</v>
      </c>
      <c r="CE60" s="2">
        <f>SUMIF('December 2027'!$B:$B,'PTO SUMMARY 2027'!$B:$B,'December 2027'!$AK:$AK)</f>
        <v>0</v>
      </c>
      <c r="CF60" s="1">
        <f t="shared" si="51"/>
        <v>0</v>
      </c>
      <c r="CG60" s="1">
        <v>0</v>
      </c>
      <c r="CH60" s="1">
        <v>0</v>
      </c>
      <c r="CI60" s="1">
        <v>0</v>
      </c>
      <c r="CJ60" s="3">
        <v>0</v>
      </c>
      <c r="CK60" s="31">
        <v>0</v>
      </c>
      <c r="CL60" s="31">
        <v>0</v>
      </c>
      <c r="CM60" s="31">
        <v>0</v>
      </c>
      <c r="CN60" s="30">
        <f t="shared" si="28"/>
        <v>0</v>
      </c>
    </row>
    <row r="61" spans="1:92">
      <c r="A61" s="35" t="s">
        <v>199</v>
      </c>
      <c r="B61" s="8" t="s">
        <v>200</v>
      </c>
      <c r="C61" s="8" t="s">
        <v>75</v>
      </c>
      <c r="D61" s="9" t="s">
        <v>65</v>
      </c>
      <c r="E61" t="s">
        <v>95</v>
      </c>
      <c r="F61" s="12" t="s">
        <v>77</v>
      </c>
      <c r="G61" s="7">
        <v>0.8</v>
      </c>
      <c r="H61" s="34">
        <v>0</v>
      </c>
      <c r="I61" s="33">
        <v>0</v>
      </c>
      <c r="J61" s="1">
        <v>0</v>
      </c>
      <c r="K61" s="1">
        <v>0</v>
      </c>
      <c r="L61" s="1">
        <v>0</v>
      </c>
      <c r="M61" s="32">
        <v>0</v>
      </c>
      <c r="N61" s="2">
        <f t="shared" si="16"/>
        <v>0</v>
      </c>
      <c r="O61" s="2">
        <f>SUMIF('January 2027'!$B:$B,'PTO SUMMARY 2027'!B61,'January 2027'!$AK:$AK)</f>
        <v>6</v>
      </c>
      <c r="P61" s="1">
        <f t="shared" si="42"/>
        <v>-6</v>
      </c>
      <c r="Q61" s="1">
        <v>0</v>
      </c>
      <c r="R61" s="1">
        <v>0</v>
      </c>
      <c r="S61" s="3">
        <f t="shared" si="17"/>
        <v>0</v>
      </c>
      <c r="T61" s="2">
        <f>SUMIF('February 2027'!$B:$B,'PTO SUMMARY 2027'!G61,'February 2027'!$AK:$AK)</f>
        <v>0</v>
      </c>
      <c r="U61" s="154">
        <v>0</v>
      </c>
      <c r="V61" s="1">
        <f t="shared" si="43"/>
        <v>-6</v>
      </c>
      <c r="W61" s="1">
        <v>0</v>
      </c>
      <c r="X61" s="1">
        <v>0</v>
      </c>
      <c r="Y61" s="3">
        <f t="shared" si="18"/>
        <v>0</v>
      </c>
      <c r="Z61" s="2">
        <f>SUMIF('March 2027'!$B:$B,'PTO SUMMARY 2027'!M61,'March 2027'!$AK:$AK)</f>
        <v>0</v>
      </c>
      <c r="AA61" s="1">
        <f t="shared" si="53"/>
        <v>-6</v>
      </c>
      <c r="AB61" s="1">
        <v>0</v>
      </c>
      <c r="AC61" s="1">
        <v>0</v>
      </c>
      <c r="AD61" s="3">
        <v>0</v>
      </c>
      <c r="AE61" s="31">
        <f t="shared" si="41"/>
        <v>0</v>
      </c>
      <c r="AF61" s="31">
        <v>0</v>
      </c>
      <c r="AG61" s="30">
        <f t="shared" si="44"/>
        <v>0</v>
      </c>
      <c r="AH61" s="2">
        <f t="shared" si="19"/>
        <v>0</v>
      </c>
      <c r="AI61" s="2">
        <f>SUMIF('April 2027'!$B:$B,'PTO SUMMARY 2027'!V61,'April 2027'!$AK:$AK)</f>
        <v>0</v>
      </c>
      <c r="AJ61" s="1">
        <f t="shared" si="45"/>
        <v>-6</v>
      </c>
      <c r="AK61" s="1">
        <v>0</v>
      </c>
      <c r="AL61" s="1">
        <v>0</v>
      </c>
      <c r="AM61" s="3">
        <f t="shared" si="20"/>
        <v>0</v>
      </c>
      <c r="AN61" s="2">
        <f>SUMIF('May 2027'!$B:$B,'PTO SUMMARY 2027'!AA61,'May 2027'!$AK:$AK)</f>
        <v>0</v>
      </c>
      <c r="AO61" s="1">
        <f t="shared" si="46"/>
        <v>-6</v>
      </c>
      <c r="AP61" s="1">
        <v>0</v>
      </c>
      <c r="AQ61" s="1">
        <v>0</v>
      </c>
      <c r="AR61" s="3">
        <f t="shared" si="21"/>
        <v>0</v>
      </c>
      <c r="AS61" s="2">
        <f>SUMIF('June 2027'!$B:$B,'PTO SUMMARY 2027'!AF61,'June 2027'!$AK:$AK)</f>
        <v>0</v>
      </c>
      <c r="AT61" s="1">
        <f t="shared" si="47"/>
        <v>-6</v>
      </c>
      <c r="AU61" s="1">
        <v>0</v>
      </c>
      <c r="AV61" s="1">
        <v>0</v>
      </c>
      <c r="AW61" s="3">
        <v>0</v>
      </c>
      <c r="AX61" s="31">
        <v>0</v>
      </c>
      <c r="AY61" s="31">
        <v>0</v>
      </c>
      <c r="AZ61" s="30">
        <f t="shared" si="8"/>
        <v>0</v>
      </c>
      <c r="BA61" s="3">
        <f t="shared" si="22"/>
        <v>0</v>
      </c>
      <c r="BB61" s="2">
        <f>SUMIF('July 2027'!$B:$B,'PTO SUMMARY 2027'!AK61,'July 2027'!$AK:$AK)</f>
        <v>0</v>
      </c>
      <c r="BC61" s="1">
        <f t="shared" si="9"/>
        <v>-6</v>
      </c>
      <c r="BD61" s="1">
        <v>0</v>
      </c>
      <c r="BE61" s="1">
        <v>0</v>
      </c>
      <c r="BF61" s="3">
        <f t="shared" si="23"/>
        <v>0</v>
      </c>
      <c r="BG61" s="2">
        <f>SUMIF('August 2027'!$B:$B,'PTO SUMMARY 2027'!AP61,'August 2027'!$AK:$AK)</f>
        <v>0</v>
      </c>
      <c r="BH61" s="1">
        <f t="shared" si="52"/>
        <v>-6</v>
      </c>
      <c r="BI61" s="1">
        <v>0</v>
      </c>
      <c r="BJ61" s="1">
        <v>0</v>
      </c>
      <c r="BK61" s="3">
        <f t="shared" si="24"/>
        <v>0</v>
      </c>
      <c r="BL61" s="2">
        <f>SUMIF('September 2027'!$B:$B,'PTO SUMMARY 2027'!AU61,'September 2027'!$AK:$AK)</f>
        <v>0</v>
      </c>
      <c r="BM61" s="1">
        <f t="shared" si="48"/>
        <v>-6</v>
      </c>
      <c r="BN61" s="1">
        <v>0</v>
      </c>
      <c r="BO61" s="1">
        <v>0</v>
      </c>
      <c r="BP61" s="3">
        <v>0</v>
      </c>
      <c r="BQ61" s="31">
        <v>0</v>
      </c>
      <c r="BR61" s="31">
        <v>0</v>
      </c>
      <c r="BS61" s="30">
        <f t="shared" si="12"/>
        <v>0</v>
      </c>
      <c r="BT61" s="3">
        <f t="shared" si="25"/>
        <v>0</v>
      </c>
      <c r="BU61" s="2">
        <f>SUMIF('October 2027'!$B:$B,'PTO SUMMARY 2027'!BH61,'October 2027'!$AK:$AK)</f>
        <v>0</v>
      </c>
      <c r="BV61" s="1">
        <f t="shared" si="49"/>
        <v>-6</v>
      </c>
      <c r="BW61" s="1">
        <v>0</v>
      </c>
      <c r="BX61" s="1">
        <v>0</v>
      </c>
      <c r="BY61" s="3">
        <f t="shared" si="26"/>
        <v>0</v>
      </c>
      <c r="BZ61" s="2">
        <f>SUMIF('November 2027'!$B:$B,'PTO SUMMARY 2027'!BM61,'November 2027'!$AK:$AK)</f>
        <v>0</v>
      </c>
      <c r="CA61" s="1">
        <f t="shared" si="50"/>
        <v>-6</v>
      </c>
      <c r="CB61" s="1">
        <v>0</v>
      </c>
      <c r="CC61" s="1">
        <v>0</v>
      </c>
      <c r="CD61" s="3">
        <f t="shared" si="27"/>
        <v>0</v>
      </c>
      <c r="CE61" s="2">
        <f>SUMIF('December 2027'!$B:$B,'PTO SUMMARY 2027'!$B:$B,'December 2027'!$AK:$AK)</f>
        <v>0</v>
      </c>
      <c r="CF61" s="1">
        <f t="shared" si="51"/>
        <v>-6</v>
      </c>
      <c r="CG61" s="1">
        <v>0</v>
      </c>
      <c r="CH61" s="1">
        <v>0</v>
      </c>
      <c r="CI61" s="1">
        <v>0</v>
      </c>
      <c r="CJ61" s="3">
        <v>0</v>
      </c>
      <c r="CK61" s="31">
        <v>0</v>
      </c>
      <c r="CL61" s="31">
        <v>0</v>
      </c>
      <c r="CM61" s="31">
        <v>0</v>
      </c>
      <c r="CN61" s="30">
        <f t="shared" si="28"/>
        <v>0</v>
      </c>
    </row>
    <row r="62" spans="1:92">
      <c r="A62" s="35" t="s">
        <v>201</v>
      </c>
      <c r="B62" s="8" t="s">
        <v>202</v>
      </c>
      <c r="C62" s="8" t="s">
        <v>64</v>
      </c>
      <c r="D62" s="9" t="s">
        <v>65</v>
      </c>
      <c r="E62" t="s">
        <v>185</v>
      </c>
      <c r="F62" s="12" t="s">
        <v>67</v>
      </c>
      <c r="G62" s="7">
        <v>0.75</v>
      </c>
      <c r="H62" s="148">
        <v>0</v>
      </c>
      <c r="I62" s="33">
        <v>0</v>
      </c>
      <c r="J62" s="1">
        <v>0</v>
      </c>
      <c r="K62" s="1">
        <v>0</v>
      </c>
      <c r="L62" s="1">
        <v>0</v>
      </c>
      <c r="M62" s="32">
        <v>0</v>
      </c>
      <c r="N62" s="2">
        <f t="shared" si="16"/>
        <v>0</v>
      </c>
      <c r="O62" s="2">
        <f>SUMIF('January 2027'!$B:$B,'PTO SUMMARY 2027'!B62,'January 2027'!$AK:$AK)</f>
        <v>0</v>
      </c>
      <c r="P62" s="1">
        <f t="shared" si="42"/>
        <v>0</v>
      </c>
      <c r="Q62" s="1">
        <v>0</v>
      </c>
      <c r="R62" s="1">
        <v>0</v>
      </c>
      <c r="S62" s="3">
        <f t="shared" si="17"/>
        <v>0</v>
      </c>
      <c r="T62" s="2">
        <f>SUMIF('February 2027'!$B:$B,'PTO SUMMARY 2027'!G62,'February 2027'!$AK:$AK)</f>
        <v>0</v>
      </c>
      <c r="U62" s="154">
        <v>0</v>
      </c>
      <c r="V62" s="1">
        <f t="shared" si="43"/>
        <v>0</v>
      </c>
      <c r="W62" s="1">
        <v>0</v>
      </c>
      <c r="X62" s="1">
        <v>0</v>
      </c>
      <c r="Y62" s="3">
        <f t="shared" si="18"/>
        <v>0</v>
      </c>
      <c r="Z62" s="2">
        <f>SUMIF('March 2027'!$B:$B,'PTO SUMMARY 2027'!M62,'March 2027'!$AK:$AK)</f>
        <v>0</v>
      </c>
      <c r="AA62" s="1">
        <f t="shared" si="53"/>
        <v>0</v>
      </c>
      <c r="AB62" s="1">
        <v>0</v>
      </c>
      <c r="AC62" s="1">
        <v>0</v>
      </c>
      <c r="AD62" s="3">
        <v>0</v>
      </c>
      <c r="AE62" s="31">
        <f t="shared" si="41"/>
        <v>0</v>
      </c>
      <c r="AF62" s="31">
        <v>0</v>
      </c>
      <c r="AG62" s="30">
        <f t="shared" si="44"/>
        <v>0</v>
      </c>
      <c r="AH62" s="2">
        <f t="shared" si="19"/>
        <v>0</v>
      </c>
      <c r="AI62" s="2">
        <f>SUMIF('April 2027'!$B:$B,'PTO SUMMARY 2027'!V62,'April 2027'!$AK:$AK)</f>
        <v>0</v>
      </c>
      <c r="AJ62" s="1">
        <f t="shared" si="45"/>
        <v>0</v>
      </c>
      <c r="AK62" s="1">
        <v>0</v>
      </c>
      <c r="AL62" s="1">
        <v>0</v>
      </c>
      <c r="AM62" s="3">
        <f t="shared" si="20"/>
        <v>0</v>
      </c>
      <c r="AN62" s="2">
        <f>SUMIF('May 2027'!$B:$B,'PTO SUMMARY 2027'!AA62,'May 2027'!$AK:$AK)</f>
        <v>0</v>
      </c>
      <c r="AO62" s="1">
        <f t="shared" si="46"/>
        <v>0</v>
      </c>
      <c r="AP62" s="1">
        <v>0</v>
      </c>
      <c r="AQ62" s="1">
        <v>0</v>
      </c>
      <c r="AR62" s="3">
        <f t="shared" si="21"/>
        <v>0</v>
      </c>
      <c r="AS62" s="2">
        <f>SUMIF('June 2027'!$B:$B,'PTO SUMMARY 2027'!AF62,'June 2027'!$AK:$AK)</f>
        <v>0</v>
      </c>
      <c r="AT62" s="1">
        <f t="shared" si="47"/>
        <v>0</v>
      </c>
      <c r="AU62" s="1">
        <v>0</v>
      </c>
      <c r="AV62" s="1">
        <v>0</v>
      </c>
      <c r="AW62" s="3">
        <v>0</v>
      </c>
      <c r="AX62" s="31">
        <v>0</v>
      </c>
      <c r="AY62" s="31">
        <v>0</v>
      </c>
      <c r="AZ62" s="30">
        <f t="shared" si="8"/>
        <v>0</v>
      </c>
      <c r="BA62" s="3">
        <f t="shared" si="22"/>
        <v>0</v>
      </c>
      <c r="BB62" s="2">
        <f>SUMIF('July 2027'!$B:$B,'PTO SUMMARY 2027'!AK62,'July 2027'!$AK:$AK)</f>
        <v>0</v>
      </c>
      <c r="BC62" s="1">
        <f t="shared" si="9"/>
        <v>0</v>
      </c>
      <c r="BD62" s="1">
        <v>0</v>
      </c>
      <c r="BE62" s="1">
        <v>0</v>
      </c>
      <c r="BF62" s="3">
        <f t="shared" si="23"/>
        <v>0</v>
      </c>
      <c r="BG62" s="2">
        <f>SUMIF('August 2027'!$B:$B,'PTO SUMMARY 2027'!AP62,'August 2027'!$AK:$AK)</f>
        <v>0</v>
      </c>
      <c r="BH62" s="1">
        <f t="shared" si="52"/>
        <v>0</v>
      </c>
      <c r="BI62" s="1">
        <v>0</v>
      </c>
      <c r="BJ62" s="1">
        <v>0</v>
      </c>
      <c r="BK62" s="3">
        <f t="shared" si="24"/>
        <v>0</v>
      </c>
      <c r="BL62" s="2">
        <f>SUMIF('September 2027'!$B:$B,'PTO SUMMARY 2027'!AU62,'September 2027'!$AK:$AK)</f>
        <v>0</v>
      </c>
      <c r="BM62" s="1">
        <f t="shared" si="48"/>
        <v>0</v>
      </c>
      <c r="BN62" s="1">
        <v>0</v>
      </c>
      <c r="BO62" s="1">
        <v>0</v>
      </c>
      <c r="BP62" s="3">
        <v>0</v>
      </c>
      <c r="BQ62" s="31">
        <v>0</v>
      </c>
      <c r="BR62" s="31">
        <v>0</v>
      </c>
      <c r="BS62" s="30">
        <f t="shared" si="12"/>
        <v>0</v>
      </c>
      <c r="BT62" s="3">
        <f t="shared" si="25"/>
        <v>0</v>
      </c>
      <c r="BU62" s="2">
        <f>SUMIF('October 2027'!$B:$B,'PTO SUMMARY 2027'!BH62,'October 2027'!$AK:$AK)</f>
        <v>0</v>
      </c>
      <c r="BV62" s="1">
        <f t="shared" si="49"/>
        <v>0</v>
      </c>
      <c r="BW62" s="1">
        <v>0</v>
      </c>
      <c r="BX62" s="1">
        <v>0</v>
      </c>
      <c r="BY62" s="3">
        <f t="shared" si="26"/>
        <v>0</v>
      </c>
      <c r="BZ62" s="2">
        <f>SUMIF('November 2027'!$B:$B,'PTO SUMMARY 2027'!BM62,'November 2027'!$AK:$AK)</f>
        <v>0</v>
      </c>
      <c r="CA62" s="1">
        <f t="shared" si="50"/>
        <v>0</v>
      </c>
      <c r="CB62" s="1">
        <v>0</v>
      </c>
      <c r="CC62" s="1">
        <v>0</v>
      </c>
      <c r="CD62" s="3">
        <f t="shared" si="27"/>
        <v>0</v>
      </c>
      <c r="CE62" s="2">
        <f>SUMIF('December 2027'!$B:$B,'PTO SUMMARY 2027'!$B:$B,'December 2027'!$AK:$AK)</f>
        <v>0</v>
      </c>
      <c r="CF62" s="1">
        <f t="shared" si="51"/>
        <v>0</v>
      </c>
      <c r="CG62" s="1">
        <v>0</v>
      </c>
      <c r="CH62" s="1">
        <v>0</v>
      </c>
      <c r="CI62" s="1">
        <v>0</v>
      </c>
      <c r="CJ62" s="3">
        <v>0</v>
      </c>
      <c r="CK62" s="31">
        <v>0</v>
      </c>
      <c r="CL62" s="31">
        <v>0</v>
      </c>
      <c r="CM62" s="31">
        <v>0</v>
      </c>
      <c r="CN62" s="30">
        <f t="shared" si="28"/>
        <v>0</v>
      </c>
    </row>
    <row r="63" spans="1:92">
      <c r="A63" s="8" t="s">
        <v>203</v>
      </c>
      <c r="B63" s="8" t="s">
        <v>204</v>
      </c>
      <c r="C63" s="8" t="s">
        <v>75</v>
      </c>
      <c r="D63" s="9" t="s">
        <v>70</v>
      </c>
      <c r="E63" t="s">
        <v>76</v>
      </c>
      <c r="F63" s="12" t="s">
        <v>83</v>
      </c>
      <c r="G63" s="7">
        <v>0.75</v>
      </c>
      <c r="H63" s="11">
        <f>((G63*86.67)*2)*(SUMIF('Accrual Rates'!B:B,'PTO SUMMARY 2027'!B63,'Accrual Rates'!G:G))</f>
        <v>9.9999845999999994</v>
      </c>
      <c r="I63" s="33">
        <v>0</v>
      </c>
      <c r="J63" s="1">
        <v>0</v>
      </c>
      <c r="K63" s="1">
        <v>0</v>
      </c>
      <c r="L63" s="1">
        <v>0</v>
      </c>
      <c r="M63" s="32">
        <v>0</v>
      </c>
      <c r="N63" s="2">
        <f t="shared" si="16"/>
        <v>9.9999845999999994</v>
      </c>
      <c r="O63" s="2">
        <f>SUMIF('January 2027'!$B:$B,'PTO SUMMARY 2027'!B63,'January 2027'!$AK:$AK)</f>
        <v>0</v>
      </c>
      <c r="P63" s="1">
        <f t="shared" si="42"/>
        <v>9.9999845999999994</v>
      </c>
      <c r="Q63" s="1">
        <v>0</v>
      </c>
      <c r="R63" s="1">
        <v>0</v>
      </c>
      <c r="S63" s="3">
        <f t="shared" si="17"/>
        <v>9.9999845999999994</v>
      </c>
      <c r="T63" s="2">
        <f>SUMIF('February 2027'!$B:$B,'PTO SUMMARY 2027'!G63,'February 2027'!$AK:$AK)</f>
        <v>0</v>
      </c>
      <c r="U63" s="154">
        <v>0</v>
      </c>
      <c r="V63" s="1">
        <f t="shared" si="43"/>
        <v>19.999969199999999</v>
      </c>
      <c r="W63" s="1">
        <v>0</v>
      </c>
      <c r="X63" s="1">
        <v>0</v>
      </c>
      <c r="Y63" s="3">
        <f t="shared" si="18"/>
        <v>9.9999845999999994</v>
      </c>
      <c r="Z63" s="2">
        <f>SUMIF('March 2027'!$B:$B,'PTO SUMMARY 2027'!M63,'March 2027'!$AK:$AK)</f>
        <v>0</v>
      </c>
      <c r="AA63" s="1">
        <f t="shared" si="53"/>
        <v>29.9999538</v>
      </c>
      <c r="AB63" s="1">
        <v>0</v>
      </c>
      <c r="AC63" s="1">
        <v>0</v>
      </c>
      <c r="AD63" s="3">
        <v>0</v>
      </c>
      <c r="AE63" s="31">
        <f t="shared" si="41"/>
        <v>0</v>
      </c>
      <c r="AF63" s="31">
        <v>0</v>
      </c>
      <c r="AG63" s="30">
        <f t="shared" si="44"/>
        <v>0</v>
      </c>
      <c r="AH63" s="2">
        <f t="shared" si="19"/>
        <v>9.9999845999999994</v>
      </c>
      <c r="AI63" s="2">
        <f>SUMIF('April 2027'!$B:$B,'PTO SUMMARY 2027'!V63,'April 2027'!$AK:$AK)</f>
        <v>0</v>
      </c>
      <c r="AJ63" s="1">
        <f t="shared" si="45"/>
        <v>39.999938399999998</v>
      </c>
      <c r="AK63" s="1">
        <v>0</v>
      </c>
      <c r="AL63" s="1">
        <v>0</v>
      </c>
      <c r="AM63" s="3">
        <f t="shared" si="20"/>
        <v>9.9999845999999994</v>
      </c>
      <c r="AN63" s="2">
        <f>SUMIF('May 2027'!$B:$B,'PTO SUMMARY 2027'!AA63,'May 2027'!$AK:$AK)</f>
        <v>0</v>
      </c>
      <c r="AO63" s="1">
        <f t="shared" si="46"/>
        <v>50</v>
      </c>
      <c r="AP63" s="1">
        <v>0</v>
      </c>
      <c r="AQ63" s="1">
        <v>0</v>
      </c>
      <c r="AR63" s="3">
        <f t="shared" si="21"/>
        <v>9.9999845999999994</v>
      </c>
      <c r="AS63" s="2">
        <f>SUMIF('June 2027'!$B:$B,'PTO SUMMARY 2027'!AF63,'June 2027'!$AK:$AK)</f>
        <v>0</v>
      </c>
      <c r="AT63" s="1">
        <f t="shared" si="47"/>
        <v>59.999984599999998</v>
      </c>
      <c r="AU63" s="1">
        <v>0</v>
      </c>
      <c r="AV63" s="1">
        <v>0</v>
      </c>
      <c r="AW63" s="3">
        <v>0</v>
      </c>
      <c r="AX63" s="31">
        <v>0</v>
      </c>
      <c r="AY63" s="31">
        <v>0</v>
      </c>
      <c r="AZ63" s="30">
        <f t="shared" si="8"/>
        <v>0</v>
      </c>
      <c r="BA63" s="3">
        <f t="shared" si="22"/>
        <v>9.9999845999999994</v>
      </c>
      <c r="BB63" s="2">
        <f>SUMIF('July 2027'!$B:$B,'PTO SUMMARY 2027'!AK63,'July 2027'!$AK:$AK)</f>
        <v>0</v>
      </c>
      <c r="BC63" s="1">
        <f t="shared" si="9"/>
        <v>69.999969199999995</v>
      </c>
      <c r="BD63" s="1">
        <v>0</v>
      </c>
      <c r="BE63" s="1">
        <v>0</v>
      </c>
      <c r="BF63" s="3">
        <f t="shared" si="23"/>
        <v>9.9999845999999994</v>
      </c>
      <c r="BG63" s="2">
        <f>SUMIF('August 2027'!$B:$B,'PTO SUMMARY 2027'!AP63,'August 2027'!$AK:$AK)</f>
        <v>0</v>
      </c>
      <c r="BH63" s="1">
        <f t="shared" si="52"/>
        <v>79.9999538</v>
      </c>
      <c r="BI63" s="1">
        <v>0</v>
      </c>
      <c r="BJ63" s="1">
        <v>0</v>
      </c>
      <c r="BK63" s="3">
        <f t="shared" si="24"/>
        <v>9.9999845999999994</v>
      </c>
      <c r="BL63" s="2">
        <f>SUMIF('September 2027'!$B:$B,'PTO SUMMARY 2027'!AU63,'September 2027'!$AK:$AK)</f>
        <v>0</v>
      </c>
      <c r="BM63" s="1">
        <f t="shared" si="48"/>
        <v>89.999938400000005</v>
      </c>
      <c r="BN63" s="1">
        <v>0</v>
      </c>
      <c r="BO63" s="1">
        <v>0</v>
      </c>
      <c r="BP63" s="3">
        <v>0</v>
      </c>
      <c r="BQ63" s="31">
        <v>0</v>
      </c>
      <c r="BR63" s="31">
        <v>0</v>
      </c>
      <c r="BS63" s="30">
        <f t="shared" si="12"/>
        <v>0</v>
      </c>
      <c r="BT63" s="3">
        <f t="shared" si="25"/>
        <v>9.9999845999999994</v>
      </c>
      <c r="BU63" s="2">
        <f>SUMIF('October 2027'!$B:$B,'PTO SUMMARY 2027'!BH63,'October 2027'!$AK:$AK)</f>
        <v>0</v>
      </c>
      <c r="BV63" s="1">
        <f t="shared" si="49"/>
        <v>99.99992300000001</v>
      </c>
      <c r="BW63" s="1">
        <v>0</v>
      </c>
      <c r="BX63" s="1">
        <v>0</v>
      </c>
      <c r="BY63" s="3">
        <f t="shared" si="26"/>
        <v>9.9999845999999994</v>
      </c>
      <c r="BZ63" s="2">
        <f>SUMIF('November 2027'!$B:$B,'PTO SUMMARY 2027'!BM63,'November 2027'!$AK:$AK)</f>
        <v>0</v>
      </c>
      <c r="CA63" s="1">
        <f t="shared" si="50"/>
        <v>109.99990760000001</v>
      </c>
      <c r="CB63" s="1">
        <v>0</v>
      </c>
      <c r="CC63" s="1">
        <v>0</v>
      </c>
      <c r="CD63" s="3">
        <f t="shared" si="27"/>
        <v>9.9999845999999994</v>
      </c>
      <c r="CE63" s="2">
        <f>SUMIF('December 2027'!$B:$B,'PTO SUMMARY 2027'!$B:$B,'December 2027'!$AK:$AK)</f>
        <v>0</v>
      </c>
      <c r="CF63" s="1">
        <f t="shared" si="51"/>
        <v>119.99989220000002</v>
      </c>
      <c r="CG63" s="1">
        <v>0</v>
      </c>
      <c r="CH63" s="1">
        <v>0</v>
      </c>
      <c r="CI63" s="1">
        <v>0</v>
      </c>
      <c r="CJ63" s="3">
        <v>0</v>
      </c>
      <c r="CK63" s="31">
        <v>0</v>
      </c>
      <c r="CL63" s="31">
        <v>0</v>
      </c>
      <c r="CM63" s="31">
        <v>0</v>
      </c>
      <c r="CN63" s="30">
        <f t="shared" si="28"/>
        <v>0</v>
      </c>
    </row>
    <row r="64" spans="1:92">
      <c r="A64" s="35" t="s">
        <v>205</v>
      </c>
      <c r="B64" s="8" t="s">
        <v>206</v>
      </c>
      <c r="C64" s="8" t="s">
        <v>64</v>
      </c>
      <c r="D64" s="9" t="s">
        <v>65</v>
      </c>
      <c r="E64" s="36" t="s">
        <v>66</v>
      </c>
      <c r="F64" s="12" t="s">
        <v>72</v>
      </c>
      <c r="G64" s="7">
        <v>1</v>
      </c>
      <c r="H64" s="34">
        <v>0</v>
      </c>
      <c r="I64" s="33">
        <v>0</v>
      </c>
      <c r="J64" s="1">
        <v>0</v>
      </c>
      <c r="K64" s="1">
        <v>0</v>
      </c>
      <c r="L64" s="1">
        <v>0</v>
      </c>
      <c r="M64" s="32">
        <v>0</v>
      </c>
      <c r="N64" s="2">
        <f t="shared" si="16"/>
        <v>0</v>
      </c>
      <c r="O64" s="2">
        <f>SUMIF('January 2027'!$B:$B,'PTO SUMMARY 2027'!B64,'January 2027'!$AK:$AK)</f>
        <v>0</v>
      </c>
      <c r="P64" s="1">
        <f t="shared" si="42"/>
        <v>0</v>
      </c>
      <c r="Q64" s="1">
        <v>0</v>
      </c>
      <c r="R64" s="1">
        <v>0</v>
      </c>
      <c r="S64" s="3">
        <f t="shared" si="17"/>
        <v>0</v>
      </c>
      <c r="T64" s="2">
        <f>SUMIF('February 2027'!$B:$B,'PTO SUMMARY 2027'!G64,'February 2027'!$AK:$AK)</f>
        <v>0</v>
      </c>
      <c r="U64" s="154">
        <v>0</v>
      </c>
      <c r="V64" s="1">
        <f t="shared" si="43"/>
        <v>0</v>
      </c>
      <c r="W64" s="1">
        <v>0</v>
      </c>
      <c r="X64" s="1">
        <v>0</v>
      </c>
      <c r="Y64" s="3">
        <f t="shared" si="18"/>
        <v>0</v>
      </c>
      <c r="Z64" s="2">
        <f>SUMIF('March 2027'!$B:$B,'PTO SUMMARY 2027'!M64,'March 2027'!$AK:$AK)</f>
        <v>0</v>
      </c>
      <c r="AA64" s="1">
        <f t="shared" si="53"/>
        <v>0</v>
      </c>
      <c r="AB64" s="1">
        <v>0</v>
      </c>
      <c r="AC64" s="1">
        <v>0</v>
      </c>
      <c r="AD64" s="3">
        <v>0</v>
      </c>
      <c r="AE64" s="31">
        <f t="shared" si="41"/>
        <v>0</v>
      </c>
      <c r="AF64" s="31">
        <v>0</v>
      </c>
      <c r="AG64" s="30">
        <f t="shared" si="44"/>
        <v>0</v>
      </c>
      <c r="AH64" s="2">
        <f t="shared" si="19"/>
        <v>0</v>
      </c>
      <c r="AI64" s="2">
        <f>SUMIF('April 2027'!$B:$B,'PTO SUMMARY 2027'!V64,'April 2027'!$AK:$AK)</f>
        <v>0</v>
      </c>
      <c r="AJ64" s="1">
        <f t="shared" si="45"/>
        <v>0</v>
      </c>
      <c r="AK64" s="1">
        <v>0</v>
      </c>
      <c r="AL64" s="1">
        <v>0</v>
      </c>
      <c r="AM64" s="3">
        <f t="shared" si="20"/>
        <v>0</v>
      </c>
      <c r="AN64" s="2">
        <f>SUMIF('May 2027'!$B:$B,'PTO SUMMARY 2027'!AA64,'May 2027'!$AK:$AK)</f>
        <v>0</v>
      </c>
      <c r="AO64" s="1">
        <f t="shared" si="46"/>
        <v>0</v>
      </c>
      <c r="AP64" s="1">
        <v>0</v>
      </c>
      <c r="AQ64" s="1">
        <v>0</v>
      </c>
      <c r="AR64" s="3">
        <f t="shared" si="21"/>
        <v>0</v>
      </c>
      <c r="AS64" s="2">
        <f>SUMIF('June 2027'!$B:$B,'PTO SUMMARY 2027'!AF64,'June 2027'!$AK:$AK)</f>
        <v>0</v>
      </c>
      <c r="AT64" s="1">
        <f t="shared" si="47"/>
        <v>0</v>
      </c>
      <c r="AU64" s="1">
        <v>0</v>
      </c>
      <c r="AV64" s="1">
        <v>0</v>
      </c>
      <c r="AW64" s="3">
        <v>0</v>
      </c>
      <c r="AX64" s="31">
        <v>0</v>
      </c>
      <c r="AY64" s="31">
        <v>0</v>
      </c>
      <c r="AZ64" s="30">
        <f t="shared" si="8"/>
        <v>0</v>
      </c>
      <c r="BA64" s="3">
        <f t="shared" si="22"/>
        <v>0</v>
      </c>
      <c r="BB64" s="2">
        <f>SUMIF('July 2027'!$B:$B,'PTO SUMMARY 2027'!AK64,'July 2027'!$AK:$AK)</f>
        <v>0</v>
      </c>
      <c r="BC64" s="1">
        <f t="shared" si="9"/>
        <v>0</v>
      </c>
      <c r="BD64" s="1">
        <v>0</v>
      </c>
      <c r="BE64" s="1">
        <v>0</v>
      </c>
      <c r="BF64" s="3">
        <f t="shared" si="23"/>
        <v>0</v>
      </c>
      <c r="BG64" s="2">
        <f>SUMIF('August 2027'!$B:$B,'PTO SUMMARY 2027'!AP64,'August 2027'!$AK:$AK)</f>
        <v>0</v>
      </c>
      <c r="BH64" s="1">
        <f t="shared" si="52"/>
        <v>0</v>
      </c>
      <c r="BI64" s="1">
        <v>0</v>
      </c>
      <c r="BJ64" s="1">
        <v>0</v>
      </c>
      <c r="BK64" s="3">
        <f t="shared" si="24"/>
        <v>0</v>
      </c>
      <c r="BL64" s="2">
        <f>SUMIF('September 2027'!$B:$B,'PTO SUMMARY 2027'!AU64,'September 2027'!$AK:$AK)</f>
        <v>0</v>
      </c>
      <c r="BM64" s="1">
        <f t="shared" si="48"/>
        <v>0</v>
      </c>
      <c r="BN64" s="1">
        <v>0</v>
      </c>
      <c r="BO64" s="1">
        <v>0</v>
      </c>
      <c r="BP64" s="3">
        <v>0</v>
      </c>
      <c r="BQ64" s="31">
        <v>0</v>
      </c>
      <c r="BR64" s="31">
        <v>0</v>
      </c>
      <c r="BS64" s="30">
        <f t="shared" si="12"/>
        <v>0</v>
      </c>
      <c r="BT64" s="3">
        <f t="shared" si="25"/>
        <v>0</v>
      </c>
      <c r="BU64" s="2">
        <f>SUMIF('October 2027'!$B:$B,'PTO SUMMARY 2027'!BH64,'October 2027'!$AK:$AK)</f>
        <v>0</v>
      </c>
      <c r="BV64" s="1">
        <f t="shared" si="49"/>
        <v>0</v>
      </c>
      <c r="BW64" s="1">
        <v>0</v>
      </c>
      <c r="BX64" s="1">
        <v>0</v>
      </c>
      <c r="BY64" s="3">
        <f t="shared" si="26"/>
        <v>0</v>
      </c>
      <c r="BZ64" s="2">
        <f>SUMIF('November 2027'!$B:$B,'PTO SUMMARY 2027'!BM64,'November 2027'!$AK:$AK)</f>
        <v>0</v>
      </c>
      <c r="CA64" s="1">
        <f t="shared" si="50"/>
        <v>0</v>
      </c>
      <c r="CB64" s="1">
        <v>0</v>
      </c>
      <c r="CC64" s="1">
        <v>0</v>
      </c>
      <c r="CD64" s="3">
        <f t="shared" si="27"/>
        <v>0</v>
      </c>
      <c r="CE64" s="2">
        <f>SUMIF('December 2027'!$B:$B,'PTO SUMMARY 2027'!$B:$B,'December 2027'!$AK:$AK)</f>
        <v>0</v>
      </c>
      <c r="CF64" s="1">
        <f t="shared" si="51"/>
        <v>0</v>
      </c>
      <c r="CG64" s="1">
        <v>0</v>
      </c>
      <c r="CH64" s="1">
        <v>0</v>
      </c>
      <c r="CI64" s="1">
        <v>0</v>
      </c>
      <c r="CJ64" s="3">
        <v>0</v>
      </c>
      <c r="CK64" s="31">
        <v>0</v>
      </c>
      <c r="CL64" s="31">
        <v>0</v>
      </c>
      <c r="CM64" s="31">
        <v>0</v>
      </c>
      <c r="CN64" s="30">
        <f t="shared" si="28"/>
        <v>0</v>
      </c>
    </row>
    <row r="65" spans="1:92">
      <c r="A65" s="8" t="s">
        <v>207</v>
      </c>
      <c r="B65" s="8" t="s">
        <v>208</v>
      </c>
      <c r="C65" s="8" t="s">
        <v>75</v>
      </c>
      <c r="D65" s="9" t="s">
        <v>70</v>
      </c>
      <c r="E65" t="s">
        <v>76</v>
      </c>
      <c r="F65" s="12" t="s">
        <v>99</v>
      </c>
      <c r="G65" s="7">
        <v>0.8</v>
      </c>
      <c r="H65" s="11">
        <f>((G65*86.67)*2)*(SUMIF('Accrual Rates'!B:B,'PTO SUMMARY 2027'!B65,'Accrual Rates'!G:G))</f>
        <v>10.666650240000001</v>
      </c>
      <c r="I65" s="33">
        <v>0</v>
      </c>
      <c r="J65" s="1">
        <v>0</v>
      </c>
      <c r="K65" s="1">
        <v>0</v>
      </c>
      <c r="L65" s="1">
        <v>0</v>
      </c>
      <c r="M65" s="32">
        <v>0</v>
      </c>
      <c r="N65" s="2">
        <f t="shared" si="16"/>
        <v>10.666650240000001</v>
      </c>
      <c r="O65" s="2">
        <f>SUMIF('January 2027'!$B:$B,'PTO SUMMARY 2027'!B65,'January 2027'!$AK:$AK)</f>
        <v>0</v>
      </c>
      <c r="P65" s="1">
        <f t="shared" si="42"/>
        <v>10.666650240000001</v>
      </c>
      <c r="Q65" s="1">
        <v>0</v>
      </c>
      <c r="R65" s="1">
        <v>0</v>
      </c>
      <c r="S65" s="3">
        <f t="shared" si="17"/>
        <v>10.666650240000001</v>
      </c>
      <c r="T65" s="2">
        <f>SUMIF('February 2027'!$B:$B,'PTO SUMMARY 2027'!G65,'February 2027'!$AK:$AK)</f>
        <v>0</v>
      </c>
      <c r="U65" s="154">
        <v>0</v>
      </c>
      <c r="V65" s="1">
        <f t="shared" si="43"/>
        <v>21.333300480000002</v>
      </c>
      <c r="W65" s="1">
        <v>0</v>
      </c>
      <c r="X65" s="1">
        <v>0</v>
      </c>
      <c r="Y65" s="3">
        <f t="shared" si="18"/>
        <v>10.666650240000001</v>
      </c>
      <c r="Z65" s="2">
        <f>SUMIF('March 2027'!$B:$B,'PTO SUMMARY 2027'!M65,'March 2027'!$AK:$AK)</f>
        <v>0</v>
      </c>
      <c r="AA65" s="1">
        <f t="shared" si="53"/>
        <v>31.999950720000001</v>
      </c>
      <c r="AB65" s="1">
        <v>0</v>
      </c>
      <c r="AC65" s="1">
        <v>0</v>
      </c>
      <c r="AD65" s="3">
        <v>0</v>
      </c>
      <c r="AE65" s="31">
        <f t="shared" si="41"/>
        <v>0</v>
      </c>
      <c r="AF65" s="31">
        <v>0</v>
      </c>
      <c r="AG65" s="30">
        <f t="shared" si="44"/>
        <v>0</v>
      </c>
      <c r="AH65" s="2">
        <f t="shared" si="19"/>
        <v>10.666650240000001</v>
      </c>
      <c r="AI65" s="2">
        <f>SUMIF('April 2027'!$B:$B,'PTO SUMMARY 2027'!V65,'April 2027'!$AK:$AK)</f>
        <v>0</v>
      </c>
      <c r="AJ65" s="1">
        <f t="shared" si="45"/>
        <v>42.666600960000004</v>
      </c>
      <c r="AK65" s="1">
        <v>0</v>
      </c>
      <c r="AL65" s="1">
        <v>0</v>
      </c>
      <c r="AM65" s="3">
        <f t="shared" si="20"/>
        <v>10.666650240000001</v>
      </c>
      <c r="AN65" s="2">
        <f>SUMIF('May 2027'!$B:$B,'PTO SUMMARY 2027'!AA65,'May 2027'!$AK:$AK)</f>
        <v>0</v>
      </c>
      <c r="AO65" s="1">
        <f t="shared" si="46"/>
        <v>53.33</v>
      </c>
      <c r="AP65" s="1">
        <v>0</v>
      </c>
      <c r="AQ65" s="1">
        <v>0</v>
      </c>
      <c r="AR65" s="3">
        <f t="shared" si="21"/>
        <v>10.666650240000001</v>
      </c>
      <c r="AS65" s="2">
        <f>SUMIF('June 2027'!$B:$B,'PTO SUMMARY 2027'!AF65,'June 2027'!$AK:$AK)</f>
        <v>0</v>
      </c>
      <c r="AT65" s="1">
        <f t="shared" si="47"/>
        <v>63.996650240000001</v>
      </c>
      <c r="AU65" s="1">
        <v>0</v>
      </c>
      <c r="AV65" s="1">
        <v>0</v>
      </c>
      <c r="AW65" s="3">
        <v>0</v>
      </c>
      <c r="AX65" s="31">
        <v>0</v>
      </c>
      <c r="AY65" s="31">
        <v>0</v>
      </c>
      <c r="AZ65" s="30">
        <f t="shared" si="8"/>
        <v>0</v>
      </c>
      <c r="BA65" s="3">
        <f t="shared" si="22"/>
        <v>10.666650240000001</v>
      </c>
      <c r="BB65" s="2">
        <f>SUMIF('July 2027'!$B:$B,'PTO SUMMARY 2027'!AK65,'July 2027'!$AK:$AK)</f>
        <v>0</v>
      </c>
      <c r="BC65" s="1">
        <f t="shared" si="9"/>
        <v>74.663300480000004</v>
      </c>
      <c r="BD65" s="1">
        <v>0</v>
      </c>
      <c r="BE65" s="1">
        <v>0</v>
      </c>
      <c r="BF65" s="3">
        <f t="shared" si="23"/>
        <v>10.666650240000001</v>
      </c>
      <c r="BG65" s="2">
        <f>SUMIF('August 2027'!$B:$B,'PTO SUMMARY 2027'!AP65,'August 2027'!$AK:$AK)</f>
        <v>0</v>
      </c>
      <c r="BH65" s="1">
        <f t="shared" si="52"/>
        <v>85.329950719999999</v>
      </c>
      <c r="BI65" s="1">
        <v>0</v>
      </c>
      <c r="BJ65" s="1">
        <v>0</v>
      </c>
      <c r="BK65" s="3">
        <f t="shared" si="24"/>
        <v>10.666650240000001</v>
      </c>
      <c r="BL65" s="2">
        <f>SUMIF('September 2027'!$B:$B,'PTO SUMMARY 2027'!AU65,'September 2027'!$AK:$AK)</f>
        <v>0</v>
      </c>
      <c r="BM65" s="1">
        <f t="shared" si="48"/>
        <v>95.996600959999995</v>
      </c>
      <c r="BN65" s="1">
        <v>0</v>
      </c>
      <c r="BO65" s="1">
        <v>0</v>
      </c>
      <c r="BP65" s="3">
        <v>0</v>
      </c>
      <c r="BQ65" s="31">
        <v>0</v>
      </c>
      <c r="BR65" s="31">
        <v>0</v>
      </c>
      <c r="BS65" s="30">
        <f t="shared" si="12"/>
        <v>0</v>
      </c>
      <c r="BT65" s="3">
        <f t="shared" si="25"/>
        <v>10.666650240000001</v>
      </c>
      <c r="BU65" s="2">
        <f>SUMIF('October 2027'!$B:$B,'PTO SUMMARY 2027'!BH65,'October 2027'!$AK:$AK)</f>
        <v>0</v>
      </c>
      <c r="BV65" s="1">
        <f t="shared" si="49"/>
        <v>106.66325119999999</v>
      </c>
      <c r="BW65" s="1">
        <v>0</v>
      </c>
      <c r="BX65" s="1">
        <v>0</v>
      </c>
      <c r="BY65" s="3">
        <f t="shared" si="26"/>
        <v>10.666650240000001</v>
      </c>
      <c r="BZ65" s="2">
        <f>SUMIF('November 2027'!$B:$B,'PTO SUMMARY 2027'!BM65,'November 2027'!$AK:$AK)</f>
        <v>0</v>
      </c>
      <c r="CA65" s="1">
        <f t="shared" si="50"/>
        <v>117.32990143999999</v>
      </c>
      <c r="CB65" s="1">
        <v>0</v>
      </c>
      <c r="CC65" s="1">
        <v>0</v>
      </c>
      <c r="CD65" s="3">
        <f t="shared" si="27"/>
        <v>10.666650240000001</v>
      </c>
      <c r="CE65" s="2">
        <f>SUMIF('December 2027'!$B:$B,'PTO SUMMARY 2027'!$B:$B,'December 2027'!$AK:$AK)</f>
        <v>0</v>
      </c>
      <c r="CF65" s="1">
        <f t="shared" si="51"/>
        <v>127.99655167999998</v>
      </c>
      <c r="CG65" s="1">
        <v>0</v>
      </c>
      <c r="CH65" s="1">
        <v>0</v>
      </c>
      <c r="CI65" s="1">
        <v>0</v>
      </c>
      <c r="CJ65" s="3">
        <v>0</v>
      </c>
      <c r="CK65" s="31">
        <v>0</v>
      </c>
      <c r="CL65" s="31">
        <v>0</v>
      </c>
      <c r="CM65" s="31">
        <v>0</v>
      </c>
      <c r="CN65" s="30">
        <f t="shared" si="28"/>
        <v>0</v>
      </c>
    </row>
    <row r="66" spans="1:92">
      <c r="A66" s="8" t="s">
        <v>209</v>
      </c>
      <c r="B66" s="39" t="s">
        <v>210</v>
      </c>
      <c r="C66" s="8" t="s">
        <v>75</v>
      </c>
      <c r="E66" t="s">
        <v>76</v>
      </c>
      <c r="F66" s="12" t="s">
        <v>83</v>
      </c>
      <c r="G66" s="7">
        <v>1</v>
      </c>
      <c r="H66" s="11">
        <f>((G66*86.67)*2)*(SUMIF('Accrual Rates'!B:B,'PTO SUMMARY 2027'!B66,'Accrual Rates'!G:G))</f>
        <v>13.3333128</v>
      </c>
      <c r="I66" s="33">
        <v>0</v>
      </c>
      <c r="J66" s="1">
        <v>0</v>
      </c>
      <c r="K66" s="1">
        <v>0</v>
      </c>
      <c r="L66" s="1">
        <v>0</v>
      </c>
      <c r="M66" s="32">
        <v>0</v>
      </c>
      <c r="N66" s="2">
        <f t="shared" si="16"/>
        <v>13.3333128</v>
      </c>
      <c r="O66" s="2">
        <f>SUMIF('January 2027'!$B:$B,'PTO SUMMARY 2027'!B66,'January 2027'!$AK:$AK)</f>
        <v>0</v>
      </c>
      <c r="P66" s="1">
        <f t="shared" si="42"/>
        <v>13.3333128</v>
      </c>
      <c r="Q66" s="1">
        <v>0</v>
      </c>
      <c r="R66" s="1">
        <v>0</v>
      </c>
      <c r="S66" s="3">
        <f t="shared" si="17"/>
        <v>13.3333128</v>
      </c>
      <c r="T66" s="2">
        <f>SUMIF('February 2027'!$B:$B,'PTO SUMMARY 2027'!G66,'February 2027'!$AK:$AK)</f>
        <v>0</v>
      </c>
      <c r="U66" s="154">
        <v>0</v>
      </c>
      <c r="V66" s="1">
        <f t="shared" si="43"/>
        <v>26.6666256</v>
      </c>
      <c r="W66" s="1">
        <v>0</v>
      </c>
      <c r="X66" s="1">
        <v>0</v>
      </c>
      <c r="Y66" s="3">
        <f t="shared" si="18"/>
        <v>13.3333128</v>
      </c>
      <c r="Z66" s="2">
        <f>SUMIF('March 2027'!$B:$B,'PTO SUMMARY 2027'!M66,'March 2027'!$AK:$AK)</f>
        <v>0</v>
      </c>
      <c r="AA66" s="1">
        <f t="shared" si="53"/>
        <v>39.999938399999998</v>
      </c>
      <c r="AB66" s="1">
        <v>0</v>
      </c>
      <c r="AC66" s="1">
        <v>0</v>
      </c>
      <c r="AD66" s="3">
        <v>0</v>
      </c>
      <c r="AE66" s="31">
        <f t="shared" si="41"/>
        <v>0</v>
      </c>
      <c r="AF66" s="31">
        <v>0</v>
      </c>
      <c r="AG66" s="30">
        <f t="shared" si="44"/>
        <v>0</v>
      </c>
      <c r="AH66" s="2">
        <f t="shared" si="19"/>
        <v>13.3333128</v>
      </c>
      <c r="AI66" s="2">
        <f>SUMIF('April 2027'!$B:$B,'PTO SUMMARY 2027'!V66,'April 2027'!$AK:$AK)</f>
        <v>0</v>
      </c>
      <c r="AJ66" s="1">
        <f t="shared" si="45"/>
        <v>53.333251199999999</v>
      </c>
      <c r="AK66" s="1">
        <v>0</v>
      </c>
      <c r="AL66" s="1">
        <v>0</v>
      </c>
      <c r="AM66" s="3">
        <f t="shared" si="20"/>
        <v>13.3333128</v>
      </c>
      <c r="AN66" s="2">
        <f>SUMIF('May 2027'!$B:$B,'PTO SUMMARY 2027'!AA66,'May 2027'!$AK:$AK)</f>
        <v>0</v>
      </c>
      <c r="AO66" s="1">
        <f t="shared" si="46"/>
        <v>66.67</v>
      </c>
      <c r="AP66" s="1">
        <v>0</v>
      </c>
      <c r="AQ66" s="1">
        <v>0</v>
      </c>
      <c r="AR66" s="3">
        <f t="shared" si="21"/>
        <v>13.3333128</v>
      </c>
      <c r="AS66" s="2">
        <f>SUMIF('June 2027'!$B:$B,'PTO SUMMARY 2027'!AF66,'June 2027'!$AK:$AK)</f>
        <v>0</v>
      </c>
      <c r="AT66" s="1">
        <f t="shared" si="47"/>
        <v>80.003312800000003</v>
      </c>
      <c r="AU66" s="1">
        <v>0</v>
      </c>
      <c r="AV66" s="1">
        <v>0</v>
      </c>
      <c r="AW66" s="3">
        <v>0</v>
      </c>
      <c r="AX66" s="31">
        <v>0</v>
      </c>
      <c r="AY66" s="31">
        <v>0</v>
      </c>
      <c r="AZ66" s="30">
        <f t="shared" si="8"/>
        <v>0</v>
      </c>
      <c r="BA66" s="3">
        <f t="shared" si="22"/>
        <v>13.3333128</v>
      </c>
      <c r="BB66" s="2">
        <f>SUMIF('July 2027'!$B:$B,'PTO SUMMARY 2027'!AK66,'July 2027'!$AK:$AK)</f>
        <v>0</v>
      </c>
      <c r="BC66" s="1">
        <f t="shared" si="9"/>
        <v>93.336625600000005</v>
      </c>
      <c r="BD66" s="1">
        <v>0</v>
      </c>
      <c r="BE66" s="1">
        <v>0</v>
      </c>
      <c r="BF66" s="3">
        <f t="shared" si="23"/>
        <v>13.3333128</v>
      </c>
      <c r="BG66" s="2">
        <f>SUMIF('August 2027'!$B:$B,'PTO SUMMARY 2027'!AP66,'August 2027'!$AK:$AK)</f>
        <v>0</v>
      </c>
      <c r="BH66" s="1">
        <f t="shared" si="52"/>
        <v>106.66993840000001</v>
      </c>
      <c r="BI66" s="1">
        <v>0</v>
      </c>
      <c r="BJ66" s="1">
        <v>0</v>
      </c>
      <c r="BK66" s="3">
        <f t="shared" si="24"/>
        <v>13.3333128</v>
      </c>
      <c r="BL66" s="2">
        <f>SUMIF('September 2027'!$B:$B,'PTO SUMMARY 2027'!AU66,'September 2027'!$AK:$AK)</f>
        <v>0</v>
      </c>
      <c r="BM66" s="1">
        <f t="shared" si="48"/>
        <v>120.00325120000001</v>
      </c>
      <c r="BN66" s="1">
        <v>0</v>
      </c>
      <c r="BO66" s="1">
        <v>0</v>
      </c>
      <c r="BP66" s="3">
        <v>0</v>
      </c>
      <c r="BQ66" s="31">
        <v>0</v>
      </c>
      <c r="BR66" s="31">
        <v>0</v>
      </c>
      <c r="BS66" s="30">
        <f t="shared" ref="BS66:BS124" si="65">BQ66-BR66</f>
        <v>0</v>
      </c>
      <c r="BT66" s="3">
        <f t="shared" si="25"/>
        <v>13.3333128</v>
      </c>
      <c r="BU66" s="2">
        <f>SUMIF('October 2027'!$B:$B,'PTO SUMMARY 2027'!BH66,'October 2027'!$AK:$AK)</f>
        <v>0</v>
      </c>
      <c r="BV66" s="1">
        <f t="shared" si="49"/>
        <v>133.33656400000001</v>
      </c>
      <c r="BW66" s="1">
        <v>0</v>
      </c>
      <c r="BX66" s="1">
        <v>0</v>
      </c>
      <c r="BY66" s="3">
        <f t="shared" si="26"/>
        <v>13.3333128</v>
      </c>
      <c r="BZ66" s="2">
        <f>SUMIF('November 2027'!$B:$B,'PTO SUMMARY 2027'!BM66,'November 2027'!$AK:$AK)</f>
        <v>0</v>
      </c>
      <c r="CA66" s="1">
        <f t="shared" si="50"/>
        <v>146.6698768</v>
      </c>
      <c r="CB66" s="1">
        <v>0</v>
      </c>
      <c r="CC66" s="1">
        <v>0</v>
      </c>
      <c r="CD66" s="3">
        <f t="shared" si="27"/>
        <v>13.3333128</v>
      </c>
      <c r="CE66" s="2">
        <f>SUMIF('December 2027'!$B:$B,'PTO SUMMARY 2027'!$B:$B,'December 2027'!$AK:$AK)</f>
        <v>0</v>
      </c>
      <c r="CF66" s="1">
        <f t="shared" si="51"/>
        <v>160.00318959999998</v>
      </c>
      <c r="CG66" s="1">
        <v>0</v>
      </c>
      <c r="CH66" s="1">
        <v>0</v>
      </c>
      <c r="CI66" s="1">
        <v>0</v>
      </c>
      <c r="CJ66" s="3">
        <v>0</v>
      </c>
      <c r="CK66" s="31">
        <v>0</v>
      </c>
      <c r="CL66" s="31">
        <v>0</v>
      </c>
      <c r="CM66" s="31">
        <v>0</v>
      </c>
      <c r="CN66" s="30">
        <f t="shared" si="28"/>
        <v>0</v>
      </c>
    </row>
    <row r="67" spans="1:92">
      <c r="A67" s="35" t="s">
        <v>211</v>
      </c>
      <c r="B67" s="8" t="s">
        <v>212</v>
      </c>
      <c r="C67" s="8" t="s">
        <v>75</v>
      </c>
      <c r="D67" s="9" t="s">
        <v>65</v>
      </c>
      <c r="E67" t="s">
        <v>95</v>
      </c>
      <c r="F67" s="12" t="s">
        <v>77</v>
      </c>
      <c r="G67" s="7">
        <v>0.9</v>
      </c>
      <c r="H67" s="34">
        <v>0</v>
      </c>
      <c r="I67" s="33">
        <v>0</v>
      </c>
      <c r="J67" s="1">
        <v>0</v>
      </c>
      <c r="K67" s="1">
        <v>0</v>
      </c>
      <c r="L67" s="1">
        <v>0</v>
      </c>
      <c r="M67" s="32">
        <v>0</v>
      </c>
      <c r="N67" s="2">
        <f t="shared" si="16"/>
        <v>0</v>
      </c>
      <c r="O67" s="2">
        <f>SUMIF('January 2027'!$B:$B,'PTO SUMMARY 2027'!B67,'January 2027'!$AK:$AK)</f>
        <v>8</v>
      </c>
      <c r="P67" s="1">
        <f t="shared" ref="P67:P99" si="66">L67+M67+N67-O67</f>
        <v>-8</v>
      </c>
      <c r="Q67" s="1">
        <v>0</v>
      </c>
      <c r="R67" s="1">
        <v>0</v>
      </c>
      <c r="S67" s="3">
        <f t="shared" si="17"/>
        <v>0</v>
      </c>
      <c r="T67" s="2">
        <f>SUMIF('February 2027'!$B:$B,'PTO SUMMARY 2027'!G67,'February 2027'!$AK:$AK)</f>
        <v>0</v>
      </c>
      <c r="U67" s="154">
        <v>0</v>
      </c>
      <c r="V67" s="1">
        <f t="shared" ref="V67:V99" si="67">P67+S67-T67</f>
        <v>-8</v>
      </c>
      <c r="W67" s="1">
        <v>0</v>
      </c>
      <c r="X67" s="1">
        <v>0</v>
      </c>
      <c r="Y67" s="3">
        <f t="shared" si="18"/>
        <v>0</v>
      </c>
      <c r="Z67" s="2">
        <f>SUMIF('March 2027'!$B:$B,'PTO SUMMARY 2027'!M67,'March 2027'!$AK:$AK)</f>
        <v>0</v>
      </c>
      <c r="AA67" s="1">
        <f t="shared" si="53"/>
        <v>-8</v>
      </c>
      <c r="AB67" s="1">
        <v>0</v>
      </c>
      <c r="AC67" s="1">
        <v>0</v>
      </c>
      <c r="AD67" s="3">
        <v>0</v>
      </c>
      <c r="AE67" s="31">
        <f t="shared" ref="AE67:AE99" si="68">K67-AD67</f>
        <v>0</v>
      </c>
      <c r="AF67" s="31">
        <v>0</v>
      </c>
      <c r="AG67" s="30">
        <f t="shared" ref="AG67:AG99" si="69">AE67-AF67</f>
        <v>0</v>
      </c>
      <c r="AH67" s="2">
        <f t="shared" si="19"/>
        <v>0</v>
      </c>
      <c r="AI67" s="2">
        <f>SUMIF('April 2027'!$B:$B,'PTO SUMMARY 2027'!V67,'April 2027'!$AK:$AK)</f>
        <v>0</v>
      </c>
      <c r="AJ67" s="1">
        <f t="shared" ref="AJ67:AJ99" si="70">AA67+AH67-AI67</f>
        <v>-8</v>
      </c>
      <c r="AK67" s="1">
        <v>0</v>
      </c>
      <c r="AL67" s="1">
        <v>0</v>
      </c>
      <c r="AM67" s="3">
        <f t="shared" si="20"/>
        <v>0</v>
      </c>
      <c r="AN67" s="2">
        <f>SUMIF('May 2027'!$B:$B,'PTO SUMMARY 2027'!AA67,'May 2027'!$AK:$AK)</f>
        <v>0</v>
      </c>
      <c r="AO67" s="1">
        <f t="shared" ref="AO67:AO99" si="71">ROUND((AJ67+AM67-AN67),2)</f>
        <v>-8</v>
      </c>
      <c r="AP67" s="1">
        <v>0</v>
      </c>
      <c r="AQ67" s="1">
        <v>0</v>
      </c>
      <c r="AR67" s="3">
        <f t="shared" si="21"/>
        <v>0</v>
      </c>
      <c r="AS67" s="2">
        <f>SUMIF('June 2027'!$B:$B,'PTO SUMMARY 2027'!AF67,'June 2027'!$AK:$AK)</f>
        <v>0</v>
      </c>
      <c r="AT67" s="1">
        <f t="shared" ref="AT67:AT99" si="72">AO67+AR67-AS67</f>
        <v>-8</v>
      </c>
      <c r="AU67" s="1">
        <v>0</v>
      </c>
      <c r="AV67" s="1">
        <v>0</v>
      </c>
      <c r="AW67" s="3">
        <v>0</v>
      </c>
      <c r="AX67" s="31">
        <v>0</v>
      </c>
      <c r="AY67" s="31">
        <v>0</v>
      </c>
      <c r="AZ67" s="30">
        <f t="shared" ref="AZ67:AZ124" si="73">AX67-AY67</f>
        <v>0</v>
      </c>
      <c r="BA67" s="3">
        <f t="shared" si="22"/>
        <v>0</v>
      </c>
      <c r="BB67" s="2">
        <f>SUMIF('July 2027'!$B:$B,'PTO SUMMARY 2027'!AK67,'July 2027'!$AK:$AK)</f>
        <v>0</v>
      </c>
      <c r="BC67" s="1">
        <f t="shared" ref="BC67:BC124" si="74">AT67+BA67-BB67</f>
        <v>-8</v>
      </c>
      <c r="BD67" s="1">
        <v>0</v>
      </c>
      <c r="BE67" s="1">
        <v>0</v>
      </c>
      <c r="BF67" s="3">
        <f t="shared" si="23"/>
        <v>0</v>
      </c>
      <c r="BG67" s="2">
        <f>SUMIF('August 2027'!$B:$B,'PTO SUMMARY 2027'!AP67,'August 2027'!$AK:$AK)</f>
        <v>0</v>
      </c>
      <c r="BH67" s="1">
        <f t="shared" ref="BH67:BH99" si="75">BC67+BF67-BG67</f>
        <v>-8</v>
      </c>
      <c r="BI67" s="1">
        <v>0</v>
      </c>
      <c r="BJ67" s="1">
        <v>0</v>
      </c>
      <c r="BK67" s="3">
        <f t="shared" si="24"/>
        <v>0</v>
      </c>
      <c r="BL67" s="2">
        <f>SUMIF('September 2027'!$B:$B,'PTO SUMMARY 2027'!AU67,'September 2027'!$AK:$AK)</f>
        <v>0</v>
      </c>
      <c r="BM67" s="1">
        <f t="shared" ref="BM67:BM99" si="76">BH67+BK67-BL67</f>
        <v>-8</v>
      </c>
      <c r="BN67" s="1">
        <v>0</v>
      </c>
      <c r="BO67" s="1">
        <v>0</v>
      </c>
      <c r="BP67" s="3">
        <v>0</v>
      </c>
      <c r="BQ67" s="31">
        <v>0</v>
      </c>
      <c r="BR67" s="31">
        <v>0</v>
      </c>
      <c r="BS67" s="30">
        <f t="shared" si="65"/>
        <v>0</v>
      </c>
      <c r="BT67" s="3">
        <f t="shared" si="25"/>
        <v>0</v>
      </c>
      <c r="BU67" s="2">
        <f>SUMIF('October 2027'!$B:$B,'PTO SUMMARY 2027'!BH67,'October 2027'!$AK:$AK)</f>
        <v>0</v>
      </c>
      <c r="BV67" s="1">
        <f t="shared" ref="BV67:BV99" si="77">BM67+BT67-BU67</f>
        <v>-8</v>
      </c>
      <c r="BW67" s="1">
        <v>0</v>
      </c>
      <c r="BX67" s="1">
        <v>0</v>
      </c>
      <c r="BY67" s="3">
        <f t="shared" si="26"/>
        <v>0</v>
      </c>
      <c r="BZ67" s="2">
        <f>SUMIF('November 2027'!$B:$B,'PTO SUMMARY 2027'!BM67,'November 2027'!$AK:$AK)</f>
        <v>0</v>
      </c>
      <c r="CA67" s="1">
        <f t="shared" ref="CA67:CA99" si="78">BV67+BY67-BZ67</f>
        <v>-8</v>
      </c>
      <c r="CB67" s="1">
        <v>0</v>
      </c>
      <c r="CC67" s="1">
        <v>0</v>
      </c>
      <c r="CD67" s="3">
        <f t="shared" si="27"/>
        <v>0</v>
      </c>
      <c r="CE67" s="2">
        <f>SUMIF('December 2027'!$B:$B,'PTO SUMMARY 2027'!$B:$B,'December 2027'!$AK:$AK)</f>
        <v>0</v>
      </c>
      <c r="CF67" s="1">
        <f t="shared" ref="CF67:CF99" si="79">CA67+CD67-CE67</f>
        <v>-8</v>
      </c>
      <c r="CG67" s="1">
        <v>0</v>
      </c>
      <c r="CH67" s="1">
        <v>0</v>
      </c>
      <c r="CI67" s="1">
        <v>0</v>
      </c>
      <c r="CJ67" s="3">
        <v>0</v>
      </c>
      <c r="CK67" s="31">
        <v>0</v>
      </c>
      <c r="CL67" s="31">
        <v>0</v>
      </c>
      <c r="CM67" s="31">
        <v>0</v>
      </c>
      <c r="CN67" s="30">
        <f t="shared" si="28"/>
        <v>0</v>
      </c>
    </row>
    <row r="68" spans="1:92">
      <c r="A68" s="35" t="s">
        <v>213</v>
      </c>
      <c r="B68" s="8" t="s">
        <v>214</v>
      </c>
      <c r="C68" s="8" t="s">
        <v>64</v>
      </c>
      <c r="D68" s="9" t="s">
        <v>65</v>
      </c>
      <c r="E68" t="s">
        <v>115</v>
      </c>
      <c r="F68" s="12" t="s">
        <v>136</v>
      </c>
      <c r="G68" s="7">
        <v>1</v>
      </c>
      <c r="H68" s="34">
        <v>0</v>
      </c>
      <c r="I68" s="33">
        <v>0</v>
      </c>
      <c r="J68" s="1">
        <v>0</v>
      </c>
      <c r="K68" s="1">
        <v>0</v>
      </c>
      <c r="L68" s="1">
        <v>0</v>
      </c>
      <c r="M68" s="32">
        <v>0</v>
      </c>
      <c r="N68" s="2">
        <f t="shared" ref="N68:N124" si="80">H68</f>
        <v>0</v>
      </c>
      <c r="O68" s="2">
        <f>SUMIF('January 2027'!$B:$B,'PTO SUMMARY 2027'!B68,'January 2027'!$AK:$AK)</f>
        <v>0</v>
      </c>
      <c r="P68" s="1">
        <f t="shared" si="66"/>
        <v>0</v>
      </c>
      <c r="Q68" s="1">
        <v>0</v>
      </c>
      <c r="R68" s="1">
        <v>0</v>
      </c>
      <c r="S68" s="3">
        <f t="shared" ref="S68:S124" si="81">H68</f>
        <v>0</v>
      </c>
      <c r="T68" s="2">
        <f>SUMIF('February 2027'!$B:$B,'PTO SUMMARY 2027'!G68,'February 2027'!$AK:$AK)</f>
        <v>0</v>
      </c>
      <c r="U68" s="154">
        <v>0</v>
      </c>
      <c r="V68" s="1">
        <f t="shared" si="67"/>
        <v>0</v>
      </c>
      <c r="W68" s="1">
        <v>0</v>
      </c>
      <c r="X68" s="1">
        <v>0</v>
      </c>
      <c r="Y68" s="3">
        <f t="shared" ref="Y68:Y124" si="82">H68</f>
        <v>0</v>
      </c>
      <c r="Z68" s="2">
        <f>SUMIF('March 2027'!$B:$B,'PTO SUMMARY 2027'!M68,'March 2027'!$AK:$AK)</f>
        <v>0</v>
      </c>
      <c r="AA68" s="1">
        <f t="shared" si="53"/>
        <v>0</v>
      </c>
      <c r="AB68" s="1">
        <v>0</v>
      </c>
      <c r="AC68" s="1">
        <v>0</v>
      </c>
      <c r="AD68" s="3">
        <v>0</v>
      </c>
      <c r="AE68" s="31">
        <f t="shared" si="68"/>
        <v>0</v>
      </c>
      <c r="AF68" s="31">
        <v>0</v>
      </c>
      <c r="AG68" s="30">
        <f t="shared" si="69"/>
        <v>0</v>
      </c>
      <c r="AH68" s="2">
        <f t="shared" ref="AH68:AH124" si="83">H68</f>
        <v>0</v>
      </c>
      <c r="AI68" s="2">
        <f>SUMIF('April 2027'!$B:$B,'PTO SUMMARY 2027'!V68,'April 2027'!$AK:$AK)</f>
        <v>0</v>
      </c>
      <c r="AJ68" s="1">
        <f t="shared" si="70"/>
        <v>0</v>
      </c>
      <c r="AK68" s="1">
        <v>0</v>
      </c>
      <c r="AL68" s="1">
        <v>0</v>
      </c>
      <c r="AM68" s="3">
        <f t="shared" ref="AM68:AM124" si="84">H68</f>
        <v>0</v>
      </c>
      <c r="AN68" s="2">
        <f>SUMIF('May 2027'!$B:$B,'PTO SUMMARY 2027'!AA68,'May 2027'!$AK:$AK)</f>
        <v>0</v>
      </c>
      <c r="AO68" s="1">
        <f t="shared" si="71"/>
        <v>0</v>
      </c>
      <c r="AP68" s="1">
        <v>0</v>
      </c>
      <c r="AQ68" s="1">
        <v>0</v>
      </c>
      <c r="AR68" s="3">
        <f t="shared" ref="AR68:AR124" si="85">H68</f>
        <v>0</v>
      </c>
      <c r="AS68" s="2">
        <f>SUMIF('June 2027'!$B:$B,'PTO SUMMARY 2027'!AF68,'June 2027'!$AK:$AK)</f>
        <v>0</v>
      </c>
      <c r="AT68" s="1">
        <f t="shared" si="72"/>
        <v>0</v>
      </c>
      <c r="AU68" s="1">
        <v>0</v>
      </c>
      <c r="AV68" s="1">
        <v>0</v>
      </c>
      <c r="AW68" s="3">
        <v>0</v>
      </c>
      <c r="AX68" s="31">
        <v>0</v>
      </c>
      <c r="AY68" s="31">
        <v>0</v>
      </c>
      <c r="AZ68" s="30">
        <f t="shared" si="73"/>
        <v>0</v>
      </c>
      <c r="BA68" s="3">
        <f t="shared" ref="BA68:BA124" si="86">H68</f>
        <v>0</v>
      </c>
      <c r="BB68" s="2">
        <f>SUMIF('July 2027'!$B:$B,'PTO SUMMARY 2027'!AK68,'July 2027'!$AK:$AK)</f>
        <v>0</v>
      </c>
      <c r="BC68" s="1">
        <f t="shared" si="74"/>
        <v>0</v>
      </c>
      <c r="BD68" s="1">
        <v>0</v>
      </c>
      <c r="BE68" s="1">
        <v>0</v>
      </c>
      <c r="BF68" s="3">
        <f t="shared" ref="BF68:BF124" si="87">H68</f>
        <v>0</v>
      </c>
      <c r="BG68" s="2">
        <f>SUMIF('August 2027'!$B:$B,'PTO SUMMARY 2027'!AP68,'August 2027'!$AK:$AK)</f>
        <v>0</v>
      </c>
      <c r="BH68" s="1">
        <f t="shared" si="75"/>
        <v>0</v>
      </c>
      <c r="BI68" s="1">
        <v>0</v>
      </c>
      <c r="BJ68" s="1">
        <v>0</v>
      </c>
      <c r="BK68" s="3">
        <f t="shared" ref="BK68:BK124" si="88">H68</f>
        <v>0</v>
      </c>
      <c r="BL68" s="2">
        <f>SUMIF('September 2027'!$B:$B,'PTO SUMMARY 2027'!AU68,'September 2027'!$AK:$AK)</f>
        <v>0</v>
      </c>
      <c r="BM68" s="1">
        <f t="shared" si="76"/>
        <v>0</v>
      </c>
      <c r="BN68" s="1">
        <v>0</v>
      </c>
      <c r="BO68" s="1">
        <v>0</v>
      </c>
      <c r="BP68" s="3">
        <v>0</v>
      </c>
      <c r="BQ68" s="31">
        <v>0</v>
      </c>
      <c r="BR68" s="31">
        <v>0</v>
      </c>
      <c r="BS68" s="30">
        <f t="shared" si="65"/>
        <v>0</v>
      </c>
      <c r="BT68" s="3">
        <f t="shared" ref="BT68:BT124" si="89">H68</f>
        <v>0</v>
      </c>
      <c r="BU68" s="2">
        <f>SUMIF('October 2027'!$B:$B,'PTO SUMMARY 2027'!BH68,'October 2027'!$AK:$AK)</f>
        <v>0</v>
      </c>
      <c r="BV68" s="1">
        <f t="shared" si="77"/>
        <v>0</v>
      </c>
      <c r="BW68" s="1">
        <v>0</v>
      </c>
      <c r="BX68" s="1">
        <v>0</v>
      </c>
      <c r="BY68" s="3">
        <f t="shared" ref="BY68:BY124" si="90">H68</f>
        <v>0</v>
      </c>
      <c r="BZ68" s="2">
        <f>SUMIF('November 2027'!$B:$B,'PTO SUMMARY 2027'!BM68,'November 2027'!$AK:$AK)</f>
        <v>0</v>
      </c>
      <c r="CA68" s="1">
        <f t="shared" si="78"/>
        <v>0</v>
      </c>
      <c r="CB68" s="1">
        <v>0</v>
      </c>
      <c r="CC68" s="1">
        <v>0</v>
      </c>
      <c r="CD68" s="3">
        <f t="shared" ref="CD68:CD124" si="91">H68</f>
        <v>0</v>
      </c>
      <c r="CE68" s="2">
        <f>SUMIF('December 2027'!$B:$B,'PTO SUMMARY 2027'!$B:$B,'December 2027'!$AK:$AK)</f>
        <v>0</v>
      </c>
      <c r="CF68" s="1">
        <f t="shared" si="79"/>
        <v>0</v>
      </c>
      <c r="CG68" s="1">
        <v>0</v>
      </c>
      <c r="CH68" s="1">
        <v>0</v>
      </c>
      <c r="CI68" s="1">
        <v>0</v>
      </c>
      <c r="CJ68" s="3">
        <v>0</v>
      </c>
      <c r="CK68" s="31">
        <v>0</v>
      </c>
      <c r="CL68" s="31">
        <v>0</v>
      </c>
      <c r="CM68" s="31">
        <v>0</v>
      </c>
      <c r="CN68" s="30">
        <f t="shared" ref="CN68:CN124" si="92">CK68+CL68-CM68</f>
        <v>0</v>
      </c>
    </row>
    <row r="69" spans="1:92">
      <c r="A69" s="8" t="s">
        <v>215</v>
      </c>
      <c r="B69" s="8" t="s">
        <v>216</v>
      </c>
      <c r="C69" s="8" t="s">
        <v>75</v>
      </c>
      <c r="D69" s="9" t="s">
        <v>70</v>
      </c>
      <c r="E69" t="s">
        <v>76</v>
      </c>
      <c r="F69" s="12" t="s">
        <v>72</v>
      </c>
      <c r="G69" s="7">
        <v>1</v>
      </c>
      <c r="H69" s="11">
        <f>((G69*86.67)*2)*(SUMIF('Accrual Rates'!B:B,'PTO SUMMARY 2027'!B69,'Accrual Rates'!G:G))</f>
        <v>13.3333128</v>
      </c>
      <c r="I69" s="33">
        <v>0</v>
      </c>
      <c r="J69" s="1">
        <v>0</v>
      </c>
      <c r="K69" s="1">
        <v>0</v>
      </c>
      <c r="L69" s="1">
        <v>0</v>
      </c>
      <c r="M69" s="32">
        <v>0</v>
      </c>
      <c r="N69" s="2">
        <f t="shared" si="80"/>
        <v>13.3333128</v>
      </c>
      <c r="O69" s="2">
        <f>SUMIF('January 2027'!$B:$B,'PTO SUMMARY 2027'!B69,'January 2027'!$AK:$AK)</f>
        <v>0</v>
      </c>
      <c r="P69" s="1">
        <f t="shared" si="66"/>
        <v>13.3333128</v>
      </c>
      <c r="Q69" s="1">
        <v>0</v>
      </c>
      <c r="R69" s="1">
        <v>0</v>
      </c>
      <c r="S69" s="3">
        <f t="shared" si="81"/>
        <v>13.3333128</v>
      </c>
      <c r="T69" s="2">
        <f>SUMIF('February 2027'!$B:$B,'PTO SUMMARY 2027'!G69,'February 2027'!$AK:$AK)</f>
        <v>0</v>
      </c>
      <c r="U69" s="154">
        <v>0</v>
      </c>
      <c r="V69" s="1">
        <f t="shared" si="67"/>
        <v>26.6666256</v>
      </c>
      <c r="W69" s="1">
        <v>0</v>
      </c>
      <c r="X69" s="1">
        <v>0</v>
      </c>
      <c r="Y69" s="3">
        <f t="shared" si="82"/>
        <v>13.3333128</v>
      </c>
      <c r="Z69" s="2">
        <f>SUMIF('March 2027'!$B:$B,'PTO SUMMARY 2027'!M69,'March 2027'!$AK:$AK)</f>
        <v>0</v>
      </c>
      <c r="AA69" s="1">
        <f t="shared" si="53"/>
        <v>39.999938399999998</v>
      </c>
      <c r="AB69" s="1">
        <v>0</v>
      </c>
      <c r="AC69" s="1">
        <v>0</v>
      </c>
      <c r="AD69" s="3">
        <v>0</v>
      </c>
      <c r="AE69" s="31">
        <f t="shared" si="68"/>
        <v>0</v>
      </c>
      <c r="AF69" s="31">
        <v>0</v>
      </c>
      <c r="AG69" s="30">
        <f t="shared" si="69"/>
        <v>0</v>
      </c>
      <c r="AH69" s="2">
        <f t="shared" si="83"/>
        <v>13.3333128</v>
      </c>
      <c r="AI69" s="2">
        <f>SUMIF('April 2027'!$B:$B,'PTO SUMMARY 2027'!V69,'April 2027'!$AK:$AK)</f>
        <v>0</v>
      </c>
      <c r="AJ69" s="1">
        <f t="shared" si="70"/>
        <v>53.333251199999999</v>
      </c>
      <c r="AK69" s="1">
        <v>0</v>
      </c>
      <c r="AL69" s="1">
        <v>0</v>
      </c>
      <c r="AM69" s="3">
        <f t="shared" si="84"/>
        <v>13.3333128</v>
      </c>
      <c r="AN69" s="2">
        <f>SUMIF('May 2027'!$B:$B,'PTO SUMMARY 2027'!AA69,'May 2027'!$AK:$AK)</f>
        <v>0</v>
      </c>
      <c r="AO69" s="1">
        <f t="shared" si="71"/>
        <v>66.67</v>
      </c>
      <c r="AP69" s="1">
        <v>0</v>
      </c>
      <c r="AQ69" s="1">
        <v>0</v>
      </c>
      <c r="AR69" s="3">
        <f t="shared" si="85"/>
        <v>13.3333128</v>
      </c>
      <c r="AS69" s="2">
        <f>SUMIF('June 2027'!$B:$B,'PTO SUMMARY 2027'!AF69,'June 2027'!$AK:$AK)</f>
        <v>0</v>
      </c>
      <c r="AT69" s="1">
        <f t="shared" si="72"/>
        <v>80.003312800000003</v>
      </c>
      <c r="AU69" s="1">
        <v>0</v>
      </c>
      <c r="AV69" s="1">
        <v>0</v>
      </c>
      <c r="AW69" s="3">
        <v>0</v>
      </c>
      <c r="AX69" s="31">
        <v>0</v>
      </c>
      <c r="AY69" s="31">
        <v>0</v>
      </c>
      <c r="AZ69" s="30">
        <f t="shared" si="73"/>
        <v>0</v>
      </c>
      <c r="BA69" s="3">
        <f t="shared" si="86"/>
        <v>13.3333128</v>
      </c>
      <c r="BB69" s="2">
        <f>SUMIF('July 2027'!$B:$B,'PTO SUMMARY 2027'!AK69,'July 2027'!$AK:$AK)</f>
        <v>0</v>
      </c>
      <c r="BC69" s="1">
        <f t="shared" si="74"/>
        <v>93.336625600000005</v>
      </c>
      <c r="BD69" s="1">
        <v>0</v>
      </c>
      <c r="BE69" s="1">
        <v>0</v>
      </c>
      <c r="BF69" s="3">
        <f t="shared" si="87"/>
        <v>13.3333128</v>
      </c>
      <c r="BG69" s="2">
        <f>SUMIF('August 2027'!$B:$B,'PTO SUMMARY 2027'!AP69,'August 2027'!$AK:$AK)</f>
        <v>0</v>
      </c>
      <c r="BH69" s="1">
        <f t="shared" si="75"/>
        <v>106.66993840000001</v>
      </c>
      <c r="BI69" s="1">
        <v>0</v>
      </c>
      <c r="BJ69" s="1">
        <v>0</v>
      </c>
      <c r="BK69" s="3">
        <f t="shared" si="88"/>
        <v>13.3333128</v>
      </c>
      <c r="BL69" s="2">
        <f>SUMIF('September 2027'!$B:$B,'PTO SUMMARY 2027'!AU69,'September 2027'!$AK:$AK)</f>
        <v>0</v>
      </c>
      <c r="BM69" s="1">
        <f t="shared" si="76"/>
        <v>120.00325120000001</v>
      </c>
      <c r="BN69" s="1">
        <v>0</v>
      </c>
      <c r="BO69" s="1">
        <v>0</v>
      </c>
      <c r="BP69" s="3">
        <v>0</v>
      </c>
      <c r="BQ69" s="31">
        <v>0</v>
      </c>
      <c r="BR69" s="31">
        <v>0</v>
      </c>
      <c r="BS69" s="30">
        <f t="shared" si="65"/>
        <v>0</v>
      </c>
      <c r="BT69" s="3">
        <f t="shared" si="89"/>
        <v>13.3333128</v>
      </c>
      <c r="BU69" s="2">
        <f>SUMIF('October 2027'!$B:$B,'PTO SUMMARY 2027'!BH69,'October 2027'!$AK:$AK)</f>
        <v>0</v>
      </c>
      <c r="BV69" s="1">
        <f t="shared" si="77"/>
        <v>133.33656400000001</v>
      </c>
      <c r="BW69" s="1">
        <v>0</v>
      </c>
      <c r="BX69" s="1">
        <v>0</v>
      </c>
      <c r="BY69" s="3">
        <f t="shared" si="90"/>
        <v>13.3333128</v>
      </c>
      <c r="BZ69" s="2">
        <f>SUMIF('November 2027'!$B:$B,'PTO SUMMARY 2027'!BM69,'November 2027'!$AK:$AK)</f>
        <v>0</v>
      </c>
      <c r="CA69" s="1">
        <f t="shared" si="78"/>
        <v>146.6698768</v>
      </c>
      <c r="CB69" s="1">
        <v>0</v>
      </c>
      <c r="CC69" s="1">
        <v>0</v>
      </c>
      <c r="CD69" s="3">
        <f t="shared" si="91"/>
        <v>13.3333128</v>
      </c>
      <c r="CE69" s="2">
        <f>SUMIF('December 2027'!$B:$B,'PTO SUMMARY 2027'!$B:$B,'December 2027'!$AK:$AK)</f>
        <v>0</v>
      </c>
      <c r="CF69" s="1">
        <f t="shared" si="79"/>
        <v>160.00318959999998</v>
      </c>
      <c r="CG69" s="1">
        <v>0</v>
      </c>
      <c r="CH69" s="1">
        <v>0</v>
      </c>
      <c r="CI69" s="1">
        <v>0</v>
      </c>
      <c r="CJ69" s="3">
        <v>0</v>
      </c>
      <c r="CK69" s="31">
        <v>0</v>
      </c>
      <c r="CL69" s="31">
        <v>0</v>
      </c>
      <c r="CM69" s="31">
        <v>0</v>
      </c>
      <c r="CN69" s="30">
        <f t="shared" si="92"/>
        <v>0</v>
      </c>
    </row>
    <row r="70" spans="1:92">
      <c r="A70" s="35" t="s">
        <v>217</v>
      </c>
      <c r="B70" s="8" t="s">
        <v>218</v>
      </c>
      <c r="C70" s="8" t="s">
        <v>75</v>
      </c>
      <c r="D70" s="9" t="s">
        <v>65</v>
      </c>
      <c r="E70" t="s">
        <v>95</v>
      </c>
      <c r="F70" s="12" t="s">
        <v>136</v>
      </c>
      <c r="G70" s="7">
        <v>1</v>
      </c>
      <c r="H70" s="34">
        <v>0</v>
      </c>
      <c r="I70" s="33">
        <v>0</v>
      </c>
      <c r="J70" s="1">
        <v>0</v>
      </c>
      <c r="K70" s="1">
        <v>0</v>
      </c>
      <c r="L70" s="1">
        <v>0</v>
      </c>
      <c r="M70" s="32">
        <v>0</v>
      </c>
      <c r="N70" s="2">
        <f t="shared" si="80"/>
        <v>0</v>
      </c>
      <c r="O70" s="2">
        <f>SUMIF('January 2027'!$B:$B,'PTO SUMMARY 2027'!B70,'January 2027'!$AK:$AK)</f>
        <v>0</v>
      </c>
      <c r="P70" s="1">
        <f t="shared" si="66"/>
        <v>0</v>
      </c>
      <c r="Q70" s="1">
        <v>0</v>
      </c>
      <c r="R70" s="1">
        <v>0</v>
      </c>
      <c r="S70" s="3">
        <f t="shared" si="81"/>
        <v>0</v>
      </c>
      <c r="T70" s="2">
        <f>SUMIF('February 2027'!$B:$B,'PTO SUMMARY 2027'!G70,'February 2027'!$AK:$AK)</f>
        <v>0</v>
      </c>
      <c r="U70" s="154">
        <v>0</v>
      </c>
      <c r="V70" s="1">
        <f t="shared" si="67"/>
        <v>0</v>
      </c>
      <c r="W70" s="1">
        <v>0</v>
      </c>
      <c r="X70" s="1">
        <v>0</v>
      </c>
      <c r="Y70" s="3">
        <f t="shared" si="82"/>
        <v>0</v>
      </c>
      <c r="Z70" s="2">
        <f>SUMIF('March 2027'!$B:$B,'PTO SUMMARY 2027'!M70,'March 2027'!$AK:$AK)</f>
        <v>0</v>
      </c>
      <c r="AA70" s="1">
        <f t="shared" si="53"/>
        <v>0</v>
      </c>
      <c r="AB70" s="1">
        <v>0</v>
      </c>
      <c r="AC70" s="1">
        <v>0</v>
      </c>
      <c r="AD70" s="3">
        <v>0</v>
      </c>
      <c r="AE70" s="31">
        <f t="shared" si="68"/>
        <v>0</v>
      </c>
      <c r="AF70" s="31">
        <v>0</v>
      </c>
      <c r="AG70" s="30">
        <f t="shared" si="69"/>
        <v>0</v>
      </c>
      <c r="AH70" s="2">
        <f t="shared" si="83"/>
        <v>0</v>
      </c>
      <c r="AI70" s="2">
        <f>SUMIF('April 2027'!$B:$B,'PTO SUMMARY 2027'!V70,'April 2027'!$AK:$AK)</f>
        <v>0</v>
      </c>
      <c r="AJ70" s="1">
        <f t="shared" si="70"/>
        <v>0</v>
      </c>
      <c r="AK70" s="1">
        <v>0</v>
      </c>
      <c r="AL70" s="1">
        <v>0</v>
      </c>
      <c r="AM70" s="3">
        <f t="shared" si="84"/>
        <v>0</v>
      </c>
      <c r="AN70" s="2">
        <f>SUMIF('May 2027'!$B:$B,'PTO SUMMARY 2027'!AA70,'May 2027'!$AK:$AK)</f>
        <v>0</v>
      </c>
      <c r="AO70" s="1">
        <f t="shared" si="71"/>
        <v>0</v>
      </c>
      <c r="AP70" s="1">
        <v>0</v>
      </c>
      <c r="AQ70" s="1">
        <v>0</v>
      </c>
      <c r="AR70" s="3">
        <f t="shared" si="85"/>
        <v>0</v>
      </c>
      <c r="AS70" s="2">
        <f>SUMIF('June 2027'!$B:$B,'PTO SUMMARY 2027'!AF70,'June 2027'!$AK:$AK)</f>
        <v>0</v>
      </c>
      <c r="AT70" s="1">
        <f t="shared" si="72"/>
        <v>0</v>
      </c>
      <c r="AU70" s="1">
        <v>0</v>
      </c>
      <c r="AV70" s="1">
        <v>0</v>
      </c>
      <c r="AW70" s="3">
        <v>0</v>
      </c>
      <c r="AX70" s="31">
        <v>0</v>
      </c>
      <c r="AY70" s="31">
        <v>0</v>
      </c>
      <c r="AZ70" s="30">
        <f t="shared" si="73"/>
        <v>0</v>
      </c>
      <c r="BA70" s="3">
        <f t="shared" si="86"/>
        <v>0</v>
      </c>
      <c r="BB70" s="2">
        <f>SUMIF('July 2027'!$B:$B,'PTO SUMMARY 2027'!AK70,'July 2027'!$AK:$AK)</f>
        <v>0</v>
      </c>
      <c r="BC70" s="1">
        <f t="shared" si="74"/>
        <v>0</v>
      </c>
      <c r="BD70" s="1">
        <v>0</v>
      </c>
      <c r="BE70" s="1">
        <v>0</v>
      </c>
      <c r="BF70" s="3">
        <f t="shared" si="87"/>
        <v>0</v>
      </c>
      <c r="BG70" s="2">
        <f>SUMIF('August 2027'!$B:$B,'PTO SUMMARY 2027'!AP70,'August 2027'!$AK:$AK)</f>
        <v>0</v>
      </c>
      <c r="BH70" s="1">
        <f t="shared" si="75"/>
        <v>0</v>
      </c>
      <c r="BI70" s="1">
        <v>0</v>
      </c>
      <c r="BJ70" s="1">
        <v>0</v>
      </c>
      <c r="BK70" s="3">
        <f t="shared" si="88"/>
        <v>0</v>
      </c>
      <c r="BL70" s="2">
        <f>SUMIF('September 2027'!$B:$B,'PTO SUMMARY 2027'!AU70,'September 2027'!$AK:$AK)</f>
        <v>0</v>
      </c>
      <c r="BM70" s="1">
        <f t="shared" si="76"/>
        <v>0</v>
      </c>
      <c r="BN70" s="1">
        <v>0</v>
      </c>
      <c r="BO70" s="1">
        <v>0</v>
      </c>
      <c r="BP70" s="3">
        <v>0</v>
      </c>
      <c r="BQ70" s="31">
        <v>0</v>
      </c>
      <c r="BR70" s="31">
        <v>0</v>
      </c>
      <c r="BS70" s="30">
        <f t="shared" si="65"/>
        <v>0</v>
      </c>
      <c r="BT70" s="3">
        <f t="shared" si="89"/>
        <v>0</v>
      </c>
      <c r="BU70" s="2">
        <f>SUMIF('October 2027'!$B:$B,'PTO SUMMARY 2027'!BH70,'October 2027'!$AK:$AK)</f>
        <v>0</v>
      </c>
      <c r="BV70" s="1">
        <f t="shared" si="77"/>
        <v>0</v>
      </c>
      <c r="BW70" s="1">
        <v>0</v>
      </c>
      <c r="BX70" s="1">
        <v>0</v>
      </c>
      <c r="BY70" s="3">
        <f t="shared" si="90"/>
        <v>0</v>
      </c>
      <c r="BZ70" s="2">
        <f>SUMIF('November 2027'!$B:$B,'PTO SUMMARY 2027'!BM70,'November 2027'!$AK:$AK)</f>
        <v>0</v>
      </c>
      <c r="CA70" s="1">
        <f t="shared" si="78"/>
        <v>0</v>
      </c>
      <c r="CB70" s="1">
        <v>0</v>
      </c>
      <c r="CC70" s="1">
        <v>0</v>
      </c>
      <c r="CD70" s="3">
        <f t="shared" si="91"/>
        <v>0</v>
      </c>
      <c r="CE70" s="2">
        <f>SUMIF('December 2027'!$B:$B,'PTO SUMMARY 2027'!$B:$B,'December 2027'!$AK:$AK)</f>
        <v>0</v>
      </c>
      <c r="CF70" s="1">
        <f t="shared" si="79"/>
        <v>0</v>
      </c>
      <c r="CG70" s="1">
        <v>0</v>
      </c>
      <c r="CH70" s="1">
        <v>0</v>
      </c>
      <c r="CI70" s="1">
        <v>0</v>
      </c>
      <c r="CJ70" s="3">
        <v>0</v>
      </c>
      <c r="CK70" s="31">
        <v>0</v>
      </c>
      <c r="CL70" s="31">
        <v>0</v>
      </c>
      <c r="CM70" s="31">
        <v>0</v>
      </c>
      <c r="CN70" s="30">
        <f t="shared" si="92"/>
        <v>0</v>
      </c>
    </row>
    <row r="71" spans="1:92">
      <c r="A71" s="35" t="s">
        <v>219</v>
      </c>
      <c r="B71" s="8" t="s">
        <v>220</v>
      </c>
      <c r="C71" s="8" t="s">
        <v>64</v>
      </c>
      <c r="D71" s="9" t="s">
        <v>65</v>
      </c>
      <c r="E71" s="36" t="s">
        <v>66</v>
      </c>
      <c r="F71" s="12" t="s">
        <v>108</v>
      </c>
      <c r="G71" s="7">
        <v>1</v>
      </c>
      <c r="H71" s="34">
        <v>0</v>
      </c>
      <c r="I71" s="33">
        <v>0</v>
      </c>
      <c r="J71" s="1">
        <v>0</v>
      </c>
      <c r="K71" s="1">
        <v>0</v>
      </c>
      <c r="L71" s="1">
        <v>0</v>
      </c>
      <c r="M71" s="32">
        <v>0</v>
      </c>
      <c r="N71" s="2">
        <f t="shared" si="80"/>
        <v>0</v>
      </c>
      <c r="O71" s="2">
        <f>SUMIF('January 2027'!$B:$B,'PTO SUMMARY 2027'!B71,'January 2027'!$AK:$AK)</f>
        <v>0</v>
      </c>
      <c r="P71" s="1">
        <f t="shared" si="66"/>
        <v>0</v>
      </c>
      <c r="Q71" s="1">
        <v>0</v>
      </c>
      <c r="R71" s="1">
        <v>0</v>
      </c>
      <c r="S71" s="3">
        <f t="shared" si="81"/>
        <v>0</v>
      </c>
      <c r="T71" s="2">
        <f>SUMIF('February 2027'!$B:$B,'PTO SUMMARY 2027'!G71,'February 2027'!$AK:$AK)</f>
        <v>0</v>
      </c>
      <c r="U71" s="154">
        <v>0</v>
      </c>
      <c r="V71" s="1">
        <f t="shared" si="67"/>
        <v>0</v>
      </c>
      <c r="W71" s="1">
        <v>0</v>
      </c>
      <c r="X71" s="1">
        <v>0</v>
      </c>
      <c r="Y71" s="3">
        <f t="shared" si="82"/>
        <v>0</v>
      </c>
      <c r="Z71" s="2">
        <f>SUMIF('March 2027'!$B:$B,'PTO SUMMARY 2027'!M71,'March 2027'!$AK:$AK)</f>
        <v>0</v>
      </c>
      <c r="AA71" s="1">
        <f t="shared" si="53"/>
        <v>0</v>
      </c>
      <c r="AB71" s="1">
        <v>0</v>
      </c>
      <c r="AC71" s="1">
        <v>0</v>
      </c>
      <c r="AD71" s="3">
        <v>0</v>
      </c>
      <c r="AE71" s="31">
        <f t="shared" si="68"/>
        <v>0</v>
      </c>
      <c r="AF71" s="31">
        <v>0</v>
      </c>
      <c r="AG71" s="30">
        <f t="shared" si="69"/>
        <v>0</v>
      </c>
      <c r="AH71" s="2">
        <f t="shared" si="83"/>
        <v>0</v>
      </c>
      <c r="AI71" s="2">
        <f>SUMIF('April 2027'!$B:$B,'PTO SUMMARY 2027'!V71,'April 2027'!$AK:$AK)</f>
        <v>0</v>
      </c>
      <c r="AJ71" s="1">
        <f t="shared" si="70"/>
        <v>0</v>
      </c>
      <c r="AK71" s="1">
        <v>0</v>
      </c>
      <c r="AL71" s="1">
        <v>0</v>
      </c>
      <c r="AM71" s="3">
        <f t="shared" si="84"/>
        <v>0</v>
      </c>
      <c r="AN71" s="2">
        <f>SUMIF('May 2027'!$B:$B,'PTO SUMMARY 2027'!AA71,'May 2027'!$AK:$AK)</f>
        <v>0</v>
      </c>
      <c r="AO71" s="1">
        <f t="shared" si="71"/>
        <v>0</v>
      </c>
      <c r="AP71" s="1">
        <v>0</v>
      </c>
      <c r="AQ71" s="1">
        <v>0</v>
      </c>
      <c r="AR71" s="3">
        <f t="shared" si="85"/>
        <v>0</v>
      </c>
      <c r="AS71" s="2">
        <f>SUMIF('June 2027'!$B:$B,'PTO SUMMARY 2027'!AF71,'June 2027'!$AK:$AK)</f>
        <v>0</v>
      </c>
      <c r="AT71" s="1">
        <f t="shared" si="72"/>
        <v>0</v>
      </c>
      <c r="AU71" s="1">
        <v>0</v>
      </c>
      <c r="AV71" s="1">
        <v>0</v>
      </c>
      <c r="AW71" s="3">
        <v>0</v>
      </c>
      <c r="AX71" s="31">
        <v>0</v>
      </c>
      <c r="AY71" s="31">
        <v>0</v>
      </c>
      <c r="AZ71" s="30">
        <f t="shared" si="73"/>
        <v>0</v>
      </c>
      <c r="BA71" s="3">
        <f t="shared" si="86"/>
        <v>0</v>
      </c>
      <c r="BB71" s="2">
        <f>SUMIF('July 2027'!$B:$B,'PTO SUMMARY 2027'!AK71,'July 2027'!$AK:$AK)</f>
        <v>0</v>
      </c>
      <c r="BC71" s="1">
        <f t="shared" si="74"/>
        <v>0</v>
      </c>
      <c r="BD71" s="1">
        <v>0</v>
      </c>
      <c r="BE71" s="1">
        <v>0</v>
      </c>
      <c r="BF71" s="3">
        <f t="shared" si="87"/>
        <v>0</v>
      </c>
      <c r="BG71" s="2">
        <f>SUMIF('August 2027'!$B:$B,'PTO SUMMARY 2027'!AP71,'August 2027'!$AK:$AK)</f>
        <v>0</v>
      </c>
      <c r="BH71" s="1">
        <f t="shared" si="75"/>
        <v>0</v>
      </c>
      <c r="BI71" s="1">
        <v>0</v>
      </c>
      <c r="BJ71" s="1">
        <v>0</v>
      </c>
      <c r="BK71" s="3">
        <f t="shared" si="88"/>
        <v>0</v>
      </c>
      <c r="BL71" s="2">
        <f>SUMIF('September 2027'!$B:$B,'PTO SUMMARY 2027'!AU71,'September 2027'!$AK:$AK)</f>
        <v>0</v>
      </c>
      <c r="BM71" s="1">
        <f t="shared" si="76"/>
        <v>0</v>
      </c>
      <c r="BN71" s="1">
        <v>0</v>
      </c>
      <c r="BO71" s="1">
        <v>0</v>
      </c>
      <c r="BP71" s="3">
        <v>0</v>
      </c>
      <c r="BQ71" s="31">
        <v>0</v>
      </c>
      <c r="BR71" s="31">
        <v>0</v>
      </c>
      <c r="BS71" s="30">
        <f t="shared" si="65"/>
        <v>0</v>
      </c>
      <c r="BT71" s="3">
        <f t="shared" si="89"/>
        <v>0</v>
      </c>
      <c r="BU71" s="2">
        <f>SUMIF('October 2027'!$B:$B,'PTO SUMMARY 2027'!BH71,'October 2027'!$AK:$AK)</f>
        <v>0</v>
      </c>
      <c r="BV71" s="1">
        <f t="shared" si="77"/>
        <v>0</v>
      </c>
      <c r="BW71" s="1">
        <v>0</v>
      </c>
      <c r="BX71" s="1">
        <v>0</v>
      </c>
      <c r="BY71" s="3">
        <f t="shared" si="90"/>
        <v>0</v>
      </c>
      <c r="BZ71" s="2">
        <f>SUMIF('November 2027'!$B:$B,'PTO SUMMARY 2027'!BM71,'November 2027'!$AK:$AK)</f>
        <v>0</v>
      </c>
      <c r="CA71" s="1">
        <f t="shared" si="78"/>
        <v>0</v>
      </c>
      <c r="CB71" s="1">
        <v>0</v>
      </c>
      <c r="CC71" s="1">
        <v>0</v>
      </c>
      <c r="CD71" s="3">
        <f t="shared" si="91"/>
        <v>0</v>
      </c>
      <c r="CE71" s="2">
        <f>SUMIF('December 2027'!$B:$B,'PTO SUMMARY 2027'!$B:$B,'December 2027'!$AK:$AK)</f>
        <v>0</v>
      </c>
      <c r="CF71" s="1">
        <f t="shared" si="79"/>
        <v>0</v>
      </c>
      <c r="CG71" s="1">
        <v>0</v>
      </c>
      <c r="CH71" s="1">
        <v>0</v>
      </c>
      <c r="CI71" s="1">
        <v>0</v>
      </c>
      <c r="CJ71" s="3">
        <v>0</v>
      </c>
      <c r="CK71" s="31">
        <v>0</v>
      </c>
      <c r="CL71" s="31">
        <v>0</v>
      </c>
      <c r="CM71" s="31">
        <v>0</v>
      </c>
      <c r="CN71" s="30">
        <f t="shared" si="92"/>
        <v>0</v>
      </c>
    </row>
    <row r="72" spans="1:92">
      <c r="A72" s="8" t="s">
        <v>221</v>
      </c>
      <c r="B72" s="8" t="s">
        <v>222</v>
      </c>
      <c r="C72" s="8" t="s">
        <v>75</v>
      </c>
      <c r="D72" s="9" t="s">
        <v>70</v>
      </c>
      <c r="E72" t="s">
        <v>76</v>
      </c>
      <c r="F72" s="12" t="s">
        <v>99</v>
      </c>
      <c r="G72" s="7">
        <v>0.9</v>
      </c>
      <c r="H72" s="11">
        <f>((G72*86.67)*2)*(SUMIF('Accrual Rates'!B:B,'PTO SUMMARY 2027'!B72,'Accrual Rates'!G:G))</f>
        <v>11.99998152</v>
      </c>
      <c r="I72" s="33">
        <v>0</v>
      </c>
      <c r="J72" s="1">
        <v>0</v>
      </c>
      <c r="K72" s="1">
        <v>0</v>
      </c>
      <c r="L72" s="1">
        <v>0</v>
      </c>
      <c r="M72" s="32">
        <v>0</v>
      </c>
      <c r="N72" s="2">
        <f t="shared" si="80"/>
        <v>11.99998152</v>
      </c>
      <c r="O72" s="2">
        <f>SUMIF('January 2027'!$B:$B,'PTO SUMMARY 2027'!B72,'January 2027'!$AK:$AK)</f>
        <v>0</v>
      </c>
      <c r="P72" s="1">
        <f t="shared" si="66"/>
        <v>11.99998152</v>
      </c>
      <c r="Q72" s="1">
        <v>0</v>
      </c>
      <c r="R72" s="1">
        <v>0</v>
      </c>
      <c r="S72" s="3">
        <f t="shared" si="81"/>
        <v>11.99998152</v>
      </c>
      <c r="T72" s="2">
        <f>SUMIF('February 2027'!$B:$B,'PTO SUMMARY 2027'!G72,'February 2027'!$AK:$AK)</f>
        <v>0</v>
      </c>
      <c r="U72" s="154">
        <v>0</v>
      </c>
      <c r="V72" s="1">
        <f t="shared" si="67"/>
        <v>23.999963040000001</v>
      </c>
      <c r="W72" s="1">
        <v>0</v>
      </c>
      <c r="X72" s="1">
        <v>0</v>
      </c>
      <c r="Y72" s="3">
        <f t="shared" si="82"/>
        <v>11.99998152</v>
      </c>
      <c r="Z72" s="2">
        <f>SUMIF('March 2027'!$B:$B,'PTO SUMMARY 2027'!M72,'March 2027'!$AK:$AK)</f>
        <v>0</v>
      </c>
      <c r="AA72" s="1">
        <f t="shared" si="53"/>
        <v>35.999944560000003</v>
      </c>
      <c r="AB72" s="1">
        <v>0</v>
      </c>
      <c r="AC72" s="1">
        <v>0</v>
      </c>
      <c r="AD72" s="3">
        <v>0</v>
      </c>
      <c r="AE72" s="31">
        <f t="shared" si="68"/>
        <v>0</v>
      </c>
      <c r="AF72" s="31">
        <v>0</v>
      </c>
      <c r="AG72" s="30">
        <f t="shared" si="69"/>
        <v>0</v>
      </c>
      <c r="AH72" s="2">
        <f t="shared" si="83"/>
        <v>11.99998152</v>
      </c>
      <c r="AI72" s="2">
        <f>SUMIF('April 2027'!$B:$B,'PTO SUMMARY 2027'!V72,'April 2027'!$AK:$AK)</f>
        <v>0</v>
      </c>
      <c r="AJ72" s="1">
        <f t="shared" si="70"/>
        <v>47.999926080000002</v>
      </c>
      <c r="AK72" s="1">
        <v>0</v>
      </c>
      <c r="AL72" s="1">
        <v>0</v>
      </c>
      <c r="AM72" s="3">
        <f t="shared" si="84"/>
        <v>11.99998152</v>
      </c>
      <c r="AN72" s="2">
        <f>SUMIF('May 2027'!$B:$B,'PTO SUMMARY 2027'!AA72,'May 2027'!$AK:$AK)</f>
        <v>0</v>
      </c>
      <c r="AO72" s="1">
        <f t="shared" si="71"/>
        <v>60</v>
      </c>
      <c r="AP72" s="1">
        <v>0</v>
      </c>
      <c r="AQ72" s="1">
        <v>0</v>
      </c>
      <c r="AR72" s="3">
        <f t="shared" si="85"/>
        <v>11.99998152</v>
      </c>
      <c r="AS72" s="2">
        <f>SUMIF('June 2027'!$B:$B,'PTO SUMMARY 2027'!AF72,'June 2027'!$AK:$AK)</f>
        <v>0</v>
      </c>
      <c r="AT72" s="1">
        <f t="shared" si="72"/>
        <v>71.999981520000006</v>
      </c>
      <c r="AU72" s="1">
        <v>0</v>
      </c>
      <c r="AV72" s="1">
        <v>0</v>
      </c>
      <c r="AW72" s="3">
        <v>0</v>
      </c>
      <c r="AX72" s="31">
        <v>0</v>
      </c>
      <c r="AY72" s="31">
        <v>0</v>
      </c>
      <c r="AZ72" s="30">
        <f t="shared" si="73"/>
        <v>0</v>
      </c>
      <c r="BA72" s="3">
        <f t="shared" si="86"/>
        <v>11.99998152</v>
      </c>
      <c r="BB72" s="2">
        <f>SUMIF('July 2027'!$B:$B,'PTO SUMMARY 2027'!AK72,'July 2027'!$AK:$AK)</f>
        <v>0</v>
      </c>
      <c r="BC72" s="1">
        <f t="shared" si="74"/>
        <v>83.999963040000011</v>
      </c>
      <c r="BD72" s="1">
        <v>0</v>
      </c>
      <c r="BE72" s="1">
        <v>0</v>
      </c>
      <c r="BF72" s="3">
        <f t="shared" si="87"/>
        <v>11.99998152</v>
      </c>
      <c r="BG72" s="2">
        <f>SUMIF('August 2027'!$B:$B,'PTO SUMMARY 2027'!AP72,'August 2027'!$AK:$AK)</f>
        <v>0</v>
      </c>
      <c r="BH72" s="1">
        <f t="shared" si="75"/>
        <v>95.999944560000017</v>
      </c>
      <c r="BI72" s="1">
        <v>0</v>
      </c>
      <c r="BJ72" s="1">
        <v>0</v>
      </c>
      <c r="BK72" s="3">
        <f t="shared" si="88"/>
        <v>11.99998152</v>
      </c>
      <c r="BL72" s="2">
        <f>SUMIF('September 2027'!$B:$B,'PTO SUMMARY 2027'!AU72,'September 2027'!$AK:$AK)</f>
        <v>0</v>
      </c>
      <c r="BM72" s="1">
        <f t="shared" si="76"/>
        <v>107.99992608000002</v>
      </c>
      <c r="BN72" s="1">
        <v>0</v>
      </c>
      <c r="BO72" s="1">
        <v>0</v>
      </c>
      <c r="BP72" s="3">
        <v>0</v>
      </c>
      <c r="BQ72" s="31">
        <v>0</v>
      </c>
      <c r="BR72" s="31">
        <v>0</v>
      </c>
      <c r="BS72" s="30">
        <f t="shared" si="65"/>
        <v>0</v>
      </c>
      <c r="BT72" s="3">
        <f t="shared" si="89"/>
        <v>11.99998152</v>
      </c>
      <c r="BU72" s="2">
        <f>SUMIF('October 2027'!$B:$B,'PTO SUMMARY 2027'!BH72,'October 2027'!$AK:$AK)</f>
        <v>0</v>
      </c>
      <c r="BV72" s="1">
        <f t="shared" si="77"/>
        <v>119.99990760000003</v>
      </c>
      <c r="BW72" s="1">
        <v>0</v>
      </c>
      <c r="BX72" s="1">
        <v>0</v>
      </c>
      <c r="BY72" s="3">
        <f t="shared" si="90"/>
        <v>11.99998152</v>
      </c>
      <c r="BZ72" s="2">
        <f>SUMIF('November 2027'!$B:$B,'PTO SUMMARY 2027'!BM72,'November 2027'!$AK:$AK)</f>
        <v>0</v>
      </c>
      <c r="CA72" s="1">
        <f t="shared" si="78"/>
        <v>131.99988912000003</v>
      </c>
      <c r="CB72" s="1">
        <v>0</v>
      </c>
      <c r="CC72" s="1">
        <v>0</v>
      </c>
      <c r="CD72" s="3">
        <f t="shared" si="91"/>
        <v>11.99998152</v>
      </c>
      <c r="CE72" s="2">
        <f>SUMIF('December 2027'!$B:$B,'PTO SUMMARY 2027'!$B:$B,'December 2027'!$AK:$AK)</f>
        <v>0</v>
      </c>
      <c r="CF72" s="1">
        <f t="shared" si="79"/>
        <v>143.99987064000004</v>
      </c>
      <c r="CG72" s="1">
        <v>0</v>
      </c>
      <c r="CH72" s="1">
        <v>0</v>
      </c>
      <c r="CI72" s="1">
        <v>0</v>
      </c>
      <c r="CJ72" s="3">
        <v>0</v>
      </c>
      <c r="CK72" s="31">
        <v>0</v>
      </c>
      <c r="CL72" s="31">
        <v>0</v>
      </c>
      <c r="CM72" s="31">
        <v>0</v>
      </c>
      <c r="CN72" s="30">
        <f t="shared" si="92"/>
        <v>0</v>
      </c>
    </row>
    <row r="73" spans="1:92">
      <c r="A73" s="35" t="s">
        <v>223</v>
      </c>
      <c r="B73" s="8" t="s">
        <v>224</v>
      </c>
      <c r="C73" s="8" t="s">
        <v>64</v>
      </c>
      <c r="D73" s="9" t="s">
        <v>65</v>
      </c>
      <c r="E73" s="36" t="s">
        <v>66</v>
      </c>
      <c r="F73" s="12" t="s">
        <v>67</v>
      </c>
      <c r="G73" s="7">
        <v>1</v>
      </c>
      <c r="H73" s="34">
        <v>0</v>
      </c>
      <c r="I73" s="33">
        <v>0</v>
      </c>
      <c r="J73" s="1">
        <v>0</v>
      </c>
      <c r="K73" s="1">
        <v>0</v>
      </c>
      <c r="L73" s="1">
        <v>0</v>
      </c>
      <c r="M73" s="32">
        <v>0</v>
      </c>
      <c r="N73" s="2">
        <f t="shared" si="80"/>
        <v>0</v>
      </c>
      <c r="O73" s="2">
        <f>SUMIF('January 2027'!$B:$B,'PTO SUMMARY 2027'!B73,'January 2027'!$AK:$AK)</f>
        <v>0</v>
      </c>
      <c r="P73" s="1">
        <f t="shared" si="66"/>
        <v>0</v>
      </c>
      <c r="Q73" s="1">
        <v>0</v>
      </c>
      <c r="R73" s="1">
        <v>0</v>
      </c>
      <c r="S73" s="3">
        <f t="shared" si="81"/>
        <v>0</v>
      </c>
      <c r="T73" s="2">
        <f>SUMIF('February 2027'!$B:$B,'PTO SUMMARY 2027'!G73,'February 2027'!$AK:$AK)</f>
        <v>0</v>
      </c>
      <c r="U73" s="154">
        <v>0</v>
      </c>
      <c r="V73" s="1">
        <f t="shared" si="67"/>
        <v>0</v>
      </c>
      <c r="W73" s="1">
        <v>0</v>
      </c>
      <c r="X73" s="1">
        <v>0</v>
      </c>
      <c r="Y73" s="3">
        <f t="shared" si="82"/>
        <v>0</v>
      </c>
      <c r="Z73" s="2">
        <f>SUMIF('March 2027'!$B:$B,'PTO SUMMARY 2027'!M73,'March 2027'!$AK:$AK)</f>
        <v>0</v>
      </c>
      <c r="AA73" s="1">
        <f t="shared" si="53"/>
        <v>0</v>
      </c>
      <c r="AB73" s="1">
        <v>0</v>
      </c>
      <c r="AC73" s="1">
        <v>0</v>
      </c>
      <c r="AD73" s="3">
        <v>0</v>
      </c>
      <c r="AE73" s="31">
        <f t="shared" si="68"/>
        <v>0</v>
      </c>
      <c r="AF73" s="31">
        <v>0</v>
      </c>
      <c r="AG73" s="30">
        <f t="shared" si="69"/>
        <v>0</v>
      </c>
      <c r="AH73" s="2">
        <f t="shared" si="83"/>
        <v>0</v>
      </c>
      <c r="AI73" s="2">
        <f>SUMIF('April 2027'!$B:$B,'PTO SUMMARY 2027'!V73,'April 2027'!$AK:$AK)</f>
        <v>0</v>
      </c>
      <c r="AJ73" s="1">
        <f t="shared" si="70"/>
        <v>0</v>
      </c>
      <c r="AK73" s="1">
        <v>0</v>
      </c>
      <c r="AL73" s="1">
        <v>0</v>
      </c>
      <c r="AM73" s="3">
        <f t="shared" si="84"/>
        <v>0</v>
      </c>
      <c r="AN73" s="2">
        <f>SUMIF('May 2027'!$B:$B,'PTO SUMMARY 2027'!AA73,'May 2027'!$AK:$AK)</f>
        <v>0</v>
      </c>
      <c r="AO73" s="1">
        <f t="shared" si="71"/>
        <v>0</v>
      </c>
      <c r="AP73" s="1">
        <v>0</v>
      </c>
      <c r="AQ73" s="1">
        <v>0</v>
      </c>
      <c r="AR73" s="3">
        <f t="shared" si="85"/>
        <v>0</v>
      </c>
      <c r="AS73" s="2">
        <f>SUMIF('June 2027'!$B:$B,'PTO SUMMARY 2027'!AF73,'June 2027'!$AK:$AK)</f>
        <v>0</v>
      </c>
      <c r="AT73" s="1">
        <f t="shared" si="72"/>
        <v>0</v>
      </c>
      <c r="AU73" s="1">
        <v>0</v>
      </c>
      <c r="AV73" s="1">
        <v>0</v>
      </c>
      <c r="AW73" s="3">
        <v>0</v>
      </c>
      <c r="AX73" s="31">
        <v>0</v>
      </c>
      <c r="AY73" s="31">
        <v>0</v>
      </c>
      <c r="AZ73" s="30">
        <f t="shared" si="73"/>
        <v>0</v>
      </c>
      <c r="BA73" s="3">
        <f t="shared" si="86"/>
        <v>0</v>
      </c>
      <c r="BB73" s="2">
        <f>SUMIF('July 2027'!$B:$B,'PTO SUMMARY 2027'!AK73,'July 2027'!$AK:$AK)</f>
        <v>0</v>
      </c>
      <c r="BC73" s="1">
        <f t="shared" si="74"/>
        <v>0</v>
      </c>
      <c r="BD73" s="1">
        <v>0</v>
      </c>
      <c r="BE73" s="1">
        <v>0</v>
      </c>
      <c r="BF73" s="3">
        <f t="shared" si="87"/>
        <v>0</v>
      </c>
      <c r="BG73" s="2">
        <f>SUMIF('August 2027'!$B:$B,'PTO SUMMARY 2027'!AP73,'August 2027'!$AK:$AK)</f>
        <v>0</v>
      </c>
      <c r="BH73" s="1">
        <f t="shared" si="75"/>
        <v>0</v>
      </c>
      <c r="BI73" s="1">
        <v>0</v>
      </c>
      <c r="BJ73" s="1">
        <v>0</v>
      </c>
      <c r="BK73" s="3">
        <f t="shared" si="88"/>
        <v>0</v>
      </c>
      <c r="BL73" s="2">
        <f>SUMIF('September 2027'!$B:$B,'PTO SUMMARY 2027'!AU73,'September 2027'!$AK:$AK)</f>
        <v>0</v>
      </c>
      <c r="BM73" s="1">
        <f t="shared" si="76"/>
        <v>0</v>
      </c>
      <c r="BN73" s="1">
        <v>0</v>
      </c>
      <c r="BO73" s="1">
        <v>0</v>
      </c>
      <c r="BP73" s="3">
        <v>0</v>
      </c>
      <c r="BQ73" s="31">
        <v>0</v>
      </c>
      <c r="BR73" s="31">
        <v>0</v>
      </c>
      <c r="BS73" s="30">
        <f t="shared" si="65"/>
        <v>0</v>
      </c>
      <c r="BT73" s="3">
        <f t="shared" si="89"/>
        <v>0</v>
      </c>
      <c r="BU73" s="2">
        <f>SUMIF('October 2027'!$B:$B,'PTO SUMMARY 2027'!BH73,'October 2027'!$AK:$AK)</f>
        <v>0</v>
      </c>
      <c r="BV73" s="1">
        <f t="shared" si="77"/>
        <v>0</v>
      </c>
      <c r="BW73" s="1">
        <v>0</v>
      </c>
      <c r="BX73" s="1">
        <v>0</v>
      </c>
      <c r="BY73" s="3">
        <f t="shared" si="90"/>
        <v>0</v>
      </c>
      <c r="BZ73" s="2">
        <f>SUMIF('November 2027'!$B:$B,'PTO SUMMARY 2027'!BM73,'November 2027'!$AK:$AK)</f>
        <v>0</v>
      </c>
      <c r="CA73" s="1">
        <f t="shared" si="78"/>
        <v>0</v>
      </c>
      <c r="CB73" s="1">
        <v>0</v>
      </c>
      <c r="CC73" s="1">
        <v>0</v>
      </c>
      <c r="CD73" s="3">
        <f t="shared" si="91"/>
        <v>0</v>
      </c>
      <c r="CE73" s="2">
        <f>SUMIF('December 2027'!$B:$B,'PTO SUMMARY 2027'!$B:$B,'December 2027'!$AK:$AK)</f>
        <v>0</v>
      </c>
      <c r="CF73" s="1">
        <f t="shared" si="79"/>
        <v>0</v>
      </c>
      <c r="CG73" s="1">
        <v>0</v>
      </c>
      <c r="CH73" s="1">
        <v>0</v>
      </c>
      <c r="CI73" s="1">
        <v>0</v>
      </c>
      <c r="CJ73" s="3">
        <v>0</v>
      </c>
      <c r="CK73" s="31">
        <v>0</v>
      </c>
      <c r="CL73" s="31">
        <v>0</v>
      </c>
      <c r="CM73" s="31">
        <v>0</v>
      </c>
      <c r="CN73" s="30">
        <f t="shared" si="92"/>
        <v>0</v>
      </c>
    </row>
    <row r="74" spans="1:92">
      <c r="A74" s="35" t="s">
        <v>225</v>
      </c>
      <c r="B74" s="8" t="s">
        <v>226</v>
      </c>
      <c r="C74" s="8" t="s">
        <v>75</v>
      </c>
      <c r="D74" s="9" t="s">
        <v>65</v>
      </c>
      <c r="E74" t="s">
        <v>95</v>
      </c>
      <c r="F74" s="12" t="s">
        <v>67</v>
      </c>
      <c r="G74" s="7">
        <v>1</v>
      </c>
      <c r="H74" s="34">
        <v>0</v>
      </c>
      <c r="I74" s="33">
        <v>0</v>
      </c>
      <c r="J74" s="1">
        <v>0</v>
      </c>
      <c r="K74" s="1">
        <v>0</v>
      </c>
      <c r="L74" s="1">
        <v>0</v>
      </c>
      <c r="M74" s="32">
        <v>0</v>
      </c>
      <c r="N74" s="2">
        <f t="shared" si="80"/>
        <v>0</v>
      </c>
      <c r="O74" s="2">
        <f>SUMIF('January 2027'!$B:$B,'PTO SUMMARY 2027'!B74,'January 2027'!$AK:$AK)</f>
        <v>0</v>
      </c>
      <c r="P74" s="1">
        <f t="shared" si="66"/>
        <v>0</v>
      </c>
      <c r="Q74" s="1">
        <v>0</v>
      </c>
      <c r="R74" s="1">
        <v>0</v>
      </c>
      <c r="S74" s="3">
        <f t="shared" si="81"/>
        <v>0</v>
      </c>
      <c r="T74" s="2">
        <f>SUMIF('February 2027'!$B:$B,'PTO SUMMARY 2027'!G74,'February 2027'!$AK:$AK)</f>
        <v>0</v>
      </c>
      <c r="U74" s="154">
        <v>0</v>
      </c>
      <c r="V74" s="1">
        <f t="shared" si="67"/>
        <v>0</v>
      </c>
      <c r="W74" s="1">
        <v>0</v>
      </c>
      <c r="X74" s="1">
        <v>0</v>
      </c>
      <c r="Y74" s="3">
        <f t="shared" si="82"/>
        <v>0</v>
      </c>
      <c r="Z74" s="2">
        <f>SUMIF('March 2027'!$B:$B,'PTO SUMMARY 2027'!M74,'March 2027'!$AK:$AK)</f>
        <v>0</v>
      </c>
      <c r="AA74" s="1">
        <f t="shared" si="53"/>
        <v>0</v>
      </c>
      <c r="AB74" s="1">
        <v>0</v>
      </c>
      <c r="AC74" s="1">
        <v>0</v>
      </c>
      <c r="AD74" s="3">
        <v>0</v>
      </c>
      <c r="AE74" s="31">
        <f t="shared" si="68"/>
        <v>0</v>
      </c>
      <c r="AF74" s="31">
        <v>0</v>
      </c>
      <c r="AG74" s="30">
        <f t="shared" si="69"/>
        <v>0</v>
      </c>
      <c r="AH74" s="2">
        <f t="shared" si="83"/>
        <v>0</v>
      </c>
      <c r="AI74" s="2">
        <f>SUMIF('April 2027'!$B:$B,'PTO SUMMARY 2027'!V74,'April 2027'!$AK:$AK)</f>
        <v>0</v>
      </c>
      <c r="AJ74" s="1">
        <f t="shared" si="70"/>
        <v>0</v>
      </c>
      <c r="AK74" s="1">
        <v>0</v>
      </c>
      <c r="AL74" s="1">
        <v>0</v>
      </c>
      <c r="AM74" s="3">
        <f t="shared" si="84"/>
        <v>0</v>
      </c>
      <c r="AN74" s="2">
        <f>SUMIF('May 2027'!$B:$B,'PTO SUMMARY 2027'!AA74,'May 2027'!$AK:$AK)</f>
        <v>0</v>
      </c>
      <c r="AO74" s="1">
        <f t="shared" si="71"/>
        <v>0</v>
      </c>
      <c r="AP74" s="1">
        <v>0</v>
      </c>
      <c r="AQ74" s="1">
        <v>0</v>
      </c>
      <c r="AR74" s="3">
        <f t="shared" si="85"/>
        <v>0</v>
      </c>
      <c r="AS74" s="2">
        <f>SUMIF('June 2027'!$B:$B,'PTO SUMMARY 2027'!AF74,'June 2027'!$AK:$AK)</f>
        <v>0</v>
      </c>
      <c r="AT74" s="1">
        <f t="shared" si="72"/>
        <v>0</v>
      </c>
      <c r="AU74" s="1">
        <v>0</v>
      </c>
      <c r="AV74" s="1">
        <v>0</v>
      </c>
      <c r="AW74" s="3">
        <v>0</v>
      </c>
      <c r="AX74" s="31">
        <v>0</v>
      </c>
      <c r="AY74" s="31">
        <v>0</v>
      </c>
      <c r="AZ74" s="30">
        <f t="shared" si="73"/>
        <v>0</v>
      </c>
      <c r="BA74" s="3">
        <f t="shared" si="86"/>
        <v>0</v>
      </c>
      <c r="BB74" s="2">
        <f>SUMIF('July 2027'!$B:$B,'PTO SUMMARY 2027'!AK74,'July 2027'!$AK:$AK)</f>
        <v>0</v>
      </c>
      <c r="BC74" s="1">
        <f t="shared" si="74"/>
        <v>0</v>
      </c>
      <c r="BD74" s="1">
        <v>0</v>
      </c>
      <c r="BE74" s="1">
        <v>0</v>
      </c>
      <c r="BF74" s="3">
        <f t="shared" si="87"/>
        <v>0</v>
      </c>
      <c r="BG74" s="2">
        <f>SUMIF('August 2027'!$B:$B,'PTO SUMMARY 2027'!AP74,'August 2027'!$AK:$AK)</f>
        <v>0</v>
      </c>
      <c r="BH74" s="1">
        <f t="shared" si="75"/>
        <v>0</v>
      </c>
      <c r="BI74" s="1">
        <v>0</v>
      </c>
      <c r="BJ74" s="1">
        <v>0</v>
      </c>
      <c r="BK74" s="3">
        <f t="shared" si="88"/>
        <v>0</v>
      </c>
      <c r="BL74" s="2">
        <f>SUMIF('September 2027'!$B:$B,'PTO SUMMARY 2027'!AU74,'September 2027'!$AK:$AK)</f>
        <v>0</v>
      </c>
      <c r="BM74" s="1">
        <f t="shared" si="76"/>
        <v>0</v>
      </c>
      <c r="BN74" s="1">
        <v>0</v>
      </c>
      <c r="BO74" s="1">
        <v>0</v>
      </c>
      <c r="BP74" s="3">
        <v>0</v>
      </c>
      <c r="BQ74" s="31">
        <v>0</v>
      </c>
      <c r="BR74" s="31">
        <v>0</v>
      </c>
      <c r="BS74" s="30">
        <f t="shared" si="65"/>
        <v>0</v>
      </c>
      <c r="BT74" s="3">
        <f t="shared" si="89"/>
        <v>0</v>
      </c>
      <c r="BU74" s="2">
        <f>SUMIF('October 2027'!$B:$B,'PTO SUMMARY 2027'!BH74,'October 2027'!$AK:$AK)</f>
        <v>0</v>
      </c>
      <c r="BV74" s="1">
        <f t="shared" si="77"/>
        <v>0</v>
      </c>
      <c r="BW74" s="1">
        <v>0</v>
      </c>
      <c r="BX74" s="1">
        <v>0</v>
      </c>
      <c r="BY74" s="3">
        <f t="shared" si="90"/>
        <v>0</v>
      </c>
      <c r="BZ74" s="2">
        <f>SUMIF('November 2027'!$B:$B,'PTO SUMMARY 2027'!BM74,'November 2027'!$AK:$AK)</f>
        <v>0</v>
      </c>
      <c r="CA74" s="1">
        <f t="shared" si="78"/>
        <v>0</v>
      </c>
      <c r="CB74" s="1">
        <v>0</v>
      </c>
      <c r="CC74" s="1">
        <v>0</v>
      </c>
      <c r="CD74" s="3">
        <f t="shared" si="91"/>
        <v>0</v>
      </c>
      <c r="CE74" s="2">
        <f>SUMIF('December 2027'!$B:$B,'PTO SUMMARY 2027'!$B:$B,'December 2027'!$AK:$AK)</f>
        <v>0</v>
      </c>
      <c r="CF74" s="1">
        <f t="shared" si="79"/>
        <v>0</v>
      </c>
      <c r="CG74" s="1">
        <v>0</v>
      </c>
      <c r="CH74" s="1">
        <v>0</v>
      </c>
      <c r="CI74" s="1">
        <v>0</v>
      </c>
      <c r="CJ74" s="3">
        <v>0</v>
      </c>
      <c r="CK74" s="31">
        <v>0</v>
      </c>
      <c r="CL74" s="31">
        <v>0</v>
      </c>
      <c r="CM74" s="31">
        <v>0</v>
      </c>
      <c r="CN74" s="30">
        <f t="shared" si="92"/>
        <v>0</v>
      </c>
    </row>
    <row r="75" spans="1:92">
      <c r="A75" s="35" t="s">
        <v>227</v>
      </c>
      <c r="B75" s="8" t="s">
        <v>228</v>
      </c>
      <c r="C75" s="8" t="s">
        <v>64</v>
      </c>
      <c r="D75" s="9" t="s">
        <v>65</v>
      </c>
      <c r="E75" s="36" t="s">
        <v>66</v>
      </c>
      <c r="F75" s="12" t="s">
        <v>90</v>
      </c>
      <c r="G75" s="7">
        <v>1</v>
      </c>
      <c r="H75" s="34">
        <v>0</v>
      </c>
      <c r="I75" s="33">
        <v>0</v>
      </c>
      <c r="J75" s="1">
        <v>0</v>
      </c>
      <c r="K75" s="1">
        <v>0</v>
      </c>
      <c r="L75" s="1">
        <v>0</v>
      </c>
      <c r="M75" s="32">
        <v>0</v>
      </c>
      <c r="N75" s="2">
        <f t="shared" si="80"/>
        <v>0</v>
      </c>
      <c r="O75" s="2">
        <f>SUMIF('January 2027'!$B:$B,'PTO SUMMARY 2027'!B75,'January 2027'!$AK:$AK)</f>
        <v>0</v>
      </c>
      <c r="P75" s="1">
        <f t="shared" si="66"/>
        <v>0</v>
      </c>
      <c r="Q75" s="1">
        <v>0</v>
      </c>
      <c r="R75" s="1">
        <v>0</v>
      </c>
      <c r="S75" s="3">
        <f t="shared" si="81"/>
        <v>0</v>
      </c>
      <c r="T75" s="2">
        <f>SUMIF('February 2027'!$B:$B,'PTO SUMMARY 2027'!G75,'February 2027'!$AK:$AK)</f>
        <v>0</v>
      </c>
      <c r="U75" s="154">
        <v>0</v>
      </c>
      <c r="V75" s="1">
        <f t="shared" si="67"/>
        <v>0</v>
      </c>
      <c r="W75" s="1">
        <v>0</v>
      </c>
      <c r="X75" s="1">
        <v>0</v>
      </c>
      <c r="Y75" s="3">
        <f t="shared" si="82"/>
        <v>0</v>
      </c>
      <c r="Z75" s="2">
        <f>SUMIF('March 2027'!$B:$B,'PTO SUMMARY 2027'!M75,'March 2027'!$AK:$AK)</f>
        <v>0</v>
      </c>
      <c r="AA75" s="1">
        <f t="shared" si="53"/>
        <v>0</v>
      </c>
      <c r="AB75" s="1">
        <v>0</v>
      </c>
      <c r="AC75" s="1">
        <v>0</v>
      </c>
      <c r="AD75" s="3">
        <v>0</v>
      </c>
      <c r="AE75" s="31">
        <f t="shared" si="68"/>
        <v>0</v>
      </c>
      <c r="AF75" s="31">
        <v>0</v>
      </c>
      <c r="AG75" s="30">
        <f t="shared" si="69"/>
        <v>0</v>
      </c>
      <c r="AH75" s="2">
        <f t="shared" si="83"/>
        <v>0</v>
      </c>
      <c r="AI75" s="2">
        <f>SUMIF('April 2027'!$B:$B,'PTO SUMMARY 2027'!V75,'April 2027'!$AK:$AK)</f>
        <v>0</v>
      </c>
      <c r="AJ75" s="1">
        <f t="shared" si="70"/>
        <v>0</v>
      </c>
      <c r="AK75" s="1">
        <v>0</v>
      </c>
      <c r="AL75" s="1">
        <v>0</v>
      </c>
      <c r="AM75" s="3">
        <f t="shared" si="84"/>
        <v>0</v>
      </c>
      <c r="AN75" s="2">
        <f>SUMIF('May 2027'!$B:$B,'PTO SUMMARY 2027'!AA75,'May 2027'!$AK:$AK)</f>
        <v>0</v>
      </c>
      <c r="AO75" s="1">
        <f t="shared" si="71"/>
        <v>0</v>
      </c>
      <c r="AP75" s="1">
        <v>0</v>
      </c>
      <c r="AQ75" s="1">
        <v>0</v>
      </c>
      <c r="AR75" s="3">
        <f t="shared" si="85"/>
        <v>0</v>
      </c>
      <c r="AS75" s="2">
        <f>SUMIF('June 2027'!$B:$B,'PTO SUMMARY 2027'!AF75,'June 2027'!$AK:$AK)</f>
        <v>0</v>
      </c>
      <c r="AT75" s="1">
        <f t="shared" si="72"/>
        <v>0</v>
      </c>
      <c r="AU75" s="1">
        <v>0</v>
      </c>
      <c r="AV75" s="1">
        <v>0</v>
      </c>
      <c r="AW75" s="3">
        <v>0</v>
      </c>
      <c r="AX75" s="31">
        <v>0</v>
      </c>
      <c r="AY75" s="31">
        <v>0</v>
      </c>
      <c r="AZ75" s="30">
        <f t="shared" si="73"/>
        <v>0</v>
      </c>
      <c r="BA75" s="3">
        <f t="shared" si="86"/>
        <v>0</v>
      </c>
      <c r="BB75" s="2">
        <f>SUMIF('July 2027'!$B:$B,'PTO SUMMARY 2027'!AK75,'July 2027'!$AK:$AK)</f>
        <v>0</v>
      </c>
      <c r="BC75" s="1">
        <f t="shared" si="74"/>
        <v>0</v>
      </c>
      <c r="BD75" s="1">
        <v>0</v>
      </c>
      <c r="BE75" s="1">
        <v>0</v>
      </c>
      <c r="BF75" s="3">
        <f t="shared" si="87"/>
        <v>0</v>
      </c>
      <c r="BG75" s="2">
        <f>SUMIF('August 2027'!$B:$B,'PTO SUMMARY 2027'!AP75,'August 2027'!$AK:$AK)</f>
        <v>0</v>
      </c>
      <c r="BH75" s="1">
        <f t="shared" si="75"/>
        <v>0</v>
      </c>
      <c r="BI75" s="1">
        <v>0</v>
      </c>
      <c r="BJ75" s="1">
        <v>0</v>
      </c>
      <c r="BK75" s="3">
        <f t="shared" si="88"/>
        <v>0</v>
      </c>
      <c r="BL75" s="2">
        <f>SUMIF('September 2027'!$B:$B,'PTO SUMMARY 2027'!AU75,'September 2027'!$AK:$AK)</f>
        <v>0</v>
      </c>
      <c r="BM75" s="1">
        <f t="shared" si="76"/>
        <v>0</v>
      </c>
      <c r="BN75" s="1">
        <v>0</v>
      </c>
      <c r="BO75" s="1">
        <v>0</v>
      </c>
      <c r="BP75" s="3">
        <v>0</v>
      </c>
      <c r="BQ75" s="31">
        <v>0</v>
      </c>
      <c r="BR75" s="31">
        <v>0</v>
      </c>
      <c r="BS75" s="30">
        <f t="shared" si="65"/>
        <v>0</v>
      </c>
      <c r="BT75" s="3">
        <f t="shared" si="89"/>
        <v>0</v>
      </c>
      <c r="BU75" s="2">
        <f>SUMIF('October 2027'!$B:$B,'PTO SUMMARY 2027'!BH75,'October 2027'!$AK:$AK)</f>
        <v>0</v>
      </c>
      <c r="BV75" s="1">
        <f t="shared" si="77"/>
        <v>0</v>
      </c>
      <c r="BW75" s="1">
        <v>0</v>
      </c>
      <c r="BX75" s="1">
        <v>0</v>
      </c>
      <c r="BY75" s="3">
        <f t="shared" si="90"/>
        <v>0</v>
      </c>
      <c r="BZ75" s="2">
        <f>SUMIF('November 2027'!$B:$B,'PTO SUMMARY 2027'!BM75,'November 2027'!$AK:$AK)</f>
        <v>0</v>
      </c>
      <c r="CA75" s="1">
        <f t="shared" si="78"/>
        <v>0</v>
      </c>
      <c r="CB75" s="1">
        <v>0</v>
      </c>
      <c r="CC75" s="1">
        <v>0</v>
      </c>
      <c r="CD75" s="3">
        <f t="shared" si="91"/>
        <v>0</v>
      </c>
      <c r="CE75" s="2">
        <f>SUMIF('December 2027'!$B:$B,'PTO SUMMARY 2027'!$B:$B,'December 2027'!$AK:$AK)</f>
        <v>0</v>
      </c>
      <c r="CF75" s="1">
        <f t="shared" si="79"/>
        <v>0</v>
      </c>
      <c r="CG75" s="1">
        <v>0</v>
      </c>
      <c r="CH75" s="1">
        <v>0</v>
      </c>
      <c r="CI75" s="1">
        <v>0</v>
      </c>
      <c r="CJ75" s="3">
        <v>0</v>
      </c>
      <c r="CK75" s="31">
        <v>0</v>
      </c>
      <c r="CL75" s="31">
        <v>0</v>
      </c>
      <c r="CM75" s="31">
        <v>0</v>
      </c>
      <c r="CN75" s="30">
        <f t="shared" si="92"/>
        <v>0</v>
      </c>
    </row>
    <row r="76" spans="1:92">
      <c r="A76" s="8" t="s">
        <v>229</v>
      </c>
      <c r="B76" s="8" t="s">
        <v>230</v>
      </c>
      <c r="C76" s="8" t="s">
        <v>75</v>
      </c>
      <c r="D76" s="9" t="s">
        <v>70</v>
      </c>
      <c r="E76" t="s">
        <v>76</v>
      </c>
      <c r="F76" s="12" t="s">
        <v>80</v>
      </c>
      <c r="G76" s="7">
        <v>1</v>
      </c>
      <c r="H76" s="11">
        <f>((G76*86.67)*2)*(SUMIF('Accrual Rates'!B:B,'PTO SUMMARY 2027'!B76,'Accrual Rates'!G:G))</f>
        <v>13.3333128</v>
      </c>
      <c r="I76" s="33">
        <v>0</v>
      </c>
      <c r="J76" s="1">
        <v>0</v>
      </c>
      <c r="K76" s="1">
        <v>0</v>
      </c>
      <c r="L76" s="1">
        <v>0</v>
      </c>
      <c r="M76" s="32">
        <v>0</v>
      </c>
      <c r="N76" s="2">
        <f t="shared" si="80"/>
        <v>13.3333128</v>
      </c>
      <c r="O76" s="2">
        <f>SUMIF('January 2027'!$B:$B,'PTO SUMMARY 2027'!B76,'January 2027'!$AK:$AK)</f>
        <v>0</v>
      </c>
      <c r="P76" s="1">
        <f t="shared" si="66"/>
        <v>13.3333128</v>
      </c>
      <c r="Q76" s="1">
        <v>0</v>
      </c>
      <c r="R76" s="1">
        <v>0</v>
      </c>
      <c r="S76" s="3">
        <f t="shared" si="81"/>
        <v>13.3333128</v>
      </c>
      <c r="T76" s="2">
        <f>SUMIF('February 2027'!$B:$B,'PTO SUMMARY 2027'!G76,'February 2027'!$AK:$AK)</f>
        <v>0</v>
      </c>
      <c r="U76" s="154">
        <v>0</v>
      </c>
      <c r="V76" s="1">
        <f t="shared" si="67"/>
        <v>26.6666256</v>
      </c>
      <c r="W76" s="1">
        <v>0</v>
      </c>
      <c r="X76" s="1">
        <v>0</v>
      </c>
      <c r="Y76" s="3">
        <f t="shared" si="82"/>
        <v>13.3333128</v>
      </c>
      <c r="Z76" s="2">
        <f>SUMIF('March 2027'!$B:$B,'PTO SUMMARY 2027'!M76,'March 2027'!$AK:$AK)</f>
        <v>0</v>
      </c>
      <c r="AA76" s="1">
        <f t="shared" si="53"/>
        <v>39.999938399999998</v>
      </c>
      <c r="AB76" s="1">
        <v>0</v>
      </c>
      <c r="AC76" s="1">
        <v>0</v>
      </c>
      <c r="AD76" s="3">
        <v>0</v>
      </c>
      <c r="AE76" s="31">
        <f t="shared" si="68"/>
        <v>0</v>
      </c>
      <c r="AF76" s="31">
        <v>0</v>
      </c>
      <c r="AG76" s="30">
        <f t="shared" si="69"/>
        <v>0</v>
      </c>
      <c r="AH76" s="2">
        <f t="shared" si="83"/>
        <v>13.3333128</v>
      </c>
      <c r="AI76" s="2">
        <f>SUMIF('April 2027'!$B:$B,'PTO SUMMARY 2027'!V76,'April 2027'!$AK:$AK)</f>
        <v>0</v>
      </c>
      <c r="AJ76" s="1">
        <f t="shared" si="70"/>
        <v>53.333251199999999</v>
      </c>
      <c r="AK76" s="1">
        <v>0</v>
      </c>
      <c r="AL76" s="1">
        <v>0</v>
      </c>
      <c r="AM76" s="3">
        <f t="shared" si="84"/>
        <v>13.3333128</v>
      </c>
      <c r="AN76" s="2">
        <f>SUMIF('May 2027'!$B:$B,'PTO SUMMARY 2027'!AA76,'May 2027'!$AK:$AK)</f>
        <v>0</v>
      </c>
      <c r="AO76" s="1">
        <f t="shared" si="71"/>
        <v>66.67</v>
      </c>
      <c r="AP76" s="1">
        <v>0</v>
      </c>
      <c r="AQ76" s="1">
        <v>0</v>
      </c>
      <c r="AR76" s="3">
        <f t="shared" si="85"/>
        <v>13.3333128</v>
      </c>
      <c r="AS76" s="2">
        <f>SUMIF('June 2027'!$B:$B,'PTO SUMMARY 2027'!AF76,'June 2027'!$AK:$AK)</f>
        <v>0</v>
      </c>
      <c r="AT76" s="1">
        <f t="shared" si="72"/>
        <v>80.003312800000003</v>
      </c>
      <c r="AU76" s="1">
        <v>0</v>
      </c>
      <c r="AV76" s="1">
        <v>0</v>
      </c>
      <c r="AW76" s="3">
        <v>0</v>
      </c>
      <c r="AX76" s="31">
        <v>0</v>
      </c>
      <c r="AY76" s="31">
        <v>0</v>
      </c>
      <c r="AZ76" s="30">
        <f t="shared" si="73"/>
        <v>0</v>
      </c>
      <c r="BA76" s="3">
        <f t="shared" si="86"/>
        <v>13.3333128</v>
      </c>
      <c r="BB76" s="2">
        <f>SUMIF('July 2027'!$B:$B,'PTO SUMMARY 2027'!AK76,'July 2027'!$AK:$AK)</f>
        <v>0</v>
      </c>
      <c r="BC76" s="1">
        <f t="shared" si="74"/>
        <v>93.336625600000005</v>
      </c>
      <c r="BD76" s="1">
        <v>0</v>
      </c>
      <c r="BE76" s="1">
        <v>0</v>
      </c>
      <c r="BF76" s="3">
        <f t="shared" si="87"/>
        <v>13.3333128</v>
      </c>
      <c r="BG76" s="2">
        <f>SUMIF('August 2027'!$B:$B,'PTO SUMMARY 2027'!AP76,'August 2027'!$AK:$AK)</f>
        <v>0</v>
      </c>
      <c r="BH76" s="1">
        <f t="shared" si="75"/>
        <v>106.66993840000001</v>
      </c>
      <c r="BI76" s="1">
        <v>0</v>
      </c>
      <c r="BJ76" s="1">
        <v>0</v>
      </c>
      <c r="BK76" s="3">
        <f t="shared" si="88"/>
        <v>13.3333128</v>
      </c>
      <c r="BL76" s="2">
        <f>SUMIF('September 2027'!$B:$B,'PTO SUMMARY 2027'!AU76,'September 2027'!$AK:$AK)</f>
        <v>0</v>
      </c>
      <c r="BM76" s="1">
        <f t="shared" si="76"/>
        <v>120.00325120000001</v>
      </c>
      <c r="BN76" s="1">
        <v>0</v>
      </c>
      <c r="BO76" s="1">
        <v>0</v>
      </c>
      <c r="BP76" s="3">
        <v>0</v>
      </c>
      <c r="BQ76" s="31">
        <v>0</v>
      </c>
      <c r="BR76" s="31">
        <v>0</v>
      </c>
      <c r="BS76" s="30">
        <f t="shared" si="65"/>
        <v>0</v>
      </c>
      <c r="BT76" s="3">
        <f t="shared" si="89"/>
        <v>13.3333128</v>
      </c>
      <c r="BU76" s="2">
        <f>SUMIF('October 2027'!$B:$B,'PTO SUMMARY 2027'!BH76,'October 2027'!$AK:$AK)</f>
        <v>0</v>
      </c>
      <c r="BV76" s="1">
        <f t="shared" si="77"/>
        <v>133.33656400000001</v>
      </c>
      <c r="BW76" s="1">
        <v>0</v>
      </c>
      <c r="BX76" s="1">
        <v>0</v>
      </c>
      <c r="BY76" s="3">
        <f t="shared" si="90"/>
        <v>13.3333128</v>
      </c>
      <c r="BZ76" s="2">
        <f>SUMIF('November 2027'!$B:$B,'PTO SUMMARY 2027'!BM76,'November 2027'!$AK:$AK)</f>
        <v>0</v>
      </c>
      <c r="CA76" s="1">
        <f t="shared" si="78"/>
        <v>146.6698768</v>
      </c>
      <c r="CB76" s="1">
        <v>0</v>
      </c>
      <c r="CC76" s="1">
        <v>0</v>
      </c>
      <c r="CD76" s="3">
        <f t="shared" si="91"/>
        <v>13.3333128</v>
      </c>
      <c r="CE76" s="2">
        <f>SUMIF('December 2027'!$B:$B,'PTO SUMMARY 2027'!$B:$B,'December 2027'!$AK:$AK)</f>
        <v>0</v>
      </c>
      <c r="CF76" s="1">
        <f t="shared" si="79"/>
        <v>160.00318959999998</v>
      </c>
      <c r="CG76" s="1">
        <v>0</v>
      </c>
      <c r="CH76" s="1">
        <v>0</v>
      </c>
      <c r="CI76" s="1">
        <v>0</v>
      </c>
      <c r="CJ76" s="3">
        <v>0</v>
      </c>
      <c r="CK76" s="31">
        <v>0</v>
      </c>
      <c r="CL76" s="31">
        <v>0</v>
      </c>
      <c r="CM76" s="31">
        <v>0</v>
      </c>
      <c r="CN76" s="30">
        <f t="shared" si="92"/>
        <v>0</v>
      </c>
    </row>
    <row r="77" spans="1:92">
      <c r="A77" s="8" t="s">
        <v>231</v>
      </c>
      <c r="B77" s="8" t="s">
        <v>232</v>
      </c>
      <c r="C77" s="8" t="s">
        <v>75</v>
      </c>
      <c r="D77" s="9" t="s">
        <v>70</v>
      </c>
      <c r="E77" t="s">
        <v>76</v>
      </c>
      <c r="F77" s="12" t="s">
        <v>77</v>
      </c>
      <c r="G77" s="7">
        <v>0.9</v>
      </c>
      <c r="H77" s="11">
        <f>((G77*86.67)*2)*(SUMIF('Accrual Rates'!B:B,'PTO SUMMARY 2027'!B77,'Accrual Rates'!G:G))</f>
        <v>11.99998152</v>
      </c>
      <c r="I77" s="33">
        <v>0</v>
      </c>
      <c r="J77" s="1">
        <v>0</v>
      </c>
      <c r="K77" s="1">
        <v>0</v>
      </c>
      <c r="L77" s="1">
        <v>0</v>
      </c>
      <c r="M77" s="32">
        <v>0</v>
      </c>
      <c r="N77" s="2">
        <f t="shared" si="80"/>
        <v>11.99998152</v>
      </c>
      <c r="O77" s="2">
        <f>SUMIF('January 2027'!$B:$B,'PTO SUMMARY 2027'!B77,'January 2027'!$AK:$AK)</f>
        <v>0</v>
      </c>
      <c r="P77" s="1">
        <f t="shared" si="66"/>
        <v>11.99998152</v>
      </c>
      <c r="Q77" s="1">
        <v>0</v>
      </c>
      <c r="R77" s="1">
        <v>0</v>
      </c>
      <c r="S77" s="3">
        <f t="shared" si="81"/>
        <v>11.99998152</v>
      </c>
      <c r="T77" s="2">
        <f>SUMIF('February 2027'!$B:$B,'PTO SUMMARY 2027'!G77,'February 2027'!$AK:$AK)</f>
        <v>0</v>
      </c>
      <c r="U77" s="154">
        <v>0</v>
      </c>
      <c r="V77" s="1">
        <f t="shared" si="67"/>
        <v>23.999963040000001</v>
      </c>
      <c r="W77" s="1">
        <v>0</v>
      </c>
      <c r="X77" s="1">
        <v>0</v>
      </c>
      <c r="Y77" s="3">
        <f t="shared" si="82"/>
        <v>11.99998152</v>
      </c>
      <c r="Z77" s="2">
        <f>SUMIF('March 2027'!$B:$B,'PTO SUMMARY 2027'!M77,'March 2027'!$AK:$AK)</f>
        <v>0</v>
      </c>
      <c r="AA77" s="1">
        <f t="shared" si="53"/>
        <v>35.999944560000003</v>
      </c>
      <c r="AB77" s="1">
        <v>0</v>
      </c>
      <c r="AC77" s="1">
        <v>0</v>
      </c>
      <c r="AD77" s="3">
        <v>0</v>
      </c>
      <c r="AE77" s="31">
        <f t="shared" si="68"/>
        <v>0</v>
      </c>
      <c r="AF77" s="31">
        <v>0</v>
      </c>
      <c r="AG77" s="30">
        <f t="shared" si="69"/>
        <v>0</v>
      </c>
      <c r="AH77" s="2">
        <f t="shared" si="83"/>
        <v>11.99998152</v>
      </c>
      <c r="AI77" s="2">
        <f>SUMIF('April 2027'!$B:$B,'PTO SUMMARY 2027'!V77,'April 2027'!$AK:$AK)</f>
        <v>0</v>
      </c>
      <c r="AJ77" s="1">
        <f t="shared" si="70"/>
        <v>47.999926080000002</v>
      </c>
      <c r="AK77" s="1">
        <v>0</v>
      </c>
      <c r="AL77" s="1">
        <v>0</v>
      </c>
      <c r="AM77" s="3">
        <f t="shared" si="84"/>
        <v>11.99998152</v>
      </c>
      <c r="AN77" s="2">
        <f>SUMIF('May 2027'!$B:$B,'PTO SUMMARY 2027'!AA77,'May 2027'!$AK:$AK)</f>
        <v>0</v>
      </c>
      <c r="AO77" s="1">
        <f t="shared" si="71"/>
        <v>60</v>
      </c>
      <c r="AP77" s="1">
        <v>0</v>
      </c>
      <c r="AQ77" s="1">
        <v>0</v>
      </c>
      <c r="AR77" s="3">
        <f t="shared" si="85"/>
        <v>11.99998152</v>
      </c>
      <c r="AS77" s="2">
        <f>SUMIF('June 2027'!$B:$B,'PTO SUMMARY 2027'!AF77,'June 2027'!$AK:$AK)</f>
        <v>0</v>
      </c>
      <c r="AT77" s="1">
        <f t="shared" si="72"/>
        <v>71.999981520000006</v>
      </c>
      <c r="AU77" s="1">
        <v>0</v>
      </c>
      <c r="AV77" s="1">
        <v>0</v>
      </c>
      <c r="AW77" s="3">
        <v>0</v>
      </c>
      <c r="AX77" s="31">
        <v>0</v>
      </c>
      <c r="AY77" s="31">
        <v>0</v>
      </c>
      <c r="AZ77" s="30">
        <f t="shared" si="73"/>
        <v>0</v>
      </c>
      <c r="BA77" s="3">
        <f t="shared" si="86"/>
        <v>11.99998152</v>
      </c>
      <c r="BB77" s="2">
        <f>SUMIF('July 2027'!$B:$B,'PTO SUMMARY 2027'!AK77,'July 2027'!$AK:$AK)</f>
        <v>0</v>
      </c>
      <c r="BC77" s="1">
        <f t="shared" si="74"/>
        <v>83.999963040000011</v>
      </c>
      <c r="BD77" s="1">
        <v>0</v>
      </c>
      <c r="BE77" s="1">
        <v>0</v>
      </c>
      <c r="BF77" s="3">
        <f t="shared" si="87"/>
        <v>11.99998152</v>
      </c>
      <c r="BG77" s="2">
        <f>SUMIF('August 2027'!$B:$B,'PTO SUMMARY 2027'!AP77,'August 2027'!$AK:$AK)</f>
        <v>0</v>
      </c>
      <c r="BH77" s="1">
        <f t="shared" si="75"/>
        <v>95.999944560000017</v>
      </c>
      <c r="BI77" s="1">
        <v>0</v>
      </c>
      <c r="BJ77" s="1">
        <v>0</v>
      </c>
      <c r="BK77" s="3">
        <f t="shared" si="88"/>
        <v>11.99998152</v>
      </c>
      <c r="BL77" s="2">
        <f>SUMIF('September 2027'!$B:$B,'PTO SUMMARY 2027'!AU77,'September 2027'!$AK:$AK)</f>
        <v>0</v>
      </c>
      <c r="BM77" s="1">
        <f t="shared" si="76"/>
        <v>107.99992608000002</v>
      </c>
      <c r="BN77" s="1">
        <v>0</v>
      </c>
      <c r="BO77" s="1">
        <v>0</v>
      </c>
      <c r="BP77" s="3">
        <v>0</v>
      </c>
      <c r="BQ77" s="31">
        <v>0</v>
      </c>
      <c r="BR77" s="31">
        <v>0</v>
      </c>
      <c r="BS77" s="30">
        <f t="shared" si="65"/>
        <v>0</v>
      </c>
      <c r="BT77" s="3">
        <f t="shared" si="89"/>
        <v>11.99998152</v>
      </c>
      <c r="BU77" s="2">
        <f>SUMIF('October 2027'!$B:$B,'PTO SUMMARY 2027'!BH77,'October 2027'!$AK:$AK)</f>
        <v>0</v>
      </c>
      <c r="BV77" s="1">
        <f t="shared" si="77"/>
        <v>119.99990760000003</v>
      </c>
      <c r="BW77" s="1">
        <v>0</v>
      </c>
      <c r="BX77" s="1">
        <v>0</v>
      </c>
      <c r="BY77" s="3">
        <f t="shared" si="90"/>
        <v>11.99998152</v>
      </c>
      <c r="BZ77" s="2">
        <f>SUMIF('November 2027'!$B:$B,'PTO SUMMARY 2027'!BM77,'November 2027'!$AK:$AK)</f>
        <v>0</v>
      </c>
      <c r="CA77" s="1">
        <f t="shared" si="78"/>
        <v>131.99988912000003</v>
      </c>
      <c r="CB77" s="1">
        <v>0</v>
      </c>
      <c r="CC77" s="1">
        <v>0</v>
      </c>
      <c r="CD77" s="3">
        <f t="shared" si="91"/>
        <v>11.99998152</v>
      </c>
      <c r="CE77" s="2">
        <f>SUMIF('December 2027'!$B:$B,'PTO SUMMARY 2027'!$B:$B,'December 2027'!$AK:$AK)</f>
        <v>0</v>
      </c>
      <c r="CF77" s="1">
        <f t="shared" si="79"/>
        <v>143.99987064000004</v>
      </c>
      <c r="CG77" s="1">
        <v>0</v>
      </c>
      <c r="CH77" s="1">
        <v>0</v>
      </c>
      <c r="CI77" s="1">
        <v>0</v>
      </c>
      <c r="CJ77" s="3">
        <v>0</v>
      </c>
      <c r="CK77" s="31">
        <v>0</v>
      </c>
      <c r="CL77" s="31">
        <v>0</v>
      </c>
      <c r="CM77" s="31">
        <v>0</v>
      </c>
      <c r="CN77" s="30">
        <f t="shared" si="92"/>
        <v>0</v>
      </c>
    </row>
    <row r="78" spans="1:92">
      <c r="A78" s="35" t="s">
        <v>233</v>
      </c>
      <c r="B78" s="8" t="s">
        <v>234</v>
      </c>
      <c r="C78" s="8" t="s">
        <v>75</v>
      </c>
      <c r="D78" s="9" t="s">
        <v>65</v>
      </c>
      <c r="E78" t="s">
        <v>95</v>
      </c>
      <c r="F78" s="12" t="s">
        <v>77</v>
      </c>
      <c r="G78" s="7">
        <v>0.8</v>
      </c>
      <c r="H78" s="34">
        <v>0</v>
      </c>
      <c r="I78" s="33">
        <v>0</v>
      </c>
      <c r="J78" s="1">
        <v>0</v>
      </c>
      <c r="K78" s="1">
        <v>0</v>
      </c>
      <c r="L78" s="1">
        <v>0</v>
      </c>
      <c r="M78" s="32">
        <v>0</v>
      </c>
      <c r="N78" s="2">
        <f t="shared" si="80"/>
        <v>0</v>
      </c>
      <c r="O78" s="2">
        <f>SUMIF('January 2027'!$B:$B,'PTO SUMMARY 2027'!B78,'January 2027'!$AK:$AK)</f>
        <v>8</v>
      </c>
      <c r="P78" s="1">
        <f t="shared" si="66"/>
        <v>-8</v>
      </c>
      <c r="Q78" s="1">
        <v>0</v>
      </c>
      <c r="R78" s="1">
        <v>0</v>
      </c>
      <c r="S78" s="3">
        <f t="shared" si="81"/>
        <v>0</v>
      </c>
      <c r="T78" s="2">
        <f>SUMIF('February 2027'!$B:$B,'PTO SUMMARY 2027'!G78,'February 2027'!$AK:$AK)</f>
        <v>0</v>
      </c>
      <c r="U78" s="154">
        <v>0</v>
      </c>
      <c r="V78" s="1">
        <f t="shared" si="67"/>
        <v>-8</v>
      </c>
      <c r="W78" s="1">
        <v>0</v>
      </c>
      <c r="X78" s="1">
        <v>0</v>
      </c>
      <c r="Y78" s="3">
        <f t="shared" si="82"/>
        <v>0</v>
      </c>
      <c r="Z78" s="2">
        <f>SUMIF('March 2027'!$B:$B,'PTO SUMMARY 2027'!M78,'March 2027'!$AK:$AK)</f>
        <v>0</v>
      </c>
      <c r="AA78" s="1">
        <f t="shared" si="53"/>
        <v>-8</v>
      </c>
      <c r="AB78" s="1">
        <v>0</v>
      </c>
      <c r="AC78" s="1">
        <v>0</v>
      </c>
      <c r="AD78" s="3">
        <v>0</v>
      </c>
      <c r="AE78" s="31">
        <f t="shared" si="68"/>
        <v>0</v>
      </c>
      <c r="AF78" s="31">
        <v>0</v>
      </c>
      <c r="AG78" s="30">
        <f t="shared" si="69"/>
        <v>0</v>
      </c>
      <c r="AH78" s="2">
        <f t="shared" si="83"/>
        <v>0</v>
      </c>
      <c r="AI78" s="2">
        <f>SUMIF('April 2027'!$B:$B,'PTO SUMMARY 2027'!V78,'April 2027'!$AK:$AK)</f>
        <v>0</v>
      </c>
      <c r="AJ78" s="1">
        <f t="shared" si="70"/>
        <v>-8</v>
      </c>
      <c r="AK78" s="1">
        <v>0</v>
      </c>
      <c r="AL78" s="1">
        <v>0</v>
      </c>
      <c r="AM78" s="3">
        <f t="shared" si="84"/>
        <v>0</v>
      </c>
      <c r="AN78" s="2">
        <f>SUMIF('May 2027'!$B:$B,'PTO SUMMARY 2027'!AA78,'May 2027'!$AK:$AK)</f>
        <v>0</v>
      </c>
      <c r="AO78" s="1">
        <f t="shared" si="71"/>
        <v>-8</v>
      </c>
      <c r="AP78" s="1">
        <v>0</v>
      </c>
      <c r="AQ78" s="1">
        <v>0</v>
      </c>
      <c r="AR78" s="3">
        <f t="shared" si="85"/>
        <v>0</v>
      </c>
      <c r="AS78" s="2">
        <f>SUMIF('June 2027'!$B:$B,'PTO SUMMARY 2027'!AF78,'June 2027'!$AK:$AK)</f>
        <v>0</v>
      </c>
      <c r="AT78" s="1">
        <f t="shared" si="72"/>
        <v>-8</v>
      </c>
      <c r="AU78" s="1">
        <v>0</v>
      </c>
      <c r="AV78" s="1">
        <v>0</v>
      </c>
      <c r="AW78" s="3">
        <v>0</v>
      </c>
      <c r="AX78" s="31">
        <v>0</v>
      </c>
      <c r="AY78" s="31">
        <v>0</v>
      </c>
      <c r="AZ78" s="30">
        <f t="shared" si="73"/>
        <v>0</v>
      </c>
      <c r="BA78" s="3">
        <f t="shared" si="86"/>
        <v>0</v>
      </c>
      <c r="BB78" s="2">
        <f>SUMIF('July 2027'!$B:$B,'PTO SUMMARY 2027'!AK78,'July 2027'!$AK:$AK)</f>
        <v>0</v>
      </c>
      <c r="BC78" s="1">
        <f t="shared" si="74"/>
        <v>-8</v>
      </c>
      <c r="BD78" s="1">
        <v>0</v>
      </c>
      <c r="BE78" s="1">
        <v>0</v>
      </c>
      <c r="BF78" s="3">
        <f t="shared" si="87"/>
        <v>0</v>
      </c>
      <c r="BG78" s="2">
        <f>SUMIF('August 2027'!$B:$B,'PTO SUMMARY 2027'!AP78,'August 2027'!$AK:$AK)</f>
        <v>0</v>
      </c>
      <c r="BH78" s="1">
        <f t="shared" si="75"/>
        <v>-8</v>
      </c>
      <c r="BI78" s="1">
        <v>0</v>
      </c>
      <c r="BJ78" s="1">
        <v>0</v>
      </c>
      <c r="BK78" s="3">
        <f t="shared" si="88"/>
        <v>0</v>
      </c>
      <c r="BL78" s="2">
        <f>SUMIF('September 2027'!$B:$B,'PTO SUMMARY 2027'!AU78,'September 2027'!$AK:$AK)</f>
        <v>0</v>
      </c>
      <c r="BM78" s="1">
        <f t="shared" si="76"/>
        <v>-8</v>
      </c>
      <c r="BN78" s="1">
        <v>0</v>
      </c>
      <c r="BO78" s="1">
        <v>0</v>
      </c>
      <c r="BP78" s="3">
        <v>0</v>
      </c>
      <c r="BQ78" s="31">
        <v>0</v>
      </c>
      <c r="BR78" s="31">
        <v>0</v>
      </c>
      <c r="BS78" s="30">
        <f t="shared" si="65"/>
        <v>0</v>
      </c>
      <c r="BT78" s="3">
        <f t="shared" si="89"/>
        <v>0</v>
      </c>
      <c r="BU78" s="2">
        <f>SUMIF('October 2027'!$B:$B,'PTO SUMMARY 2027'!BH78,'October 2027'!$AK:$AK)</f>
        <v>0</v>
      </c>
      <c r="BV78" s="1">
        <f t="shared" si="77"/>
        <v>-8</v>
      </c>
      <c r="BW78" s="1">
        <v>0</v>
      </c>
      <c r="BX78" s="1">
        <v>0</v>
      </c>
      <c r="BY78" s="3">
        <f t="shared" si="90"/>
        <v>0</v>
      </c>
      <c r="BZ78" s="2">
        <f>SUMIF('November 2027'!$B:$B,'PTO SUMMARY 2027'!BM78,'November 2027'!$AK:$AK)</f>
        <v>0</v>
      </c>
      <c r="CA78" s="1">
        <f t="shared" si="78"/>
        <v>-8</v>
      </c>
      <c r="CB78" s="1">
        <v>0</v>
      </c>
      <c r="CC78" s="1">
        <v>0</v>
      </c>
      <c r="CD78" s="3">
        <f t="shared" si="91"/>
        <v>0</v>
      </c>
      <c r="CE78" s="2">
        <f>SUMIF('December 2027'!$B:$B,'PTO SUMMARY 2027'!$B:$B,'December 2027'!$AK:$AK)</f>
        <v>0</v>
      </c>
      <c r="CF78" s="1">
        <f t="shared" si="79"/>
        <v>-8</v>
      </c>
      <c r="CG78" s="1">
        <v>0</v>
      </c>
      <c r="CH78" s="1">
        <v>0</v>
      </c>
      <c r="CI78" s="1">
        <v>0</v>
      </c>
      <c r="CJ78" s="3">
        <v>0</v>
      </c>
      <c r="CK78" s="31">
        <v>0</v>
      </c>
      <c r="CL78" s="31">
        <v>0</v>
      </c>
      <c r="CM78" s="31">
        <v>0</v>
      </c>
      <c r="CN78" s="30">
        <f t="shared" si="92"/>
        <v>0</v>
      </c>
    </row>
    <row r="79" spans="1:92">
      <c r="A79" s="8" t="s">
        <v>235</v>
      </c>
      <c r="B79" s="8" t="s">
        <v>236</v>
      </c>
      <c r="C79" s="8" t="s">
        <v>75</v>
      </c>
      <c r="D79" s="9" t="s">
        <v>70</v>
      </c>
      <c r="E79" t="s">
        <v>76</v>
      </c>
      <c r="F79" s="12" t="s">
        <v>80</v>
      </c>
      <c r="G79" s="7">
        <v>1</v>
      </c>
      <c r="H79" s="11">
        <f>((G79*86.67)*2)*(SUMIF('Accrual Rates'!B:B,'PTO SUMMARY 2027'!B79,'Accrual Rates'!G:G))</f>
        <v>13.3333128</v>
      </c>
      <c r="I79" s="33">
        <v>0</v>
      </c>
      <c r="J79" s="1">
        <v>0</v>
      </c>
      <c r="K79" s="1">
        <v>0</v>
      </c>
      <c r="L79" s="1">
        <v>0</v>
      </c>
      <c r="M79" s="32">
        <v>0</v>
      </c>
      <c r="N79" s="2">
        <f t="shared" si="80"/>
        <v>13.3333128</v>
      </c>
      <c r="O79" s="2">
        <f>SUMIF('January 2027'!$B:$B,'PTO SUMMARY 2027'!B79,'January 2027'!$AK:$AK)</f>
        <v>0</v>
      </c>
      <c r="P79" s="1">
        <f t="shared" si="66"/>
        <v>13.3333128</v>
      </c>
      <c r="Q79" s="1">
        <v>0</v>
      </c>
      <c r="R79" s="1">
        <v>0</v>
      </c>
      <c r="S79" s="3">
        <f t="shared" si="81"/>
        <v>13.3333128</v>
      </c>
      <c r="T79" s="2">
        <f>SUMIF('February 2027'!$B:$B,'PTO SUMMARY 2027'!G79,'February 2027'!$AK:$AK)</f>
        <v>0</v>
      </c>
      <c r="U79" s="154">
        <v>0</v>
      </c>
      <c r="V79" s="1">
        <f t="shared" si="67"/>
        <v>26.6666256</v>
      </c>
      <c r="W79" s="1">
        <v>0</v>
      </c>
      <c r="X79" s="1">
        <v>0</v>
      </c>
      <c r="Y79" s="3">
        <f t="shared" si="82"/>
        <v>13.3333128</v>
      </c>
      <c r="Z79" s="2">
        <f>SUMIF('March 2027'!$B:$B,'PTO SUMMARY 2027'!M79,'March 2027'!$AK:$AK)</f>
        <v>0</v>
      </c>
      <c r="AA79" s="1">
        <f t="shared" si="53"/>
        <v>39.999938399999998</v>
      </c>
      <c r="AB79" s="1">
        <v>0</v>
      </c>
      <c r="AC79" s="1">
        <v>0</v>
      </c>
      <c r="AD79" s="3">
        <v>0</v>
      </c>
      <c r="AE79" s="31">
        <f t="shared" si="68"/>
        <v>0</v>
      </c>
      <c r="AF79" s="31">
        <v>0</v>
      </c>
      <c r="AG79" s="30">
        <f t="shared" si="69"/>
        <v>0</v>
      </c>
      <c r="AH79" s="2">
        <f t="shared" si="83"/>
        <v>13.3333128</v>
      </c>
      <c r="AI79" s="2">
        <f>SUMIF('April 2027'!$B:$B,'PTO SUMMARY 2027'!V79,'April 2027'!$AK:$AK)</f>
        <v>0</v>
      </c>
      <c r="AJ79" s="1">
        <f t="shared" si="70"/>
        <v>53.333251199999999</v>
      </c>
      <c r="AK79" s="1">
        <v>0</v>
      </c>
      <c r="AL79" s="1">
        <v>0</v>
      </c>
      <c r="AM79" s="3">
        <f t="shared" si="84"/>
        <v>13.3333128</v>
      </c>
      <c r="AN79" s="2">
        <f>SUMIF('May 2027'!$B:$B,'PTO SUMMARY 2027'!AA79,'May 2027'!$AK:$AK)</f>
        <v>0</v>
      </c>
      <c r="AO79" s="1">
        <f t="shared" si="71"/>
        <v>66.67</v>
      </c>
      <c r="AP79" s="1">
        <v>0</v>
      </c>
      <c r="AQ79" s="1">
        <v>0</v>
      </c>
      <c r="AR79" s="3">
        <f t="shared" si="85"/>
        <v>13.3333128</v>
      </c>
      <c r="AS79" s="2">
        <f>SUMIF('June 2027'!$B:$B,'PTO SUMMARY 2027'!AF79,'June 2027'!$AK:$AK)</f>
        <v>0</v>
      </c>
      <c r="AT79" s="1">
        <f t="shared" si="72"/>
        <v>80.003312800000003</v>
      </c>
      <c r="AU79" s="1">
        <v>0</v>
      </c>
      <c r="AV79" s="1">
        <v>0</v>
      </c>
      <c r="AW79" s="3">
        <v>0</v>
      </c>
      <c r="AX79" s="31">
        <v>0</v>
      </c>
      <c r="AY79" s="31">
        <v>0</v>
      </c>
      <c r="AZ79" s="30">
        <f t="shared" si="73"/>
        <v>0</v>
      </c>
      <c r="BA79" s="3">
        <f t="shared" si="86"/>
        <v>13.3333128</v>
      </c>
      <c r="BB79" s="2">
        <f>SUMIF('July 2027'!$B:$B,'PTO SUMMARY 2027'!AK79,'July 2027'!$AK:$AK)</f>
        <v>0</v>
      </c>
      <c r="BC79" s="1">
        <f t="shared" si="74"/>
        <v>93.336625600000005</v>
      </c>
      <c r="BD79" s="1">
        <v>0</v>
      </c>
      <c r="BE79" s="1">
        <v>0</v>
      </c>
      <c r="BF79" s="3">
        <f t="shared" si="87"/>
        <v>13.3333128</v>
      </c>
      <c r="BG79" s="2">
        <f>SUMIF('August 2027'!$B:$B,'PTO SUMMARY 2027'!AP79,'August 2027'!$AK:$AK)</f>
        <v>0</v>
      </c>
      <c r="BH79" s="1">
        <f t="shared" si="75"/>
        <v>106.66993840000001</v>
      </c>
      <c r="BI79" s="1">
        <v>0</v>
      </c>
      <c r="BJ79" s="1">
        <v>0</v>
      </c>
      <c r="BK79" s="3">
        <f t="shared" si="88"/>
        <v>13.3333128</v>
      </c>
      <c r="BL79" s="2">
        <f>SUMIF('September 2027'!$B:$B,'PTO SUMMARY 2027'!AU79,'September 2027'!$AK:$AK)</f>
        <v>0</v>
      </c>
      <c r="BM79" s="1">
        <f t="shared" si="76"/>
        <v>120.00325120000001</v>
      </c>
      <c r="BN79" s="1">
        <v>0</v>
      </c>
      <c r="BO79" s="1">
        <v>0</v>
      </c>
      <c r="BP79" s="3">
        <v>0</v>
      </c>
      <c r="BQ79" s="31">
        <v>0</v>
      </c>
      <c r="BR79" s="31">
        <v>0</v>
      </c>
      <c r="BS79" s="30">
        <f t="shared" si="65"/>
        <v>0</v>
      </c>
      <c r="BT79" s="3">
        <f t="shared" si="89"/>
        <v>13.3333128</v>
      </c>
      <c r="BU79" s="2">
        <f>SUMIF('October 2027'!$B:$B,'PTO SUMMARY 2027'!BH79,'October 2027'!$AK:$AK)</f>
        <v>0</v>
      </c>
      <c r="BV79" s="1">
        <f t="shared" si="77"/>
        <v>133.33656400000001</v>
      </c>
      <c r="BW79" s="1">
        <v>0</v>
      </c>
      <c r="BX79" s="1">
        <v>0</v>
      </c>
      <c r="BY79" s="3">
        <f t="shared" si="90"/>
        <v>13.3333128</v>
      </c>
      <c r="BZ79" s="2">
        <f>SUMIF('November 2027'!$B:$B,'PTO SUMMARY 2027'!BM79,'November 2027'!$AK:$AK)</f>
        <v>0</v>
      </c>
      <c r="CA79" s="1">
        <f t="shared" si="78"/>
        <v>146.6698768</v>
      </c>
      <c r="CB79" s="1">
        <v>0</v>
      </c>
      <c r="CC79" s="1">
        <v>0</v>
      </c>
      <c r="CD79" s="3">
        <f t="shared" si="91"/>
        <v>13.3333128</v>
      </c>
      <c r="CE79" s="2">
        <f>SUMIF('December 2027'!$B:$B,'PTO SUMMARY 2027'!$B:$B,'December 2027'!$AK:$AK)</f>
        <v>0</v>
      </c>
      <c r="CF79" s="1">
        <f t="shared" si="79"/>
        <v>160.00318959999998</v>
      </c>
      <c r="CG79" s="1">
        <v>0</v>
      </c>
      <c r="CH79" s="1">
        <v>0</v>
      </c>
      <c r="CI79" s="1">
        <v>0</v>
      </c>
      <c r="CJ79" s="3">
        <v>0</v>
      </c>
      <c r="CK79" s="31">
        <v>0</v>
      </c>
      <c r="CL79" s="31">
        <v>0</v>
      </c>
      <c r="CM79" s="31">
        <v>0</v>
      </c>
      <c r="CN79" s="30">
        <f t="shared" si="92"/>
        <v>0</v>
      </c>
    </row>
    <row r="80" spans="1:92">
      <c r="A80" s="8" t="s">
        <v>237</v>
      </c>
      <c r="B80" s="8" t="s">
        <v>238</v>
      </c>
      <c r="C80" s="8" t="s">
        <v>75</v>
      </c>
      <c r="E80" t="s">
        <v>76</v>
      </c>
      <c r="F80" s="12" t="s">
        <v>99</v>
      </c>
      <c r="G80" s="7">
        <v>0.8</v>
      </c>
      <c r="H80" s="11">
        <f>((G80*86.67)*2)*(SUMIF('Accrual Rates'!B:B,'PTO SUMMARY 2027'!B80,'Accrual Rates'!G:G))</f>
        <v>10.666650240000001</v>
      </c>
      <c r="I80" s="33">
        <v>0</v>
      </c>
      <c r="J80" s="1">
        <v>0</v>
      </c>
      <c r="K80" s="1">
        <v>0</v>
      </c>
      <c r="L80" s="1">
        <v>0</v>
      </c>
      <c r="M80" s="32">
        <v>0</v>
      </c>
      <c r="N80" s="2">
        <f t="shared" si="80"/>
        <v>10.666650240000001</v>
      </c>
      <c r="O80" s="2">
        <f>SUMIF('January 2027'!$B:$B,'PTO SUMMARY 2027'!B80,'January 2027'!$AK:$AK)</f>
        <v>0</v>
      </c>
      <c r="P80" s="1">
        <f t="shared" si="66"/>
        <v>10.666650240000001</v>
      </c>
      <c r="Q80" s="1">
        <v>0</v>
      </c>
      <c r="R80" s="1">
        <v>0</v>
      </c>
      <c r="S80" s="3">
        <f t="shared" si="81"/>
        <v>10.666650240000001</v>
      </c>
      <c r="T80" s="2">
        <f>SUMIF('February 2027'!$B:$B,'PTO SUMMARY 2027'!G80,'February 2027'!$AK:$AK)</f>
        <v>0</v>
      </c>
      <c r="U80" s="154">
        <v>0</v>
      </c>
      <c r="V80" s="1">
        <f t="shared" si="67"/>
        <v>21.333300480000002</v>
      </c>
      <c r="W80" s="1">
        <v>0</v>
      </c>
      <c r="X80" s="1">
        <v>0</v>
      </c>
      <c r="Y80" s="3">
        <f t="shared" si="82"/>
        <v>10.666650240000001</v>
      </c>
      <c r="Z80" s="2">
        <f>SUMIF('March 2027'!$B:$B,'PTO SUMMARY 2027'!M80,'March 2027'!$AK:$AK)</f>
        <v>0</v>
      </c>
      <c r="AA80" s="1">
        <f t="shared" si="53"/>
        <v>31.999950720000001</v>
      </c>
      <c r="AB80" s="1">
        <v>0</v>
      </c>
      <c r="AC80" s="1">
        <v>0</v>
      </c>
      <c r="AD80" s="3">
        <v>0</v>
      </c>
      <c r="AE80" s="31">
        <f t="shared" si="68"/>
        <v>0</v>
      </c>
      <c r="AF80" s="31">
        <v>0</v>
      </c>
      <c r="AG80" s="30">
        <f t="shared" si="69"/>
        <v>0</v>
      </c>
      <c r="AH80" s="2">
        <f t="shared" si="83"/>
        <v>10.666650240000001</v>
      </c>
      <c r="AI80" s="2">
        <f>SUMIF('April 2027'!$B:$B,'PTO SUMMARY 2027'!V80,'April 2027'!$AK:$AK)</f>
        <v>0</v>
      </c>
      <c r="AJ80" s="1">
        <f t="shared" si="70"/>
        <v>42.666600960000004</v>
      </c>
      <c r="AK80" s="1">
        <v>0</v>
      </c>
      <c r="AL80" s="1">
        <v>0</v>
      </c>
      <c r="AM80" s="3">
        <f t="shared" si="84"/>
        <v>10.666650240000001</v>
      </c>
      <c r="AN80" s="2">
        <f>SUMIF('May 2027'!$B:$B,'PTO SUMMARY 2027'!AA80,'May 2027'!$AK:$AK)</f>
        <v>0</v>
      </c>
      <c r="AO80" s="1">
        <f t="shared" si="71"/>
        <v>53.33</v>
      </c>
      <c r="AP80" s="1">
        <v>0</v>
      </c>
      <c r="AQ80" s="1">
        <v>0</v>
      </c>
      <c r="AR80" s="3">
        <f t="shared" si="85"/>
        <v>10.666650240000001</v>
      </c>
      <c r="AS80" s="2">
        <f>SUMIF('June 2027'!$B:$B,'PTO SUMMARY 2027'!AF80,'June 2027'!$AK:$AK)</f>
        <v>0</v>
      </c>
      <c r="AT80" s="1">
        <f t="shared" si="72"/>
        <v>63.996650240000001</v>
      </c>
      <c r="AU80" s="1">
        <v>0</v>
      </c>
      <c r="AV80" s="1">
        <v>0</v>
      </c>
      <c r="AW80" s="3">
        <v>0</v>
      </c>
      <c r="AX80" s="31">
        <v>0</v>
      </c>
      <c r="AY80" s="31">
        <v>0</v>
      </c>
      <c r="AZ80" s="30">
        <f t="shared" si="73"/>
        <v>0</v>
      </c>
      <c r="BA80" s="3">
        <f t="shared" si="86"/>
        <v>10.666650240000001</v>
      </c>
      <c r="BB80" s="2">
        <f>SUMIF('July 2027'!$B:$B,'PTO SUMMARY 2027'!AK80,'July 2027'!$AK:$AK)</f>
        <v>0</v>
      </c>
      <c r="BC80" s="1">
        <f t="shared" si="74"/>
        <v>74.663300480000004</v>
      </c>
      <c r="BD80" s="1">
        <v>0</v>
      </c>
      <c r="BE80" s="1">
        <v>0</v>
      </c>
      <c r="BF80" s="3">
        <f t="shared" si="87"/>
        <v>10.666650240000001</v>
      </c>
      <c r="BG80" s="2">
        <f>SUMIF('August 2027'!$B:$B,'PTO SUMMARY 2027'!AP80,'August 2027'!$AK:$AK)</f>
        <v>0</v>
      </c>
      <c r="BH80" s="1">
        <f t="shared" si="75"/>
        <v>85.329950719999999</v>
      </c>
      <c r="BI80" s="1">
        <v>0</v>
      </c>
      <c r="BJ80" s="1">
        <v>0</v>
      </c>
      <c r="BK80" s="3">
        <f t="shared" si="88"/>
        <v>10.666650240000001</v>
      </c>
      <c r="BL80" s="2">
        <f>SUMIF('September 2027'!$B:$B,'PTO SUMMARY 2027'!AU80,'September 2027'!$AK:$AK)</f>
        <v>0</v>
      </c>
      <c r="BM80" s="1">
        <f t="shared" si="76"/>
        <v>95.996600959999995</v>
      </c>
      <c r="BN80" s="1">
        <v>0</v>
      </c>
      <c r="BO80" s="1">
        <v>0</v>
      </c>
      <c r="BP80" s="3">
        <v>0</v>
      </c>
      <c r="BQ80" s="31">
        <v>0</v>
      </c>
      <c r="BR80" s="31">
        <v>0</v>
      </c>
      <c r="BS80" s="30">
        <f t="shared" si="65"/>
        <v>0</v>
      </c>
      <c r="BT80" s="3">
        <f t="shared" si="89"/>
        <v>10.666650240000001</v>
      </c>
      <c r="BU80" s="2">
        <f>SUMIF('October 2027'!$B:$B,'PTO SUMMARY 2027'!BH80,'October 2027'!$AK:$AK)</f>
        <v>0</v>
      </c>
      <c r="BV80" s="1">
        <f t="shared" si="77"/>
        <v>106.66325119999999</v>
      </c>
      <c r="BW80" s="1">
        <v>0</v>
      </c>
      <c r="BX80" s="1">
        <v>0</v>
      </c>
      <c r="BY80" s="3">
        <f t="shared" si="90"/>
        <v>10.666650240000001</v>
      </c>
      <c r="BZ80" s="2">
        <f>SUMIF('November 2027'!$B:$B,'PTO SUMMARY 2027'!BM80,'November 2027'!$AK:$AK)</f>
        <v>0</v>
      </c>
      <c r="CA80" s="1">
        <f t="shared" si="78"/>
        <v>117.32990143999999</v>
      </c>
      <c r="CB80" s="1">
        <v>0</v>
      </c>
      <c r="CC80" s="1">
        <v>0</v>
      </c>
      <c r="CD80" s="3">
        <f t="shared" si="91"/>
        <v>10.666650240000001</v>
      </c>
      <c r="CE80" s="2">
        <f>SUMIF('December 2027'!$B:$B,'PTO SUMMARY 2027'!$B:$B,'December 2027'!$AK:$AK)</f>
        <v>0</v>
      </c>
      <c r="CF80" s="1">
        <f t="shared" si="79"/>
        <v>127.99655167999998</v>
      </c>
      <c r="CG80" s="1">
        <v>0</v>
      </c>
      <c r="CH80" s="1">
        <v>0</v>
      </c>
      <c r="CI80" s="1">
        <v>0</v>
      </c>
      <c r="CJ80" s="3">
        <v>0</v>
      </c>
      <c r="CK80" s="31">
        <v>0</v>
      </c>
      <c r="CL80" s="31">
        <v>0</v>
      </c>
      <c r="CM80" s="31">
        <v>0</v>
      </c>
      <c r="CN80" s="30">
        <f t="shared" si="92"/>
        <v>0</v>
      </c>
    </row>
    <row r="81" spans="1:92">
      <c r="A81" s="8" t="s">
        <v>239</v>
      </c>
      <c r="B81" s="8" t="s">
        <v>240</v>
      </c>
      <c r="C81" s="8" t="s">
        <v>75</v>
      </c>
      <c r="D81" s="9" t="s">
        <v>70</v>
      </c>
      <c r="E81" t="s">
        <v>76</v>
      </c>
      <c r="F81" s="12" t="s">
        <v>83</v>
      </c>
      <c r="G81" s="7">
        <v>1</v>
      </c>
      <c r="H81" s="11">
        <f>((G81*86.67)*2)*(SUMIF('Accrual Rates'!B:B,'PTO SUMMARY 2027'!B81,'Accrual Rates'!G:G))</f>
        <v>13.3333128</v>
      </c>
      <c r="I81" s="33">
        <v>0</v>
      </c>
      <c r="J81" s="1">
        <v>0</v>
      </c>
      <c r="K81" s="1">
        <v>0</v>
      </c>
      <c r="L81" s="1">
        <v>0</v>
      </c>
      <c r="M81" s="32">
        <v>0</v>
      </c>
      <c r="N81" s="2">
        <f t="shared" si="80"/>
        <v>13.3333128</v>
      </c>
      <c r="O81" s="2">
        <f>SUMIF('January 2027'!$B:$B,'PTO SUMMARY 2027'!B81,'January 2027'!$AK:$AK)</f>
        <v>0</v>
      </c>
      <c r="P81" s="1">
        <f t="shared" si="66"/>
        <v>13.3333128</v>
      </c>
      <c r="Q81" s="1">
        <v>0</v>
      </c>
      <c r="R81" s="1">
        <v>0</v>
      </c>
      <c r="S81" s="3">
        <f t="shared" si="81"/>
        <v>13.3333128</v>
      </c>
      <c r="T81" s="2">
        <f>SUMIF('February 2027'!$B:$B,'PTO SUMMARY 2027'!G81,'February 2027'!$AK:$AK)</f>
        <v>0</v>
      </c>
      <c r="U81" s="154">
        <v>0</v>
      </c>
      <c r="V81" s="1">
        <f t="shared" si="67"/>
        <v>26.6666256</v>
      </c>
      <c r="W81" s="1">
        <v>0</v>
      </c>
      <c r="X81" s="1">
        <v>0</v>
      </c>
      <c r="Y81" s="3">
        <f t="shared" si="82"/>
        <v>13.3333128</v>
      </c>
      <c r="Z81" s="2">
        <f>SUMIF('March 2027'!$B:$B,'PTO SUMMARY 2027'!M81,'March 2027'!$AK:$AK)</f>
        <v>0</v>
      </c>
      <c r="AA81" s="1">
        <f t="shared" si="53"/>
        <v>39.999938399999998</v>
      </c>
      <c r="AB81" s="1">
        <v>0</v>
      </c>
      <c r="AC81" s="1">
        <v>0</v>
      </c>
      <c r="AD81" s="3">
        <v>0</v>
      </c>
      <c r="AE81" s="31">
        <f t="shared" si="68"/>
        <v>0</v>
      </c>
      <c r="AF81" s="31">
        <v>0</v>
      </c>
      <c r="AG81" s="30">
        <f t="shared" si="69"/>
        <v>0</v>
      </c>
      <c r="AH81" s="2">
        <f t="shared" si="83"/>
        <v>13.3333128</v>
      </c>
      <c r="AI81" s="2">
        <f>SUMIF('April 2027'!$B:$B,'PTO SUMMARY 2027'!V81,'April 2027'!$AK:$AK)</f>
        <v>0</v>
      </c>
      <c r="AJ81" s="1">
        <f>AA81+AH81-AI81</f>
        <v>53.333251199999999</v>
      </c>
      <c r="AK81" s="1">
        <v>0</v>
      </c>
      <c r="AL81" s="1">
        <v>0</v>
      </c>
      <c r="AM81" s="3">
        <f t="shared" si="84"/>
        <v>13.3333128</v>
      </c>
      <c r="AN81" s="2">
        <f>SUMIF('May 2027'!$B:$B,'PTO SUMMARY 2027'!AA81,'May 2027'!$AK:$AK)</f>
        <v>0</v>
      </c>
      <c r="AO81" s="1">
        <f t="shared" si="71"/>
        <v>66.67</v>
      </c>
      <c r="AP81" s="1">
        <v>0</v>
      </c>
      <c r="AQ81" s="1">
        <v>0</v>
      </c>
      <c r="AR81" s="3">
        <f t="shared" si="85"/>
        <v>13.3333128</v>
      </c>
      <c r="AS81" s="2">
        <f>SUMIF('June 2027'!$B:$B,'PTO SUMMARY 2027'!AF81,'June 2027'!$AK:$AK)</f>
        <v>0</v>
      </c>
      <c r="AT81" s="1">
        <f t="shared" si="72"/>
        <v>80.003312800000003</v>
      </c>
      <c r="AU81" s="1">
        <v>0</v>
      </c>
      <c r="AV81" s="1">
        <v>0</v>
      </c>
      <c r="AW81" s="3">
        <v>0</v>
      </c>
      <c r="AX81" s="31">
        <v>0</v>
      </c>
      <c r="AY81" s="31">
        <v>0</v>
      </c>
      <c r="AZ81" s="30">
        <f t="shared" si="73"/>
        <v>0</v>
      </c>
      <c r="BA81" s="3">
        <f t="shared" si="86"/>
        <v>13.3333128</v>
      </c>
      <c r="BB81" s="2">
        <f>SUMIF('July 2027'!$B:$B,'PTO SUMMARY 2027'!AK81,'July 2027'!$AK:$AK)</f>
        <v>0</v>
      </c>
      <c r="BC81" s="1">
        <f t="shared" si="74"/>
        <v>93.336625600000005</v>
      </c>
      <c r="BD81" s="1">
        <v>0</v>
      </c>
      <c r="BE81" s="1">
        <v>0</v>
      </c>
      <c r="BF81" s="3">
        <f t="shared" si="87"/>
        <v>13.3333128</v>
      </c>
      <c r="BG81" s="2">
        <f>SUMIF('August 2027'!$B:$B,'PTO SUMMARY 2027'!AP81,'August 2027'!$AK:$AK)</f>
        <v>0</v>
      </c>
      <c r="BH81" s="1">
        <f t="shared" si="75"/>
        <v>106.66993840000001</v>
      </c>
      <c r="BI81" s="1">
        <v>0</v>
      </c>
      <c r="BJ81" s="1">
        <v>0</v>
      </c>
      <c r="BK81" s="3">
        <f t="shared" si="88"/>
        <v>13.3333128</v>
      </c>
      <c r="BL81" s="2">
        <f>SUMIF('September 2027'!$B:$B,'PTO SUMMARY 2027'!AU81,'September 2027'!$AK:$AK)</f>
        <v>0</v>
      </c>
      <c r="BM81" s="1">
        <f t="shared" si="76"/>
        <v>120.00325120000001</v>
      </c>
      <c r="BN81" s="1">
        <v>0</v>
      </c>
      <c r="BO81" s="1">
        <v>0</v>
      </c>
      <c r="BP81" s="3">
        <v>0</v>
      </c>
      <c r="BQ81" s="31">
        <v>0</v>
      </c>
      <c r="BR81" s="31">
        <v>0</v>
      </c>
      <c r="BS81" s="30">
        <f t="shared" si="65"/>
        <v>0</v>
      </c>
      <c r="BT81" s="3">
        <f t="shared" si="89"/>
        <v>13.3333128</v>
      </c>
      <c r="BU81" s="2">
        <f>SUMIF('October 2027'!$B:$B,'PTO SUMMARY 2027'!BH81,'October 2027'!$AK:$AK)</f>
        <v>0</v>
      </c>
      <c r="BV81" s="1">
        <f t="shared" si="77"/>
        <v>133.33656400000001</v>
      </c>
      <c r="BW81" s="1">
        <v>0</v>
      </c>
      <c r="BX81" s="1">
        <v>0</v>
      </c>
      <c r="BY81" s="3">
        <f t="shared" si="90"/>
        <v>13.3333128</v>
      </c>
      <c r="BZ81" s="2">
        <f>SUMIF('November 2027'!$B:$B,'PTO SUMMARY 2027'!BM81,'November 2027'!$AK:$AK)</f>
        <v>0</v>
      </c>
      <c r="CA81" s="1">
        <f t="shared" si="78"/>
        <v>146.6698768</v>
      </c>
      <c r="CB81" s="1">
        <v>0</v>
      </c>
      <c r="CC81" s="1">
        <v>0</v>
      </c>
      <c r="CD81" s="3">
        <f t="shared" si="91"/>
        <v>13.3333128</v>
      </c>
      <c r="CE81" s="2">
        <f>SUMIF('December 2027'!$B:$B,'PTO SUMMARY 2027'!$B:$B,'December 2027'!$AK:$AK)</f>
        <v>0</v>
      </c>
      <c r="CF81" s="1">
        <f t="shared" si="79"/>
        <v>160.00318959999998</v>
      </c>
      <c r="CG81" s="1">
        <v>0</v>
      </c>
      <c r="CH81" s="1">
        <v>0</v>
      </c>
      <c r="CI81" s="1">
        <v>0</v>
      </c>
      <c r="CJ81" s="3">
        <v>0</v>
      </c>
      <c r="CK81" s="31">
        <v>0</v>
      </c>
      <c r="CL81" s="31">
        <v>0</v>
      </c>
      <c r="CM81" s="31">
        <v>0</v>
      </c>
      <c r="CN81" s="30">
        <f t="shared" si="92"/>
        <v>0</v>
      </c>
    </row>
    <row r="82" spans="1:92">
      <c r="A82" s="8" t="s">
        <v>241</v>
      </c>
      <c r="B82" s="8" t="s">
        <v>242</v>
      </c>
      <c r="C82" s="8" t="s">
        <v>75</v>
      </c>
      <c r="D82" s="9" t="s">
        <v>70</v>
      </c>
      <c r="E82" t="s">
        <v>76</v>
      </c>
      <c r="F82" s="12" t="s">
        <v>96</v>
      </c>
      <c r="G82" s="7">
        <v>1</v>
      </c>
      <c r="H82" s="11">
        <f>((G82*86.67)*2)*(SUMIF('Accrual Rates'!B:B,'PTO SUMMARY 2027'!B82,'Accrual Rates'!G:G))</f>
        <v>13.3333128</v>
      </c>
      <c r="I82" s="33">
        <v>0</v>
      </c>
      <c r="J82" s="1">
        <v>0</v>
      </c>
      <c r="K82" s="1">
        <v>0</v>
      </c>
      <c r="L82" s="1">
        <v>0</v>
      </c>
      <c r="M82" s="32">
        <v>0</v>
      </c>
      <c r="N82" s="2">
        <f t="shared" si="80"/>
        <v>13.3333128</v>
      </c>
      <c r="O82" s="2">
        <f>SUMIF('January 2027'!$B:$B,'PTO SUMMARY 2027'!B82,'January 2027'!$AK:$AK)</f>
        <v>0</v>
      </c>
      <c r="P82" s="1">
        <f t="shared" si="66"/>
        <v>13.3333128</v>
      </c>
      <c r="Q82" s="1">
        <v>0</v>
      </c>
      <c r="R82" s="1">
        <v>0</v>
      </c>
      <c r="S82" s="3">
        <f t="shared" si="81"/>
        <v>13.3333128</v>
      </c>
      <c r="T82" s="2">
        <f>SUMIF('February 2027'!$B:$B,'PTO SUMMARY 2027'!G82,'February 2027'!$AK:$AK)</f>
        <v>0</v>
      </c>
      <c r="U82" s="154">
        <v>0</v>
      </c>
      <c r="V82" s="1">
        <f t="shared" si="67"/>
        <v>26.6666256</v>
      </c>
      <c r="W82" s="1">
        <v>0</v>
      </c>
      <c r="X82" s="1">
        <v>0</v>
      </c>
      <c r="Y82" s="3">
        <f t="shared" si="82"/>
        <v>13.3333128</v>
      </c>
      <c r="Z82" s="2">
        <f>SUMIF('March 2027'!$B:$B,'PTO SUMMARY 2027'!M82,'March 2027'!$AK:$AK)</f>
        <v>0</v>
      </c>
      <c r="AA82" s="1">
        <f t="shared" si="53"/>
        <v>39.999938399999998</v>
      </c>
      <c r="AB82" s="1">
        <v>0</v>
      </c>
      <c r="AC82" s="1">
        <v>0</v>
      </c>
      <c r="AD82" s="3">
        <v>0</v>
      </c>
      <c r="AE82" s="31">
        <f t="shared" si="68"/>
        <v>0</v>
      </c>
      <c r="AF82" s="31">
        <v>0</v>
      </c>
      <c r="AG82" s="30">
        <f t="shared" si="69"/>
        <v>0</v>
      </c>
      <c r="AH82" s="2">
        <f t="shared" si="83"/>
        <v>13.3333128</v>
      </c>
      <c r="AI82" s="2">
        <f>SUMIF('April 2027'!$B:$B,'PTO SUMMARY 2027'!V82,'April 2027'!$AK:$AK)</f>
        <v>0</v>
      </c>
      <c r="AJ82" s="1">
        <f t="shared" si="70"/>
        <v>53.333251199999999</v>
      </c>
      <c r="AK82" s="1">
        <v>0</v>
      </c>
      <c r="AL82" s="1">
        <v>0</v>
      </c>
      <c r="AM82" s="3">
        <f t="shared" si="84"/>
        <v>13.3333128</v>
      </c>
      <c r="AN82" s="2">
        <f>SUMIF('May 2027'!$B:$B,'PTO SUMMARY 2027'!AA82,'May 2027'!$AK:$AK)</f>
        <v>0</v>
      </c>
      <c r="AO82" s="1">
        <f t="shared" si="71"/>
        <v>66.67</v>
      </c>
      <c r="AP82" s="1">
        <v>0</v>
      </c>
      <c r="AQ82" s="1">
        <v>0</v>
      </c>
      <c r="AR82" s="3">
        <f t="shared" si="85"/>
        <v>13.3333128</v>
      </c>
      <c r="AS82" s="2">
        <f>SUMIF('June 2027'!$B:$B,'PTO SUMMARY 2027'!AF82,'June 2027'!$AK:$AK)</f>
        <v>0</v>
      </c>
      <c r="AT82" s="1">
        <f t="shared" si="72"/>
        <v>80.003312800000003</v>
      </c>
      <c r="AU82" s="1">
        <v>0</v>
      </c>
      <c r="AV82" s="1">
        <v>0</v>
      </c>
      <c r="AW82" s="3">
        <v>0</v>
      </c>
      <c r="AX82" s="31">
        <v>0</v>
      </c>
      <c r="AY82" s="31">
        <v>0</v>
      </c>
      <c r="AZ82" s="30">
        <f t="shared" si="73"/>
        <v>0</v>
      </c>
      <c r="BA82" s="3">
        <f t="shared" si="86"/>
        <v>13.3333128</v>
      </c>
      <c r="BB82" s="2">
        <f>SUMIF('July 2027'!$B:$B,'PTO SUMMARY 2027'!AK82,'July 2027'!$AK:$AK)</f>
        <v>0</v>
      </c>
      <c r="BC82" s="1">
        <f t="shared" si="74"/>
        <v>93.336625600000005</v>
      </c>
      <c r="BD82" s="1">
        <v>0</v>
      </c>
      <c r="BE82" s="1">
        <v>0</v>
      </c>
      <c r="BF82" s="3">
        <f t="shared" si="87"/>
        <v>13.3333128</v>
      </c>
      <c r="BG82" s="2">
        <f>SUMIF('August 2027'!$B:$B,'PTO SUMMARY 2027'!AP82,'August 2027'!$AK:$AK)</f>
        <v>0</v>
      </c>
      <c r="BH82" s="1">
        <f t="shared" si="75"/>
        <v>106.66993840000001</v>
      </c>
      <c r="BI82" s="1">
        <v>0</v>
      </c>
      <c r="BJ82" s="1">
        <v>0</v>
      </c>
      <c r="BK82" s="3">
        <f t="shared" si="88"/>
        <v>13.3333128</v>
      </c>
      <c r="BL82" s="2">
        <f>SUMIF('September 2027'!$B:$B,'PTO SUMMARY 2027'!AU82,'September 2027'!$AK:$AK)</f>
        <v>0</v>
      </c>
      <c r="BM82" s="1">
        <f t="shared" si="76"/>
        <v>120.00325120000001</v>
      </c>
      <c r="BN82" s="1">
        <v>0</v>
      </c>
      <c r="BO82" s="1">
        <v>0</v>
      </c>
      <c r="BP82" s="3">
        <v>0</v>
      </c>
      <c r="BQ82" s="31">
        <v>0</v>
      </c>
      <c r="BR82" s="31">
        <v>0</v>
      </c>
      <c r="BS82" s="30">
        <f t="shared" si="65"/>
        <v>0</v>
      </c>
      <c r="BT82" s="3">
        <f t="shared" si="89"/>
        <v>13.3333128</v>
      </c>
      <c r="BU82" s="2">
        <f>SUMIF('October 2027'!$B:$B,'PTO SUMMARY 2027'!BH82,'October 2027'!$AK:$AK)</f>
        <v>0</v>
      </c>
      <c r="BV82" s="1">
        <f t="shared" si="77"/>
        <v>133.33656400000001</v>
      </c>
      <c r="BW82" s="1">
        <v>0</v>
      </c>
      <c r="BX82" s="1">
        <v>0</v>
      </c>
      <c r="BY82" s="3">
        <f t="shared" si="90"/>
        <v>13.3333128</v>
      </c>
      <c r="BZ82" s="2">
        <f>SUMIF('November 2027'!$B:$B,'PTO SUMMARY 2027'!BM82,'November 2027'!$AK:$AK)</f>
        <v>0</v>
      </c>
      <c r="CA82" s="1">
        <f t="shared" si="78"/>
        <v>146.6698768</v>
      </c>
      <c r="CB82" s="1">
        <v>0</v>
      </c>
      <c r="CC82" s="1">
        <v>0</v>
      </c>
      <c r="CD82" s="3">
        <f t="shared" si="91"/>
        <v>13.3333128</v>
      </c>
      <c r="CE82" s="2">
        <f>SUMIF('December 2027'!$B:$B,'PTO SUMMARY 2027'!$B:$B,'December 2027'!$AK:$AK)</f>
        <v>0</v>
      </c>
      <c r="CF82" s="1">
        <f t="shared" si="79"/>
        <v>160.00318959999998</v>
      </c>
      <c r="CG82" s="1">
        <v>0</v>
      </c>
      <c r="CH82" s="1">
        <v>0</v>
      </c>
      <c r="CI82" s="1">
        <v>0</v>
      </c>
      <c r="CJ82" s="3">
        <v>0</v>
      </c>
      <c r="CK82" s="31">
        <v>0</v>
      </c>
      <c r="CL82" s="31">
        <v>0</v>
      </c>
      <c r="CM82" s="31">
        <v>0</v>
      </c>
      <c r="CN82" s="30">
        <f t="shared" si="92"/>
        <v>0</v>
      </c>
    </row>
    <row r="83" spans="1:92">
      <c r="A83" s="8" t="s">
        <v>243</v>
      </c>
      <c r="B83" s="8" t="s">
        <v>244</v>
      </c>
      <c r="C83" s="8" t="s">
        <v>75</v>
      </c>
      <c r="D83" s="9" t="s">
        <v>70</v>
      </c>
      <c r="E83" t="s">
        <v>76</v>
      </c>
      <c r="F83" s="12" t="s">
        <v>83</v>
      </c>
      <c r="G83" s="7">
        <v>0.95</v>
      </c>
      <c r="H83" s="11">
        <f>((G83*86.67)*2)*(SUMIF('Accrual Rates'!B:B,'PTO SUMMARY 2027'!B83,'Accrual Rates'!G:G))</f>
        <v>12.66664716</v>
      </c>
      <c r="I83" s="33">
        <v>0</v>
      </c>
      <c r="J83" s="1">
        <v>0</v>
      </c>
      <c r="K83" s="1">
        <v>0</v>
      </c>
      <c r="L83" s="1">
        <v>0</v>
      </c>
      <c r="M83" s="32">
        <v>0</v>
      </c>
      <c r="N83" s="2">
        <f t="shared" si="80"/>
        <v>12.66664716</v>
      </c>
      <c r="O83" s="2">
        <f>SUMIF('January 2027'!$B:$B,'PTO SUMMARY 2027'!B83,'January 2027'!$AK:$AK)</f>
        <v>0</v>
      </c>
      <c r="P83" s="1">
        <f t="shared" si="66"/>
        <v>12.66664716</v>
      </c>
      <c r="Q83" s="1">
        <v>0</v>
      </c>
      <c r="R83" s="1">
        <v>0</v>
      </c>
      <c r="S83" s="3">
        <f t="shared" si="81"/>
        <v>12.66664716</v>
      </c>
      <c r="T83" s="2">
        <f>SUMIF('February 2027'!$B:$B,'PTO SUMMARY 2027'!G83,'February 2027'!$AK:$AK)</f>
        <v>0</v>
      </c>
      <c r="U83" s="154">
        <v>0</v>
      </c>
      <c r="V83" s="1">
        <f t="shared" si="67"/>
        <v>25.33329432</v>
      </c>
      <c r="W83" s="1">
        <v>0</v>
      </c>
      <c r="X83" s="1">
        <v>0</v>
      </c>
      <c r="Y83" s="3">
        <f t="shared" si="82"/>
        <v>12.66664716</v>
      </c>
      <c r="Z83" s="2">
        <f>SUMIF('March 2027'!$B:$B,'PTO SUMMARY 2027'!M83,'March 2027'!$AK:$AK)</f>
        <v>0</v>
      </c>
      <c r="AA83" s="1">
        <f t="shared" ref="AA83:AA102" si="93">V83+Y83-Z83</f>
        <v>37.999941480000004</v>
      </c>
      <c r="AB83" s="1">
        <v>0</v>
      </c>
      <c r="AC83" s="1">
        <v>0</v>
      </c>
      <c r="AD83" s="3">
        <v>0</v>
      </c>
      <c r="AE83" s="31">
        <f t="shared" si="68"/>
        <v>0</v>
      </c>
      <c r="AF83" s="31">
        <v>0</v>
      </c>
      <c r="AG83" s="30">
        <f t="shared" si="69"/>
        <v>0</v>
      </c>
      <c r="AH83" s="2">
        <f t="shared" si="83"/>
        <v>12.66664716</v>
      </c>
      <c r="AI83" s="2">
        <f>SUMIF('April 2027'!$B:$B,'PTO SUMMARY 2027'!V83,'April 2027'!$AK:$AK)</f>
        <v>0</v>
      </c>
      <c r="AJ83" s="1">
        <f t="shared" si="70"/>
        <v>50.666588640000001</v>
      </c>
      <c r="AK83" s="1">
        <v>0</v>
      </c>
      <c r="AL83" s="1">
        <v>0</v>
      </c>
      <c r="AM83" s="3">
        <f t="shared" si="84"/>
        <v>12.66664716</v>
      </c>
      <c r="AN83" s="2">
        <f>SUMIF('May 2027'!$B:$B,'PTO SUMMARY 2027'!AA83,'May 2027'!$AK:$AK)</f>
        <v>0</v>
      </c>
      <c r="AO83" s="1">
        <f t="shared" si="71"/>
        <v>63.33</v>
      </c>
      <c r="AP83" s="1">
        <v>0</v>
      </c>
      <c r="AQ83" s="1">
        <v>0</v>
      </c>
      <c r="AR83" s="3">
        <f t="shared" si="85"/>
        <v>12.66664716</v>
      </c>
      <c r="AS83" s="2">
        <f>SUMIF('June 2027'!$B:$B,'PTO SUMMARY 2027'!AF83,'June 2027'!$AK:$AK)</f>
        <v>0</v>
      </c>
      <c r="AT83" s="1">
        <f t="shared" si="72"/>
        <v>75.996647159999995</v>
      </c>
      <c r="AU83" s="1">
        <v>0</v>
      </c>
      <c r="AV83" s="1">
        <v>0</v>
      </c>
      <c r="AW83" s="3">
        <v>0</v>
      </c>
      <c r="AX83" s="31">
        <v>0</v>
      </c>
      <c r="AY83" s="31">
        <v>0</v>
      </c>
      <c r="AZ83" s="30">
        <f t="shared" si="73"/>
        <v>0</v>
      </c>
      <c r="BA83" s="3">
        <f t="shared" si="86"/>
        <v>12.66664716</v>
      </c>
      <c r="BB83" s="2">
        <f>SUMIF('July 2027'!$B:$B,'PTO SUMMARY 2027'!AK83,'July 2027'!$AK:$AK)</f>
        <v>0</v>
      </c>
      <c r="BC83" s="1">
        <f t="shared" si="74"/>
        <v>88.663294319999991</v>
      </c>
      <c r="BD83" s="1">
        <v>0</v>
      </c>
      <c r="BE83" s="1">
        <v>0</v>
      </c>
      <c r="BF83" s="3">
        <f t="shared" si="87"/>
        <v>12.66664716</v>
      </c>
      <c r="BG83" s="2">
        <f>SUMIF('August 2027'!$B:$B,'PTO SUMMARY 2027'!AP83,'August 2027'!$AK:$AK)</f>
        <v>0</v>
      </c>
      <c r="BH83" s="1">
        <f t="shared" si="75"/>
        <v>101.32994147999999</v>
      </c>
      <c r="BI83" s="1">
        <v>0</v>
      </c>
      <c r="BJ83" s="1">
        <v>0</v>
      </c>
      <c r="BK83" s="3">
        <f t="shared" si="88"/>
        <v>12.66664716</v>
      </c>
      <c r="BL83" s="2">
        <f>SUMIF('September 2027'!$B:$B,'PTO SUMMARY 2027'!AU83,'September 2027'!$AK:$AK)</f>
        <v>0</v>
      </c>
      <c r="BM83" s="1">
        <f t="shared" si="76"/>
        <v>113.99658863999998</v>
      </c>
      <c r="BN83" s="1">
        <v>0</v>
      </c>
      <c r="BO83" s="1">
        <v>0</v>
      </c>
      <c r="BP83" s="3">
        <v>0</v>
      </c>
      <c r="BQ83" s="31">
        <v>0</v>
      </c>
      <c r="BR83" s="31">
        <v>0</v>
      </c>
      <c r="BS83" s="30">
        <f t="shared" si="65"/>
        <v>0</v>
      </c>
      <c r="BT83" s="3">
        <f t="shared" si="89"/>
        <v>12.66664716</v>
      </c>
      <c r="BU83" s="2">
        <f>SUMIF('October 2027'!$B:$B,'PTO SUMMARY 2027'!BH83,'October 2027'!$AK:$AK)</f>
        <v>0</v>
      </c>
      <c r="BV83" s="1">
        <f t="shared" si="77"/>
        <v>126.66323579999998</v>
      </c>
      <c r="BW83" s="1">
        <v>0</v>
      </c>
      <c r="BX83" s="1">
        <v>0</v>
      </c>
      <c r="BY83" s="3">
        <f t="shared" si="90"/>
        <v>12.66664716</v>
      </c>
      <c r="BZ83" s="2">
        <f>SUMIF('November 2027'!$B:$B,'PTO SUMMARY 2027'!BM83,'November 2027'!$AK:$AK)</f>
        <v>0</v>
      </c>
      <c r="CA83" s="1">
        <f t="shared" si="78"/>
        <v>139.32988295999999</v>
      </c>
      <c r="CB83" s="1">
        <v>0</v>
      </c>
      <c r="CC83" s="1">
        <v>0</v>
      </c>
      <c r="CD83" s="3">
        <f t="shared" si="91"/>
        <v>12.66664716</v>
      </c>
      <c r="CE83" s="2">
        <f>SUMIF('December 2027'!$B:$B,'PTO SUMMARY 2027'!$B:$B,'December 2027'!$AK:$AK)</f>
        <v>0</v>
      </c>
      <c r="CF83" s="1">
        <f t="shared" si="79"/>
        <v>151.99653011999999</v>
      </c>
      <c r="CG83" s="1">
        <v>0</v>
      </c>
      <c r="CH83" s="1">
        <v>0</v>
      </c>
      <c r="CI83" s="1">
        <v>0</v>
      </c>
      <c r="CJ83" s="3">
        <v>0</v>
      </c>
      <c r="CK83" s="31">
        <v>0</v>
      </c>
      <c r="CL83" s="31">
        <v>0</v>
      </c>
      <c r="CM83" s="31">
        <v>0</v>
      </c>
      <c r="CN83" s="30">
        <f t="shared" si="92"/>
        <v>0</v>
      </c>
    </row>
    <row r="84" spans="1:92">
      <c r="A84" s="35" t="s">
        <v>245</v>
      </c>
      <c r="B84" s="8" t="s">
        <v>246</v>
      </c>
      <c r="C84" s="8" t="s">
        <v>75</v>
      </c>
      <c r="D84" s="9" t="s">
        <v>65</v>
      </c>
      <c r="E84" t="s">
        <v>95</v>
      </c>
      <c r="F84" s="12" t="s">
        <v>136</v>
      </c>
      <c r="G84" s="7">
        <v>0.75</v>
      </c>
      <c r="H84" s="34">
        <v>0</v>
      </c>
      <c r="I84" s="33">
        <v>0</v>
      </c>
      <c r="J84" s="1">
        <v>0</v>
      </c>
      <c r="K84" s="1">
        <v>0</v>
      </c>
      <c r="L84" s="1">
        <v>0</v>
      </c>
      <c r="M84" s="32">
        <v>0</v>
      </c>
      <c r="N84" s="2">
        <f t="shared" si="80"/>
        <v>0</v>
      </c>
      <c r="O84" s="2">
        <f>SUMIF('January 2027'!$B:$B,'PTO SUMMARY 2027'!B84,'January 2027'!$AK:$AK)</f>
        <v>0</v>
      </c>
      <c r="P84" s="1">
        <f t="shared" si="66"/>
        <v>0</v>
      </c>
      <c r="Q84" s="1">
        <v>0</v>
      </c>
      <c r="R84" s="1">
        <v>0</v>
      </c>
      <c r="S84" s="3">
        <f t="shared" si="81"/>
        <v>0</v>
      </c>
      <c r="T84" s="2">
        <f>SUMIF('February 2027'!$B:$B,'PTO SUMMARY 2027'!G84,'February 2027'!$AK:$AK)</f>
        <v>0</v>
      </c>
      <c r="U84" s="154">
        <v>0</v>
      </c>
      <c r="V84" s="1">
        <f t="shared" si="67"/>
        <v>0</v>
      </c>
      <c r="W84" s="1">
        <v>0</v>
      </c>
      <c r="X84" s="1">
        <v>0</v>
      </c>
      <c r="Y84" s="3">
        <f t="shared" si="82"/>
        <v>0</v>
      </c>
      <c r="Z84" s="2">
        <f>SUMIF('March 2027'!$B:$B,'PTO SUMMARY 2027'!M84,'March 2027'!$AK:$AK)</f>
        <v>0</v>
      </c>
      <c r="AA84" s="1">
        <f t="shared" si="93"/>
        <v>0</v>
      </c>
      <c r="AB84" s="1">
        <v>0</v>
      </c>
      <c r="AC84" s="1">
        <v>0</v>
      </c>
      <c r="AD84" s="3">
        <v>0</v>
      </c>
      <c r="AE84" s="31">
        <f t="shared" si="68"/>
        <v>0</v>
      </c>
      <c r="AF84" s="31">
        <v>0</v>
      </c>
      <c r="AG84" s="30">
        <f t="shared" si="69"/>
        <v>0</v>
      </c>
      <c r="AH84" s="2">
        <f t="shared" si="83"/>
        <v>0</v>
      </c>
      <c r="AI84" s="2">
        <f>SUMIF('April 2027'!$B:$B,'PTO SUMMARY 2027'!V84,'April 2027'!$AK:$AK)</f>
        <v>0</v>
      </c>
      <c r="AJ84" s="1">
        <f t="shared" si="70"/>
        <v>0</v>
      </c>
      <c r="AK84" s="1">
        <v>0</v>
      </c>
      <c r="AL84" s="1">
        <v>0</v>
      </c>
      <c r="AM84" s="3">
        <f t="shared" si="84"/>
        <v>0</v>
      </c>
      <c r="AN84" s="2">
        <f>SUMIF('May 2027'!$B:$B,'PTO SUMMARY 2027'!AA84,'May 2027'!$AK:$AK)</f>
        <v>0</v>
      </c>
      <c r="AO84" s="1">
        <f t="shared" si="71"/>
        <v>0</v>
      </c>
      <c r="AP84" s="1">
        <v>0</v>
      </c>
      <c r="AQ84" s="1">
        <v>0</v>
      </c>
      <c r="AR84" s="3">
        <f t="shared" si="85"/>
        <v>0</v>
      </c>
      <c r="AS84" s="2">
        <f>SUMIF('June 2027'!$B:$B,'PTO SUMMARY 2027'!AF84,'June 2027'!$AK:$AK)</f>
        <v>0</v>
      </c>
      <c r="AT84" s="1">
        <f t="shared" si="72"/>
        <v>0</v>
      </c>
      <c r="AU84" s="1">
        <v>0</v>
      </c>
      <c r="AV84" s="1">
        <v>0</v>
      </c>
      <c r="AW84" s="3">
        <v>0</v>
      </c>
      <c r="AX84" s="31">
        <v>0</v>
      </c>
      <c r="AY84" s="31">
        <v>0</v>
      </c>
      <c r="AZ84" s="30">
        <f t="shared" si="73"/>
        <v>0</v>
      </c>
      <c r="BA84" s="3">
        <f t="shared" si="86"/>
        <v>0</v>
      </c>
      <c r="BB84" s="2">
        <f>SUMIF('July 2027'!$B:$B,'PTO SUMMARY 2027'!AK84,'July 2027'!$AK:$AK)</f>
        <v>0</v>
      </c>
      <c r="BC84" s="1">
        <f t="shared" si="74"/>
        <v>0</v>
      </c>
      <c r="BD84" s="1">
        <v>0</v>
      </c>
      <c r="BE84" s="1">
        <v>0</v>
      </c>
      <c r="BF84" s="3">
        <f t="shared" si="87"/>
        <v>0</v>
      </c>
      <c r="BG84" s="2">
        <f>SUMIF('August 2027'!$B:$B,'PTO SUMMARY 2027'!AP84,'August 2027'!$AK:$AK)</f>
        <v>0</v>
      </c>
      <c r="BH84" s="1">
        <f t="shared" si="75"/>
        <v>0</v>
      </c>
      <c r="BI84" s="1">
        <v>0</v>
      </c>
      <c r="BJ84" s="1">
        <v>0</v>
      </c>
      <c r="BK84" s="3">
        <f t="shared" si="88"/>
        <v>0</v>
      </c>
      <c r="BL84" s="2">
        <f>SUMIF('September 2027'!$B:$B,'PTO SUMMARY 2027'!AU84,'September 2027'!$AK:$AK)</f>
        <v>0</v>
      </c>
      <c r="BM84" s="1">
        <f t="shared" si="76"/>
        <v>0</v>
      </c>
      <c r="BN84" s="1">
        <v>0</v>
      </c>
      <c r="BO84" s="1">
        <v>0</v>
      </c>
      <c r="BP84" s="3">
        <v>0</v>
      </c>
      <c r="BQ84" s="31">
        <v>0</v>
      </c>
      <c r="BR84" s="31">
        <v>0</v>
      </c>
      <c r="BS84" s="30">
        <f t="shared" si="65"/>
        <v>0</v>
      </c>
      <c r="BT84" s="3">
        <f t="shared" si="89"/>
        <v>0</v>
      </c>
      <c r="BU84" s="2">
        <f>SUMIF('October 2027'!$B:$B,'PTO SUMMARY 2027'!BH84,'October 2027'!$AK:$AK)</f>
        <v>0</v>
      </c>
      <c r="BV84" s="1">
        <f t="shared" si="77"/>
        <v>0</v>
      </c>
      <c r="BW84" s="1">
        <v>0</v>
      </c>
      <c r="BX84" s="1">
        <v>0</v>
      </c>
      <c r="BY84" s="3">
        <f t="shared" si="90"/>
        <v>0</v>
      </c>
      <c r="BZ84" s="2">
        <f>SUMIF('November 2027'!$B:$B,'PTO SUMMARY 2027'!BM84,'November 2027'!$AK:$AK)</f>
        <v>0</v>
      </c>
      <c r="CA84" s="1">
        <f t="shared" si="78"/>
        <v>0</v>
      </c>
      <c r="CB84" s="1">
        <v>0</v>
      </c>
      <c r="CC84" s="1">
        <v>0</v>
      </c>
      <c r="CD84" s="3">
        <f t="shared" si="91"/>
        <v>0</v>
      </c>
      <c r="CE84" s="2">
        <f>SUMIF('December 2027'!$B:$B,'PTO SUMMARY 2027'!$B:$B,'December 2027'!$AK:$AK)</f>
        <v>0</v>
      </c>
      <c r="CF84" s="1">
        <f t="shared" si="79"/>
        <v>0</v>
      </c>
      <c r="CG84" s="1">
        <v>0</v>
      </c>
      <c r="CH84" s="1">
        <v>0</v>
      </c>
      <c r="CI84" s="1">
        <v>0</v>
      </c>
      <c r="CJ84" s="3">
        <v>0</v>
      </c>
      <c r="CK84" s="31">
        <v>0</v>
      </c>
      <c r="CL84" s="31">
        <v>0</v>
      </c>
      <c r="CM84" s="31">
        <v>0</v>
      </c>
      <c r="CN84" s="30">
        <f t="shared" si="92"/>
        <v>0</v>
      </c>
    </row>
    <row r="85" spans="1:92">
      <c r="A85" s="8" t="s">
        <v>247</v>
      </c>
      <c r="B85" s="8" t="s">
        <v>248</v>
      </c>
      <c r="C85" s="8" t="s">
        <v>75</v>
      </c>
      <c r="D85" s="9" t="s">
        <v>70</v>
      </c>
      <c r="E85" t="s">
        <v>76</v>
      </c>
      <c r="F85" s="12" t="s">
        <v>99</v>
      </c>
      <c r="G85" s="7">
        <v>1</v>
      </c>
      <c r="H85" s="11">
        <f>((G85*86.67)*2)*(SUMIF('Accrual Rates'!B:B,'PTO SUMMARY 2027'!B85,'Accrual Rates'!G:G))</f>
        <v>13.3333128</v>
      </c>
      <c r="I85" s="33">
        <v>0</v>
      </c>
      <c r="J85" s="1">
        <v>0</v>
      </c>
      <c r="K85" s="1">
        <v>0</v>
      </c>
      <c r="L85" s="1">
        <v>0</v>
      </c>
      <c r="M85" s="32">
        <v>0</v>
      </c>
      <c r="N85" s="2">
        <f t="shared" si="80"/>
        <v>13.3333128</v>
      </c>
      <c r="O85" s="2">
        <f>SUMIF('January 2027'!$B:$B,'PTO SUMMARY 2027'!B85,'January 2027'!$AK:$AK)</f>
        <v>0</v>
      </c>
      <c r="P85" s="1">
        <f t="shared" si="66"/>
        <v>13.3333128</v>
      </c>
      <c r="Q85" s="1">
        <v>0</v>
      </c>
      <c r="R85" s="1">
        <v>0</v>
      </c>
      <c r="S85" s="3">
        <f t="shared" si="81"/>
        <v>13.3333128</v>
      </c>
      <c r="T85" s="2">
        <f>SUMIF('February 2027'!$B:$B,'PTO SUMMARY 2027'!G85,'February 2027'!$AK:$AK)</f>
        <v>0</v>
      </c>
      <c r="U85" s="154">
        <v>0</v>
      </c>
      <c r="V85" s="1">
        <f t="shared" si="67"/>
        <v>26.6666256</v>
      </c>
      <c r="W85" s="1">
        <v>0</v>
      </c>
      <c r="X85" s="1">
        <v>0</v>
      </c>
      <c r="Y85" s="3">
        <f t="shared" si="82"/>
        <v>13.3333128</v>
      </c>
      <c r="Z85" s="2">
        <f>SUMIF('March 2027'!$B:$B,'PTO SUMMARY 2027'!M85,'March 2027'!$AK:$AK)</f>
        <v>0</v>
      </c>
      <c r="AA85" s="1">
        <f t="shared" si="93"/>
        <v>39.999938399999998</v>
      </c>
      <c r="AB85" s="1">
        <v>0</v>
      </c>
      <c r="AC85" s="1">
        <v>0</v>
      </c>
      <c r="AD85" s="3">
        <v>0</v>
      </c>
      <c r="AE85" s="31">
        <f t="shared" si="68"/>
        <v>0</v>
      </c>
      <c r="AF85" s="31">
        <v>0</v>
      </c>
      <c r="AG85" s="30">
        <f t="shared" si="69"/>
        <v>0</v>
      </c>
      <c r="AH85" s="2">
        <f t="shared" si="83"/>
        <v>13.3333128</v>
      </c>
      <c r="AI85" s="2">
        <f>SUMIF('April 2027'!$B:$B,'PTO SUMMARY 2027'!V85,'April 2027'!$AK:$AK)</f>
        <v>0</v>
      </c>
      <c r="AJ85" s="1">
        <f t="shared" si="70"/>
        <v>53.333251199999999</v>
      </c>
      <c r="AK85" s="1">
        <v>0</v>
      </c>
      <c r="AL85" s="1">
        <v>0</v>
      </c>
      <c r="AM85" s="3">
        <f t="shared" si="84"/>
        <v>13.3333128</v>
      </c>
      <c r="AN85" s="2">
        <f>SUMIF('May 2027'!$B:$B,'PTO SUMMARY 2027'!AA85,'May 2027'!$AK:$AK)</f>
        <v>0</v>
      </c>
      <c r="AO85" s="1">
        <f t="shared" si="71"/>
        <v>66.67</v>
      </c>
      <c r="AP85" s="1">
        <v>0</v>
      </c>
      <c r="AQ85" s="1">
        <v>0</v>
      </c>
      <c r="AR85" s="3">
        <f t="shared" si="85"/>
        <v>13.3333128</v>
      </c>
      <c r="AS85" s="2">
        <f>SUMIF('June 2027'!$B:$B,'PTO SUMMARY 2027'!AF85,'June 2027'!$AK:$AK)</f>
        <v>0</v>
      </c>
      <c r="AT85" s="1">
        <f t="shared" si="72"/>
        <v>80.003312800000003</v>
      </c>
      <c r="AU85" s="1">
        <v>0</v>
      </c>
      <c r="AV85" s="1">
        <v>0</v>
      </c>
      <c r="AW85" s="3">
        <v>0</v>
      </c>
      <c r="AX85" s="31">
        <v>0</v>
      </c>
      <c r="AY85" s="31">
        <v>0</v>
      </c>
      <c r="AZ85" s="30">
        <f t="shared" si="73"/>
        <v>0</v>
      </c>
      <c r="BA85" s="3">
        <f t="shared" si="86"/>
        <v>13.3333128</v>
      </c>
      <c r="BB85" s="2">
        <f>SUMIF('July 2027'!$B:$B,'PTO SUMMARY 2027'!AK85,'July 2027'!$AK:$AK)</f>
        <v>0</v>
      </c>
      <c r="BC85" s="1">
        <f t="shared" si="74"/>
        <v>93.336625600000005</v>
      </c>
      <c r="BD85" s="1">
        <v>0</v>
      </c>
      <c r="BE85" s="1">
        <v>0</v>
      </c>
      <c r="BF85" s="3">
        <f t="shared" si="87"/>
        <v>13.3333128</v>
      </c>
      <c r="BG85" s="2">
        <f>SUMIF('August 2027'!$B:$B,'PTO SUMMARY 2027'!AP85,'August 2027'!$AK:$AK)</f>
        <v>0</v>
      </c>
      <c r="BH85" s="1">
        <f t="shared" si="75"/>
        <v>106.66993840000001</v>
      </c>
      <c r="BI85" s="1">
        <v>0</v>
      </c>
      <c r="BJ85" s="1">
        <v>0</v>
      </c>
      <c r="BK85" s="3">
        <f t="shared" si="88"/>
        <v>13.3333128</v>
      </c>
      <c r="BL85" s="2">
        <f>SUMIF('September 2027'!$B:$B,'PTO SUMMARY 2027'!AU85,'September 2027'!$AK:$AK)</f>
        <v>0</v>
      </c>
      <c r="BM85" s="1">
        <f t="shared" si="76"/>
        <v>120.00325120000001</v>
      </c>
      <c r="BN85" s="1">
        <v>0</v>
      </c>
      <c r="BO85" s="1">
        <v>0</v>
      </c>
      <c r="BP85" s="3">
        <v>0</v>
      </c>
      <c r="BQ85" s="31">
        <v>0</v>
      </c>
      <c r="BR85" s="31">
        <v>0</v>
      </c>
      <c r="BS85" s="30">
        <f t="shared" si="65"/>
        <v>0</v>
      </c>
      <c r="BT85" s="3">
        <f t="shared" si="89"/>
        <v>13.3333128</v>
      </c>
      <c r="BU85" s="2">
        <f>SUMIF('October 2027'!$B:$B,'PTO SUMMARY 2027'!BH85,'October 2027'!$AK:$AK)</f>
        <v>0</v>
      </c>
      <c r="BV85" s="1">
        <f t="shared" si="77"/>
        <v>133.33656400000001</v>
      </c>
      <c r="BW85" s="1">
        <v>0</v>
      </c>
      <c r="BX85" s="1">
        <v>0</v>
      </c>
      <c r="BY85" s="3">
        <f t="shared" si="90"/>
        <v>13.3333128</v>
      </c>
      <c r="BZ85" s="2">
        <f>SUMIF('November 2027'!$B:$B,'PTO SUMMARY 2027'!BM85,'November 2027'!$AK:$AK)</f>
        <v>0</v>
      </c>
      <c r="CA85" s="1">
        <f t="shared" si="78"/>
        <v>146.6698768</v>
      </c>
      <c r="CB85" s="1">
        <v>0</v>
      </c>
      <c r="CC85" s="1">
        <v>0</v>
      </c>
      <c r="CD85" s="3">
        <f t="shared" si="91"/>
        <v>13.3333128</v>
      </c>
      <c r="CE85" s="2">
        <f>SUMIF('December 2027'!$B:$B,'PTO SUMMARY 2027'!$B:$B,'December 2027'!$AK:$AK)</f>
        <v>0</v>
      </c>
      <c r="CF85" s="1">
        <f t="shared" si="79"/>
        <v>160.00318959999998</v>
      </c>
      <c r="CG85" s="1">
        <v>0</v>
      </c>
      <c r="CH85" s="1">
        <v>0</v>
      </c>
      <c r="CI85" s="1">
        <v>0</v>
      </c>
      <c r="CJ85" s="3">
        <v>0</v>
      </c>
      <c r="CK85" s="31">
        <v>0</v>
      </c>
      <c r="CL85" s="31">
        <v>0</v>
      </c>
      <c r="CM85" s="31">
        <v>0</v>
      </c>
      <c r="CN85" s="30">
        <f t="shared" si="92"/>
        <v>0</v>
      </c>
    </row>
    <row r="86" spans="1:92" ht="14.25" customHeight="1">
      <c r="A86" s="8" t="s">
        <v>249</v>
      </c>
      <c r="B86" s="8" t="s">
        <v>250</v>
      </c>
      <c r="C86" s="8" t="s">
        <v>75</v>
      </c>
      <c r="D86" s="9" t="s">
        <v>70</v>
      </c>
      <c r="E86" t="s">
        <v>76</v>
      </c>
      <c r="F86" s="12" t="s">
        <v>67</v>
      </c>
      <c r="G86" s="7">
        <v>0.75</v>
      </c>
      <c r="H86" s="11">
        <f>((G86*86.67)*2)*(SUMIF('Accrual Rates'!B:B,'PTO SUMMARY 2027'!B86,'Accrual Rates'!G:G))</f>
        <v>9.9999845999999994</v>
      </c>
      <c r="I86" s="33">
        <v>0</v>
      </c>
      <c r="J86" s="1">
        <v>0</v>
      </c>
      <c r="K86" s="1">
        <v>0</v>
      </c>
      <c r="L86" s="1">
        <v>0</v>
      </c>
      <c r="M86" s="32">
        <v>0</v>
      </c>
      <c r="N86" s="2">
        <f t="shared" si="80"/>
        <v>9.9999845999999994</v>
      </c>
      <c r="O86" s="2">
        <f>SUMIF('January 2027'!$B:$B,'PTO SUMMARY 2027'!B86,'January 2027'!$AK:$AK)</f>
        <v>2</v>
      </c>
      <c r="P86" s="1">
        <f t="shared" si="66"/>
        <v>7.9999845999999994</v>
      </c>
      <c r="Q86" s="1">
        <v>0</v>
      </c>
      <c r="R86" s="1">
        <v>0</v>
      </c>
      <c r="S86" s="3">
        <f t="shared" si="81"/>
        <v>9.9999845999999994</v>
      </c>
      <c r="T86" s="2">
        <f>SUMIF('February 2027'!$B:$B,'PTO SUMMARY 2027'!G86,'February 2027'!$AK:$AK)</f>
        <v>0</v>
      </c>
      <c r="U86" s="154">
        <v>0</v>
      </c>
      <c r="V86" s="1">
        <f t="shared" si="67"/>
        <v>17.999969199999999</v>
      </c>
      <c r="W86" s="1">
        <v>0</v>
      </c>
      <c r="X86" s="1">
        <v>0</v>
      </c>
      <c r="Y86" s="3">
        <f t="shared" si="82"/>
        <v>9.9999845999999994</v>
      </c>
      <c r="Z86" s="2">
        <f>SUMIF('March 2027'!$B:$B,'PTO SUMMARY 2027'!M86,'March 2027'!$AK:$AK)</f>
        <v>0</v>
      </c>
      <c r="AA86" s="1">
        <f t="shared" si="93"/>
        <v>27.9999538</v>
      </c>
      <c r="AB86" s="1">
        <v>0</v>
      </c>
      <c r="AC86" s="1">
        <v>0</v>
      </c>
      <c r="AD86" s="3">
        <v>0</v>
      </c>
      <c r="AE86" s="31">
        <f t="shared" si="68"/>
        <v>0</v>
      </c>
      <c r="AF86" s="31">
        <v>0</v>
      </c>
      <c r="AG86" s="30">
        <f t="shared" si="69"/>
        <v>0</v>
      </c>
      <c r="AH86" s="2">
        <f t="shared" si="83"/>
        <v>9.9999845999999994</v>
      </c>
      <c r="AI86" s="2">
        <f>SUMIF('April 2027'!$B:$B,'PTO SUMMARY 2027'!V86,'April 2027'!$AK:$AK)</f>
        <v>0</v>
      </c>
      <c r="AJ86" s="1">
        <f t="shared" si="70"/>
        <v>37.999938399999998</v>
      </c>
      <c r="AK86" s="1">
        <v>0</v>
      </c>
      <c r="AL86" s="1">
        <v>0</v>
      </c>
      <c r="AM86" s="3">
        <f t="shared" si="84"/>
        <v>9.9999845999999994</v>
      </c>
      <c r="AN86" s="2">
        <f>SUMIF('May 2027'!$B:$B,'PTO SUMMARY 2027'!AA86,'May 2027'!$AK:$AK)</f>
        <v>0</v>
      </c>
      <c r="AO86" s="1">
        <f t="shared" si="71"/>
        <v>48</v>
      </c>
      <c r="AP86" s="1">
        <v>0</v>
      </c>
      <c r="AQ86" s="1">
        <v>0</v>
      </c>
      <c r="AR86" s="3">
        <f t="shared" si="85"/>
        <v>9.9999845999999994</v>
      </c>
      <c r="AS86" s="2">
        <f>SUMIF('June 2027'!$B:$B,'PTO SUMMARY 2027'!AF86,'June 2027'!$AK:$AK)</f>
        <v>0</v>
      </c>
      <c r="AT86" s="1">
        <f t="shared" si="72"/>
        <v>57.999984599999998</v>
      </c>
      <c r="AU86" s="1">
        <v>0</v>
      </c>
      <c r="AV86" s="1">
        <v>0</v>
      </c>
      <c r="AW86" s="3">
        <v>0</v>
      </c>
      <c r="AX86" s="31">
        <v>0</v>
      </c>
      <c r="AY86" s="31">
        <v>0</v>
      </c>
      <c r="AZ86" s="30">
        <f t="shared" si="73"/>
        <v>0</v>
      </c>
      <c r="BA86" s="3">
        <f t="shared" si="86"/>
        <v>9.9999845999999994</v>
      </c>
      <c r="BB86" s="2">
        <f>SUMIF('July 2027'!$B:$B,'PTO SUMMARY 2027'!AK86,'July 2027'!$AK:$AK)</f>
        <v>0</v>
      </c>
      <c r="BC86" s="1">
        <f t="shared" si="74"/>
        <v>67.999969199999995</v>
      </c>
      <c r="BD86" s="1">
        <v>0</v>
      </c>
      <c r="BE86" s="1">
        <v>0</v>
      </c>
      <c r="BF86" s="3">
        <f t="shared" si="87"/>
        <v>9.9999845999999994</v>
      </c>
      <c r="BG86" s="2">
        <f>SUMIF('August 2027'!$B:$B,'PTO SUMMARY 2027'!AP86,'August 2027'!$AK:$AK)</f>
        <v>0</v>
      </c>
      <c r="BH86" s="1">
        <f t="shared" si="75"/>
        <v>77.9999538</v>
      </c>
      <c r="BI86" s="1">
        <v>0</v>
      </c>
      <c r="BJ86" s="1">
        <v>0</v>
      </c>
      <c r="BK86" s="3">
        <f t="shared" si="88"/>
        <v>9.9999845999999994</v>
      </c>
      <c r="BL86" s="2">
        <f>SUMIF('September 2027'!$B:$B,'PTO SUMMARY 2027'!AU86,'September 2027'!$AK:$AK)</f>
        <v>0</v>
      </c>
      <c r="BM86" s="1">
        <f t="shared" si="76"/>
        <v>87.999938400000005</v>
      </c>
      <c r="BN86" s="1">
        <v>0</v>
      </c>
      <c r="BO86" s="1">
        <v>0</v>
      </c>
      <c r="BP86" s="3">
        <v>0</v>
      </c>
      <c r="BQ86" s="31">
        <v>0</v>
      </c>
      <c r="BR86" s="31">
        <v>0</v>
      </c>
      <c r="BS86" s="30">
        <f t="shared" si="65"/>
        <v>0</v>
      </c>
      <c r="BT86" s="3">
        <f t="shared" si="89"/>
        <v>9.9999845999999994</v>
      </c>
      <c r="BU86" s="2">
        <f>SUMIF('October 2027'!$B:$B,'PTO SUMMARY 2027'!BH86,'October 2027'!$AK:$AK)</f>
        <v>0</v>
      </c>
      <c r="BV86" s="1">
        <f t="shared" si="77"/>
        <v>97.99992300000001</v>
      </c>
      <c r="BW86" s="1">
        <v>0</v>
      </c>
      <c r="BX86" s="1">
        <v>0</v>
      </c>
      <c r="BY86" s="3">
        <f t="shared" si="90"/>
        <v>9.9999845999999994</v>
      </c>
      <c r="BZ86" s="2">
        <f>SUMIF('November 2027'!$B:$B,'PTO SUMMARY 2027'!BM86,'November 2027'!$AK:$AK)</f>
        <v>0</v>
      </c>
      <c r="CA86" s="1">
        <f t="shared" si="78"/>
        <v>107.99990760000001</v>
      </c>
      <c r="CB86" s="1">
        <v>0</v>
      </c>
      <c r="CC86" s="1">
        <v>0</v>
      </c>
      <c r="CD86" s="3">
        <f t="shared" si="91"/>
        <v>9.9999845999999994</v>
      </c>
      <c r="CE86" s="2">
        <f>SUMIF('December 2027'!$B:$B,'PTO SUMMARY 2027'!$B:$B,'December 2027'!$AK:$AK)</f>
        <v>0</v>
      </c>
      <c r="CF86" s="1">
        <f t="shared" si="79"/>
        <v>117.99989220000002</v>
      </c>
      <c r="CG86" s="1">
        <v>0</v>
      </c>
      <c r="CH86" s="1">
        <v>0</v>
      </c>
      <c r="CI86" s="1">
        <v>0</v>
      </c>
      <c r="CJ86" s="3">
        <v>0</v>
      </c>
      <c r="CK86" s="31">
        <v>0</v>
      </c>
      <c r="CL86" s="31">
        <v>0</v>
      </c>
      <c r="CM86" s="31">
        <v>0</v>
      </c>
      <c r="CN86" s="30">
        <f t="shared" si="92"/>
        <v>0</v>
      </c>
    </row>
    <row r="87" spans="1:92">
      <c r="A87" s="35" t="s">
        <v>251</v>
      </c>
      <c r="B87" s="8" t="s">
        <v>252</v>
      </c>
      <c r="C87" s="8" t="s">
        <v>64</v>
      </c>
      <c r="D87" s="9" t="s">
        <v>65</v>
      </c>
      <c r="E87" s="36" t="s">
        <v>66</v>
      </c>
      <c r="F87" s="12" t="s">
        <v>72</v>
      </c>
      <c r="G87" s="7">
        <v>1</v>
      </c>
      <c r="H87" s="34">
        <v>0</v>
      </c>
      <c r="I87" s="33">
        <v>0</v>
      </c>
      <c r="J87" s="1">
        <v>0</v>
      </c>
      <c r="K87" s="1">
        <v>0</v>
      </c>
      <c r="L87" s="1">
        <v>0</v>
      </c>
      <c r="M87" s="32">
        <v>0</v>
      </c>
      <c r="N87" s="2">
        <f t="shared" si="80"/>
        <v>0</v>
      </c>
      <c r="O87" s="2">
        <f>SUMIF('January 2027'!$B:$B,'PTO SUMMARY 2027'!B87,'January 2027'!$AK:$AK)</f>
        <v>0</v>
      </c>
      <c r="P87" s="1">
        <f t="shared" si="66"/>
        <v>0</v>
      </c>
      <c r="Q87" s="1">
        <v>0</v>
      </c>
      <c r="R87" s="1">
        <v>0</v>
      </c>
      <c r="S87" s="3">
        <f t="shared" si="81"/>
        <v>0</v>
      </c>
      <c r="T87" s="2">
        <f>SUMIF('February 2027'!$B:$B,'PTO SUMMARY 2027'!G87,'February 2027'!$AK:$AK)</f>
        <v>0</v>
      </c>
      <c r="U87" s="154">
        <v>0</v>
      </c>
      <c r="V87" s="1">
        <f t="shared" si="67"/>
        <v>0</v>
      </c>
      <c r="W87" s="1">
        <v>0</v>
      </c>
      <c r="X87" s="1">
        <v>0</v>
      </c>
      <c r="Y87" s="3">
        <f t="shared" si="82"/>
        <v>0</v>
      </c>
      <c r="Z87" s="2">
        <f>SUMIF('March 2027'!$B:$B,'PTO SUMMARY 2027'!M87,'March 2027'!$AK:$AK)</f>
        <v>0</v>
      </c>
      <c r="AA87" s="1">
        <f t="shared" si="93"/>
        <v>0</v>
      </c>
      <c r="AB87" s="1">
        <v>0</v>
      </c>
      <c r="AC87" s="1">
        <v>0</v>
      </c>
      <c r="AD87" s="3">
        <v>0</v>
      </c>
      <c r="AE87" s="31">
        <f t="shared" si="68"/>
        <v>0</v>
      </c>
      <c r="AF87" s="31">
        <v>0</v>
      </c>
      <c r="AG87" s="30">
        <f t="shared" si="69"/>
        <v>0</v>
      </c>
      <c r="AH87" s="2">
        <f t="shared" si="83"/>
        <v>0</v>
      </c>
      <c r="AI87" s="2">
        <f>SUMIF('April 2027'!$B:$B,'PTO SUMMARY 2027'!V87,'April 2027'!$AK:$AK)</f>
        <v>0</v>
      </c>
      <c r="AJ87" s="1">
        <f t="shared" si="70"/>
        <v>0</v>
      </c>
      <c r="AK87" s="1">
        <v>0</v>
      </c>
      <c r="AL87" s="1">
        <v>0</v>
      </c>
      <c r="AM87" s="3">
        <f t="shared" si="84"/>
        <v>0</v>
      </c>
      <c r="AN87" s="2">
        <f>SUMIF('May 2027'!$B:$B,'PTO SUMMARY 2027'!AA87,'May 2027'!$AK:$AK)</f>
        <v>0</v>
      </c>
      <c r="AO87" s="1">
        <f t="shared" si="71"/>
        <v>0</v>
      </c>
      <c r="AP87" s="1">
        <v>0</v>
      </c>
      <c r="AQ87" s="1">
        <v>0</v>
      </c>
      <c r="AR87" s="3">
        <f t="shared" si="85"/>
        <v>0</v>
      </c>
      <c r="AS87" s="2">
        <f>SUMIF('June 2027'!$B:$B,'PTO SUMMARY 2027'!AF87,'June 2027'!$AK:$AK)</f>
        <v>0</v>
      </c>
      <c r="AT87" s="1">
        <f t="shared" si="72"/>
        <v>0</v>
      </c>
      <c r="AU87" s="1">
        <v>0</v>
      </c>
      <c r="AV87" s="1">
        <v>0</v>
      </c>
      <c r="AW87" s="3">
        <v>0</v>
      </c>
      <c r="AX87" s="31">
        <v>0</v>
      </c>
      <c r="AY87" s="31">
        <v>0</v>
      </c>
      <c r="AZ87" s="30">
        <f t="shared" si="73"/>
        <v>0</v>
      </c>
      <c r="BA87" s="3">
        <f t="shared" si="86"/>
        <v>0</v>
      </c>
      <c r="BB87" s="2">
        <f>SUMIF('July 2027'!$B:$B,'PTO SUMMARY 2027'!AK87,'July 2027'!$AK:$AK)</f>
        <v>0</v>
      </c>
      <c r="BC87" s="1">
        <f t="shared" si="74"/>
        <v>0</v>
      </c>
      <c r="BD87" s="1">
        <v>0</v>
      </c>
      <c r="BE87" s="1">
        <v>0</v>
      </c>
      <c r="BF87" s="3">
        <f t="shared" si="87"/>
        <v>0</v>
      </c>
      <c r="BG87" s="2">
        <f>SUMIF('August 2027'!$B:$B,'PTO SUMMARY 2027'!AP87,'August 2027'!$AK:$AK)</f>
        <v>0</v>
      </c>
      <c r="BH87" s="1">
        <f t="shared" si="75"/>
        <v>0</v>
      </c>
      <c r="BI87" s="1">
        <v>0</v>
      </c>
      <c r="BJ87" s="1">
        <v>0</v>
      </c>
      <c r="BK87" s="3">
        <f t="shared" si="88"/>
        <v>0</v>
      </c>
      <c r="BL87" s="2">
        <f>SUMIF('September 2027'!$B:$B,'PTO SUMMARY 2027'!AU87,'September 2027'!$AK:$AK)</f>
        <v>0</v>
      </c>
      <c r="BM87" s="1">
        <f t="shared" si="76"/>
        <v>0</v>
      </c>
      <c r="BN87" s="1">
        <v>0</v>
      </c>
      <c r="BO87" s="1">
        <v>0</v>
      </c>
      <c r="BP87" s="3">
        <v>0</v>
      </c>
      <c r="BQ87" s="31">
        <v>0</v>
      </c>
      <c r="BR87" s="31">
        <v>0</v>
      </c>
      <c r="BS87" s="30">
        <f t="shared" si="65"/>
        <v>0</v>
      </c>
      <c r="BT87" s="3">
        <f t="shared" si="89"/>
        <v>0</v>
      </c>
      <c r="BU87" s="2">
        <f>SUMIF('October 2027'!$B:$B,'PTO SUMMARY 2027'!BH87,'October 2027'!$AK:$AK)</f>
        <v>0</v>
      </c>
      <c r="BV87" s="1">
        <f t="shared" si="77"/>
        <v>0</v>
      </c>
      <c r="BW87" s="1">
        <v>0</v>
      </c>
      <c r="BX87" s="1">
        <v>0</v>
      </c>
      <c r="BY87" s="3">
        <f t="shared" si="90"/>
        <v>0</v>
      </c>
      <c r="BZ87" s="2">
        <f>SUMIF('November 2027'!$B:$B,'PTO SUMMARY 2027'!BM87,'November 2027'!$AK:$AK)</f>
        <v>0</v>
      </c>
      <c r="CA87" s="1">
        <f t="shared" si="78"/>
        <v>0</v>
      </c>
      <c r="CB87" s="1">
        <v>0</v>
      </c>
      <c r="CC87" s="1">
        <v>0</v>
      </c>
      <c r="CD87" s="3">
        <f t="shared" si="91"/>
        <v>0</v>
      </c>
      <c r="CE87" s="2">
        <f>SUMIF('December 2027'!$B:$B,'PTO SUMMARY 2027'!$B:$B,'December 2027'!$AK:$AK)</f>
        <v>0</v>
      </c>
      <c r="CF87" s="1">
        <f t="shared" si="79"/>
        <v>0</v>
      </c>
      <c r="CG87" s="1">
        <v>0</v>
      </c>
      <c r="CH87" s="1">
        <v>0</v>
      </c>
      <c r="CI87" s="1">
        <v>0</v>
      </c>
      <c r="CJ87" s="3">
        <v>0</v>
      </c>
      <c r="CK87" s="31">
        <v>0</v>
      </c>
      <c r="CL87" s="31">
        <v>0</v>
      </c>
      <c r="CM87" s="31">
        <v>0</v>
      </c>
      <c r="CN87" s="30">
        <f t="shared" si="92"/>
        <v>0</v>
      </c>
    </row>
    <row r="88" spans="1:92">
      <c r="A88" s="35" t="s">
        <v>253</v>
      </c>
      <c r="B88" s="8" t="s">
        <v>254</v>
      </c>
      <c r="C88" s="8" t="s">
        <v>75</v>
      </c>
      <c r="D88" s="9" t="s">
        <v>65</v>
      </c>
      <c r="E88" t="s">
        <v>95</v>
      </c>
      <c r="F88" s="12" t="s">
        <v>77</v>
      </c>
      <c r="G88" s="7">
        <v>0.8</v>
      </c>
      <c r="H88" s="34">
        <v>0</v>
      </c>
      <c r="I88" s="33">
        <v>0</v>
      </c>
      <c r="J88" s="1">
        <v>0</v>
      </c>
      <c r="K88" s="1">
        <v>0</v>
      </c>
      <c r="L88" s="1">
        <v>0</v>
      </c>
      <c r="M88" s="32">
        <v>0</v>
      </c>
      <c r="N88" s="2">
        <f t="shared" si="80"/>
        <v>0</v>
      </c>
      <c r="O88" s="2">
        <f>SUMIF('January 2027'!$B:$B,'PTO SUMMARY 2027'!B88,'January 2027'!$AK:$AK)</f>
        <v>0</v>
      </c>
      <c r="P88" s="1">
        <f t="shared" si="66"/>
        <v>0</v>
      </c>
      <c r="Q88" s="1">
        <v>0</v>
      </c>
      <c r="R88" s="1">
        <v>0</v>
      </c>
      <c r="S88" s="3">
        <f t="shared" si="81"/>
        <v>0</v>
      </c>
      <c r="T88" s="2">
        <f>SUMIF('February 2027'!$B:$B,'PTO SUMMARY 2027'!G88,'February 2027'!$AK:$AK)</f>
        <v>0</v>
      </c>
      <c r="U88" s="154">
        <v>0</v>
      </c>
      <c r="V88" s="1">
        <f t="shared" si="67"/>
        <v>0</v>
      </c>
      <c r="W88" s="1">
        <v>0</v>
      </c>
      <c r="X88" s="1">
        <v>0</v>
      </c>
      <c r="Y88" s="3">
        <f t="shared" si="82"/>
        <v>0</v>
      </c>
      <c r="Z88" s="2">
        <f>SUMIF('March 2027'!$B:$B,'PTO SUMMARY 2027'!M88,'March 2027'!$AK:$AK)</f>
        <v>0</v>
      </c>
      <c r="AA88" s="1">
        <f t="shared" si="93"/>
        <v>0</v>
      </c>
      <c r="AB88" s="1">
        <v>0</v>
      </c>
      <c r="AC88" s="1">
        <v>0</v>
      </c>
      <c r="AD88" s="3">
        <v>0</v>
      </c>
      <c r="AE88" s="31">
        <f t="shared" si="68"/>
        <v>0</v>
      </c>
      <c r="AF88" s="31">
        <v>0</v>
      </c>
      <c r="AG88" s="30">
        <f t="shared" si="69"/>
        <v>0</v>
      </c>
      <c r="AH88" s="2">
        <f t="shared" si="83"/>
        <v>0</v>
      </c>
      <c r="AI88" s="2">
        <f>SUMIF('April 2027'!$B:$B,'PTO SUMMARY 2027'!V88,'April 2027'!$AK:$AK)</f>
        <v>0</v>
      </c>
      <c r="AJ88" s="1">
        <f t="shared" si="70"/>
        <v>0</v>
      </c>
      <c r="AK88" s="1">
        <v>0</v>
      </c>
      <c r="AL88" s="1">
        <v>0</v>
      </c>
      <c r="AM88" s="3">
        <f t="shared" si="84"/>
        <v>0</v>
      </c>
      <c r="AN88" s="2">
        <f>SUMIF('May 2027'!$B:$B,'PTO SUMMARY 2027'!AA88,'May 2027'!$AK:$AK)</f>
        <v>0</v>
      </c>
      <c r="AO88" s="1">
        <f t="shared" si="71"/>
        <v>0</v>
      </c>
      <c r="AP88" s="1">
        <v>0</v>
      </c>
      <c r="AQ88" s="1">
        <v>0</v>
      </c>
      <c r="AR88" s="3">
        <f t="shared" si="85"/>
        <v>0</v>
      </c>
      <c r="AS88" s="2">
        <f>SUMIF('June 2027'!$B:$B,'PTO SUMMARY 2027'!AF88,'June 2027'!$AK:$AK)</f>
        <v>0</v>
      </c>
      <c r="AT88" s="1">
        <f t="shared" si="72"/>
        <v>0</v>
      </c>
      <c r="AU88" s="1">
        <v>0</v>
      </c>
      <c r="AV88" s="1">
        <v>0</v>
      </c>
      <c r="AW88" s="3">
        <v>0</v>
      </c>
      <c r="AX88" s="31">
        <v>0</v>
      </c>
      <c r="AY88" s="31">
        <v>0</v>
      </c>
      <c r="AZ88" s="30">
        <f t="shared" si="73"/>
        <v>0</v>
      </c>
      <c r="BA88" s="3">
        <f t="shared" si="86"/>
        <v>0</v>
      </c>
      <c r="BB88" s="2">
        <f>SUMIF('July 2027'!$B:$B,'PTO SUMMARY 2027'!AK88,'July 2027'!$AK:$AK)</f>
        <v>0</v>
      </c>
      <c r="BC88" s="1">
        <f t="shared" si="74"/>
        <v>0</v>
      </c>
      <c r="BD88" s="1">
        <v>0</v>
      </c>
      <c r="BE88" s="1">
        <v>0</v>
      </c>
      <c r="BF88" s="3">
        <f t="shared" si="87"/>
        <v>0</v>
      </c>
      <c r="BG88" s="2">
        <f>SUMIF('August 2027'!$B:$B,'PTO SUMMARY 2027'!AP88,'August 2027'!$AK:$AK)</f>
        <v>0</v>
      </c>
      <c r="BH88" s="1">
        <f t="shared" si="75"/>
        <v>0</v>
      </c>
      <c r="BI88" s="1">
        <v>0</v>
      </c>
      <c r="BJ88" s="1">
        <v>0</v>
      </c>
      <c r="BK88" s="3">
        <f t="shared" si="88"/>
        <v>0</v>
      </c>
      <c r="BL88" s="2">
        <f>SUMIF('September 2027'!$B:$B,'PTO SUMMARY 2027'!AU88,'September 2027'!$AK:$AK)</f>
        <v>0</v>
      </c>
      <c r="BM88" s="1">
        <f t="shared" si="76"/>
        <v>0</v>
      </c>
      <c r="BN88" s="1">
        <v>0</v>
      </c>
      <c r="BO88" s="1">
        <v>0</v>
      </c>
      <c r="BP88" s="3">
        <v>0</v>
      </c>
      <c r="BQ88" s="31">
        <v>0</v>
      </c>
      <c r="BR88" s="31">
        <v>0</v>
      </c>
      <c r="BS88" s="30">
        <f t="shared" si="65"/>
        <v>0</v>
      </c>
      <c r="BT88" s="3">
        <f t="shared" si="89"/>
        <v>0</v>
      </c>
      <c r="BU88" s="2">
        <f>SUMIF('October 2027'!$B:$B,'PTO SUMMARY 2027'!BH88,'October 2027'!$AK:$AK)</f>
        <v>0</v>
      </c>
      <c r="BV88" s="1">
        <f t="shared" si="77"/>
        <v>0</v>
      </c>
      <c r="BW88" s="1">
        <v>0</v>
      </c>
      <c r="BX88" s="1">
        <v>0</v>
      </c>
      <c r="BY88" s="3">
        <f t="shared" si="90"/>
        <v>0</v>
      </c>
      <c r="BZ88" s="2">
        <f>SUMIF('November 2027'!$B:$B,'PTO SUMMARY 2027'!BM88,'November 2027'!$AK:$AK)</f>
        <v>0</v>
      </c>
      <c r="CA88" s="1">
        <f t="shared" si="78"/>
        <v>0</v>
      </c>
      <c r="CB88" s="1">
        <v>0</v>
      </c>
      <c r="CC88" s="1">
        <v>0</v>
      </c>
      <c r="CD88" s="3">
        <f t="shared" si="91"/>
        <v>0</v>
      </c>
      <c r="CE88" s="2">
        <f>SUMIF('December 2027'!$B:$B,'PTO SUMMARY 2027'!$B:$B,'December 2027'!$AK:$AK)</f>
        <v>0</v>
      </c>
      <c r="CF88" s="1">
        <f t="shared" si="79"/>
        <v>0</v>
      </c>
      <c r="CG88" s="1">
        <v>0</v>
      </c>
      <c r="CH88" s="1">
        <v>0</v>
      </c>
      <c r="CI88" s="1">
        <v>0</v>
      </c>
      <c r="CJ88" s="3">
        <v>0</v>
      </c>
      <c r="CK88" s="31">
        <v>0</v>
      </c>
      <c r="CL88" s="31">
        <v>0</v>
      </c>
      <c r="CM88" s="31">
        <v>0</v>
      </c>
      <c r="CN88" s="30">
        <f t="shared" si="92"/>
        <v>0</v>
      </c>
    </row>
    <row r="89" spans="1:92">
      <c r="A89" s="8" t="s">
        <v>255</v>
      </c>
      <c r="B89" s="8" t="s">
        <v>256</v>
      </c>
      <c r="C89" s="8" t="s">
        <v>75</v>
      </c>
      <c r="D89" s="9" t="s">
        <v>70</v>
      </c>
      <c r="E89" t="s">
        <v>76</v>
      </c>
      <c r="F89" s="12" t="s">
        <v>72</v>
      </c>
      <c r="G89" s="7">
        <v>1</v>
      </c>
      <c r="H89" s="11">
        <f>((G89*86.67)*2)*(SUMIF('Accrual Rates'!B:B,'PTO SUMMARY 2027'!B89,'Accrual Rates'!G:G))</f>
        <v>13.3333128</v>
      </c>
      <c r="I89" s="33">
        <v>0</v>
      </c>
      <c r="J89" s="1">
        <v>0</v>
      </c>
      <c r="K89" s="1">
        <v>0</v>
      </c>
      <c r="L89" s="1">
        <v>0</v>
      </c>
      <c r="M89" s="32">
        <v>0</v>
      </c>
      <c r="N89" s="2">
        <f t="shared" si="80"/>
        <v>13.3333128</v>
      </c>
      <c r="O89" s="2">
        <f>SUMIF('January 2027'!$B:$B,'PTO SUMMARY 2027'!B89,'January 2027'!$AK:$AK)</f>
        <v>0</v>
      </c>
      <c r="P89" s="1">
        <f t="shared" si="66"/>
        <v>13.3333128</v>
      </c>
      <c r="Q89" s="1">
        <v>0</v>
      </c>
      <c r="R89" s="1">
        <v>0</v>
      </c>
      <c r="S89" s="3">
        <f t="shared" si="81"/>
        <v>13.3333128</v>
      </c>
      <c r="T89" s="2">
        <f>SUMIF('February 2027'!$B:$B,'PTO SUMMARY 2027'!G89,'February 2027'!$AK:$AK)</f>
        <v>0</v>
      </c>
      <c r="U89" s="154">
        <v>0</v>
      </c>
      <c r="V89" s="1">
        <f t="shared" si="67"/>
        <v>26.6666256</v>
      </c>
      <c r="W89" s="1">
        <v>0</v>
      </c>
      <c r="X89" s="1">
        <v>0</v>
      </c>
      <c r="Y89" s="3">
        <f t="shared" si="82"/>
        <v>13.3333128</v>
      </c>
      <c r="Z89" s="2">
        <f>SUMIF('March 2027'!$B:$B,'PTO SUMMARY 2027'!M89,'March 2027'!$AK:$AK)</f>
        <v>0</v>
      </c>
      <c r="AA89" s="1">
        <f t="shared" si="93"/>
        <v>39.999938399999998</v>
      </c>
      <c r="AB89" s="1">
        <v>0</v>
      </c>
      <c r="AC89" s="1">
        <v>0</v>
      </c>
      <c r="AD89" s="3">
        <v>0</v>
      </c>
      <c r="AE89" s="31">
        <f t="shared" si="68"/>
        <v>0</v>
      </c>
      <c r="AF89" s="31">
        <v>0</v>
      </c>
      <c r="AG89" s="30">
        <f t="shared" si="69"/>
        <v>0</v>
      </c>
      <c r="AH89" s="2">
        <f t="shared" si="83"/>
        <v>13.3333128</v>
      </c>
      <c r="AI89" s="2">
        <f>SUMIF('April 2027'!$B:$B,'PTO SUMMARY 2027'!V89,'April 2027'!$AK:$AK)</f>
        <v>0</v>
      </c>
      <c r="AJ89" s="1">
        <f t="shared" si="70"/>
        <v>53.333251199999999</v>
      </c>
      <c r="AK89" s="1">
        <v>0</v>
      </c>
      <c r="AL89" s="1">
        <v>0</v>
      </c>
      <c r="AM89" s="3">
        <f t="shared" si="84"/>
        <v>13.3333128</v>
      </c>
      <c r="AN89" s="2">
        <f>SUMIF('May 2027'!$B:$B,'PTO SUMMARY 2027'!AA89,'May 2027'!$AK:$AK)</f>
        <v>0</v>
      </c>
      <c r="AO89" s="1">
        <f t="shared" si="71"/>
        <v>66.67</v>
      </c>
      <c r="AP89" s="1">
        <v>0</v>
      </c>
      <c r="AQ89" s="1">
        <v>0</v>
      </c>
      <c r="AR89" s="3">
        <f t="shared" si="85"/>
        <v>13.3333128</v>
      </c>
      <c r="AS89" s="2">
        <f>SUMIF('June 2027'!$B:$B,'PTO SUMMARY 2027'!AF89,'June 2027'!$AK:$AK)</f>
        <v>0</v>
      </c>
      <c r="AT89" s="1">
        <f t="shared" si="72"/>
        <v>80.003312800000003</v>
      </c>
      <c r="AU89" s="1">
        <v>0</v>
      </c>
      <c r="AV89" s="1">
        <v>0</v>
      </c>
      <c r="AW89" s="3">
        <v>0</v>
      </c>
      <c r="AX89" s="31">
        <v>0</v>
      </c>
      <c r="AY89" s="31">
        <v>0</v>
      </c>
      <c r="AZ89" s="30">
        <f t="shared" si="73"/>
        <v>0</v>
      </c>
      <c r="BA89" s="3">
        <f t="shared" si="86"/>
        <v>13.3333128</v>
      </c>
      <c r="BB89" s="2">
        <f>SUMIF('July 2027'!$B:$B,'PTO SUMMARY 2027'!AK89,'July 2027'!$AK:$AK)</f>
        <v>0</v>
      </c>
      <c r="BC89" s="1">
        <f t="shared" si="74"/>
        <v>93.336625600000005</v>
      </c>
      <c r="BD89" s="1">
        <v>0</v>
      </c>
      <c r="BE89" s="1">
        <v>0</v>
      </c>
      <c r="BF89" s="3">
        <f t="shared" si="87"/>
        <v>13.3333128</v>
      </c>
      <c r="BG89" s="2">
        <f>SUMIF('August 2027'!$B:$B,'PTO SUMMARY 2027'!AP89,'August 2027'!$AK:$AK)</f>
        <v>0</v>
      </c>
      <c r="BH89" s="1">
        <f t="shared" si="75"/>
        <v>106.66993840000001</v>
      </c>
      <c r="BI89" s="1">
        <v>0</v>
      </c>
      <c r="BJ89" s="1">
        <v>0</v>
      </c>
      <c r="BK89" s="3">
        <f t="shared" si="88"/>
        <v>13.3333128</v>
      </c>
      <c r="BL89" s="2">
        <f>SUMIF('September 2027'!$B:$B,'PTO SUMMARY 2027'!AU89,'September 2027'!$AK:$AK)</f>
        <v>0</v>
      </c>
      <c r="BM89" s="1">
        <f t="shared" si="76"/>
        <v>120.00325120000001</v>
      </c>
      <c r="BN89" s="1">
        <v>0</v>
      </c>
      <c r="BO89" s="1">
        <v>0</v>
      </c>
      <c r="BP89" s="3">
        <v>0</v>
      </c>
      <c r="BQ89" s="31">
        <v>0</v>
      </c>
      <c r="BR89" s="31">
        <v>0</v>
      </c>
      <c r="BS89" s="30">
        <f t="shared" si="65"/>
        <v>0</v>
      </c>
      <c r="BT89" s="3">
        <f t="shared" si="89"/>
        <v>13.3333128</v>
      </c>
      <c r="BU89" s="2">
        <f>SUMIF('October 2027'!$B:$B,'PTO SUMMARY 2027'!BH89,'October 2027'!$AK:$AK)</f>
        <v>0</v>
      </c>
      <c r="BV89" s="1">
        <f t="shared" si="77"/>
        <v>133.33656400000001</v>
      </c>
      <c r="BW89" s="1">
        <v>0</v>
      </c>
      <c r="BX89" s="1">
        <v>0</v>
      </c>
      <c r="BY89" s="3">
        <f t="shared" si="90"/>
        <v>13.3333128</v>
      </c>
      <c r="BZ89" s="2">
        <f>SUMIF('November 2027'!$B:$B,'PTO SUMMARY 2027'!BM89,'November 2027'!$AK:$AK)</f>
        <v>0</v>
      </c>
      <c r="CA89" s="1">
        <f t="shared" si="78"/>
        <v>146.6698768</v>
      </c>
      <c r="CB89" s="1">
        <v>0</v>
      </c>
      <c r="CC89" s="1">
        <v>0</v>
      </c>
      <c r="CD89" s="3">
        <f t="shared" si="91"/>
        <v>13.3333128</v>
      </c>
      <c r="CE89" s="2">
        <f>SUMIF('December 2027'!$B:$B,'PTO SUMMARY 2027'!$B:$B,'December 2027'!$AK:$AK)</f>
        <v>0</v>
      </c>
      <c r="CF89" s="1">
        <f t="shared" si="79"/>
        <v>160.00318959999998</v>
      </c>
      <c r="CG89" s="1">
        <v>0</v>
      </c>
      <c r="CH89" s="1">
        <v>0</v>
      </c>
      <c r="CI89" s="1">
        <v>0</v>
      </c>
      <c r="CJ89" s="3">
        <v>0</v>
      </c>
      <c r="CK89" s="31">
        <v>0</v>
      </c>
      <c r="CL89" s="31">
        <v>0</v>
      </c>
      <c r="CM89" s="31">
        <v>0</v>
      </c>
      <c r="CN89" s="30">
        <f t="shared" si="92"/>
        <v>0</v>
      </c>
    </row>
    <row r="90" spans="1:92">
      <c r="A90" s="35" t="s">
        <v>257</v>
      </c>
      <c r="B90" s="8" t="s">
        <v>258</v>
      </c>
      <c r="C90" s="8" t="s">
        <v>64</v>
      </c>
      <c r="D90" s="9" t="s">
        <v>65</v>
      </c>
      <c r="E90" s="36" t="s">
        <v>66</v>
      </c>
      <c r="F90" s="12" t="s">
        <v>67</v>
      </c>
      <c r="G90" s="7">
        <v>0.75</v>
      </c>
      <c r="H90" s="34">
        <v>0</v>
      </c>
      <c r="I90" s="33">
        <v>0</v>
      </c>
      <c r="J90" s="1">
        <v>0</v>
      </c>
      <c r="K90" s="1">
        <v>0</v>
      </c>
      <c r="L90" s="1">
        <v>0</v>
      </c>
      <c r="M90" s="32">
        <v>0</v>
      </c>
      <c r="N90" s="2">
        <f t="shared" si="80"/>
        <v>0</v>
      </c>
      <c r="O90" s="2">
        <f>SUMIF('January 2027'!$B:$B,'PTO SUMMARY 2027'!B90,'January 2027'!$AK:$AK)</f>
        <v>40</v>
      </c>
      <c r="P90" s="1">
        <f t="shared" si="66"/>
        <v>-40</v>
      </c>
      <c r="Q90" s="1">
        <v>0</v>
      </c>
      <c r="R90" s="1">
        <v>0</v>
      </c>
      <c r="S90" s="3">
        <f t="shared" si="81"/>
        <v>0</v>
      </c>
      <c r="T90" s="2">
        <f>SUMIF('February 2027'!$B:$B,'PTO SUMMARY 2027'!G90,'February 2027'!$AK:$AK)</f>
        <v>0</v>
      </c>
      <c r="U90" s="154">
        <v>0</v>
      </c>
      <c r="V90" s="1">
        <f t="shared" si="67"/>
        <v>-40</v>
      </c>
      <c r="W90" s="1">
        <v>0</v>
      </c>
      <c r="X90" s="1">
        <v>0</v>
      </c>
      <c r="Y90" s="3">
        <f t="shared" si="82"/>
        <v>0</v>
      </c>
      <c r="Z90" s="2">
        <f>SUMIF('March 2027'!$B:$B,'PTO SUMMARY 2027'!M90,'March 2027'!$AK:$AK)</f>
        <v>0</v>
      </c>
      <c r="AA90" s="1">
        <f t="shared" si="93"/>
        <v>-40</v>
      </c>
      <c r="AB90" s="1">
        <v>0</v>
      </c>
      <c r="AC90" s="1">
        <v>0</v>
      </c>
      <c r="AD90" s="3">
        <v>0</v>
      </c>
      <c r="AE90" s="31">
        <f t="shared" si="68"/>
        <v>0</v>
      </c>
      <c r="AF90" s="31">
        <v>0</v>
      </c>
      <c r="AG90" s="30">
        <f t="shared" si="69"/>
        <v>0</v>
      </c>
      <c r="AH90" s="2">
        <f t="shared" si="83"/>
        <v>0</v>
      </c>
      <c r="AI90" s="2">
        <f>SUMIF('April 2027'!$B:$B,'PTO SUMMARY 2027'!V90,'April 2027'!$AK:$AK)</f>
        <v>0</v>
      </c>
      <c r="AJ90" s="1">
        <f t="shared" si="70"/>
        <v>-40</v>
      </c>
      <c r="AK90" s="1">
        <v>0</v>
      </c>
      <c r="AL90" s="1">
        <v>0</v>
      </c>
      <c r="AM90" s="3">
        <f t="shared" si="84"/>
        <v>0</v>
      </c>
      <c r="AN90" s="2">
        <f>SUMIF('May 2027'!$B:$B,'PTO SUMMARY 2027'!AA90,'May 2027'!$AK:$AK)</f>
        <v>0</v>
      </c>
      <c r="AO90" s="1">
        <f t="shared" si="71"/>
        <v>-40</v>
      </c>
      <c r="AP90" s="1">
        <v>0</v>
      </c>
      <c r="AQ90" s="1">
        <v>0</v>
      </c>
      <c r="AR90" s="3">
        <f t="shared" si="85"/>
        <v>0</v>
      </c>
      <c r="AS90" s="2">
        <f>SUMIF('June 2027'!$B:$B,'PTO SUMMARY 2027'!AF90,'June 2027'!$AK:$AK)</f>
        <v>0</v>
      </c>
      <c r="AT90" s="1">
        <f t="shared" si="72"/>
        <v>-40</v>
      </c>
      <c r="AU90" s="1">
        <v>0</v>
      </c>
      <c r="AV90" s="1">
        <v>0</v>
      </c>
      <c r="AW90" s="3">
        <v>0</v>
      </c>
      <c r="AX90" s="31">
        <v>0</v>
      </c>
      <c r="AY90" s="31">
        <v>0</v>
      </c>
      <c r="AZ90" s="30">
        <f t="shared" si="73"/>
        <v>0</v>
      </c>
      <c r="BA90" s="3">
        <f t="shared" si="86"/>
        <v>0</v>
      </c>
      <c r="BB90" s="2">
        <f>SUMIF('July 2027'!$B:$B,'PTO SUMMARY 2027'!AK90,'July 2027'!$AK:$AK)</f>
        <v>0</v>
      </c>
      <c r="BC90" s="1">
        <f t="shared" si="74"/>
        <v>-40</v>
      </c>
      <c r="BD90" s="1">
        <v>0</v>
      </c>
      <c r="BE90" s="1">
        <v>0</v>
      </c>
      <c r="BF90" s="3">
        <f t="shared" si="87"/>
        <v>0</v>
      </c>
      <c r="BG90" s="2">
        <f>SUMIF('August 2027'!$B:$B,'PTO SUMMARY 2027'!AP90,'August 2027'!$AK:$AK)</f>
        <v>0</v>
      </c>
      <c r="BH90" s="1">
        <f t="shared" si="75"/>
        <v>-40</v>
      </c>
      <c r="BI90" s="1">
        <v>0</v>
      </c>
      <c r="BJ90" s="1">
        <v>0</v>
      </c>
      <c r="BK90" s="3">
        <f t="shared" si="88"/>
        <v>0</v>
      </c>
      <c r="BL90" s="2">
        <f>SUMIF('September 2027'!$B:$B,'PTO SUMMARY 2027'!AU90,'September 2027'!$AK:$AK)</f>
        <v>0</v>
      </c>
      <c r="BM90" s="1">
        <f t="shared" si="76"/>
        <v>-40</v>
      </c>
      <c r="BN90" s="1">
        <v>0</v>
      </c>
      <c r="BO90" s="1">
        <v>0</v>
      </c>
      <c r="BP90" s="3">
        <v>0</v>
      </c>
      <c r="BQ90" s="31">
        <v>0</v>
      </c>
      <c r="BR90" s="31">
        <v>0</v>
      </c>
      <c r="BS90" s="30">
        <f t="shared" si="65"/>
        <v>0</v>
      </c>
      <c r="BT90" s="3">
        <f t="shared" si="89"/>
        <v>0</v>
      </c>
      <c r="BU90" s="2">
        <f>SUMIF('October 2027'!$B:$B,'PTO SUMMARY 2027'!BH90,'October 2027'!$AK:$AK)</f>
        <v>0</v>
      </c>
      <c r="BV90" s="1">
        <f t="shared" si="77"/>
        <v>-40</v>
      </c>
      <c r="BW90" s="1">
        <v>0</v>
      </c>
      <c r="BX90" s="1">
        <v>0</v>
      </c>
      <c r="BY90" s="3">
        <f t="shared" si="90"/>
        <v>0</v>
      </c>
      <c r="BZ90" s="2">
        <f>SUMIF('November 2027'!$B:$B,'PTO SUMMARY 2027'!BM90,'November 2027'!$AK:$AK)</f>
        <v>0</v>
      </c>
      <c r="CA90" s="1">
        <f t="shared" si="78"/>
        <v>-40</v>
      </c>
      <c r="CB90" s="1">
        <v>0</v>
      </c>
      <c r="CC90" s="1">
        <v>0</v>
      </c>
      <c r="CD90" s="3">
        <f t="shared" si="91"/>
        <v>0</v>
      </c>
      <c r="CE90" s="2">
        <f>SUMIF('December 2027'!$B:$B,'PTO SUMMARY 2027'!$B:$B,'December 2027'!$AK:$AK)</f>
        <v>0</v>
      </c>
      <c r="CF90" s="1">
        <f t="shared" si="79"/>
        <v>-40</v>
      </c>
      <c r="CG90" s="1">
        <v>0</v>
      </c>
      <c r="CH90" s="1">
        <v>0</v>
      </c>
      <c r="CI90" s="1">
        <v>0</v>
      </c>
      <c r="CJ90" s="3">
        <v>0</v>
      </c>
      <c r="CK90" s="31">
        <v>0</v>
      </c>
      <c r="CL90" s="31">
        <v>0</v>
      </c>
      <c r="CM90" s="31">
        <v>0</v>
      </c>
      <c r="CN90" s="30">
        <f t="shared" si="92"/>
        <v>0</v>
      </c>
    </row>
    <row r="91" spans="1:92">
      <c r="A91" s="35" t="s">
        <v>259</v>
      </c>
      <c r="B91" s="8" t="s">
        <v>260</v>
      </c>
      <c r="C91" s="8" t="s">
        <v>75</v>
      </c>
      <c r="D91" s="9" t="s">
        <v>65</v>
      </c>
      <c r="E91" t="s">
        <v>95</v>
      </c>
      <c r="F91" s="12" t="s">
        <v>67</v>
      </c>
      <c r="G91" s="7">
        <v>0.75</v>
      </c>
      <c r="H91" s="34">
        <v>0</v>
      </c>
      <c r="I91" s="33">
        <v>0</v>
      </c>
      <c r="J91" s="1">
        <v>0</v>
      </c>
      <c r="K91" s="1">
        <v>0</v>
      </c>
      <c r="L91" s="1">
        <v>0</v>
      </c>
      <c r="M91" s="32">
        <v>0</v>
      </c>
      <c r="N91" s="2">
        <f t="shared" si="80"/>
        <v>0</v>
      </c>
      <c r="O91" s="2">
        <f>SUMIF('January 2027'!$B:$B,'PTO SUMMARY 2027'!B91,'January 2027'!$AK:$AK)</f>
        <v>0</v>
      </c>
      <c r="P91" s="1">
        <f t="shared" si="66"/>
        <v>0</v>
      </c>
      <c r="Q91" s="1">
        <v>0</v>
      </c>
      <c r="R91" s="1">
        <v>0</v>
      </c>
      <c r="S91" s="3">
        <f t="shared" si="81"/>
        <v>0</v>
      </c>
      <c r="T91" s="2">
        <f>SUMIF('February 2027'!$B:$B,'PTO SUMMARY 2027'!G91,'February 2027'!$AK:$AK)</f>
        <v>0</v>
      </c>
      <c r="U91" s="154">
        <v>0</v>
      </c>
      <c r="V91" s="1">
        <f t="shared" si="67"/>
        <v>0</v>
      </c>
      <c r="W91" s="1">
        <v>0</v>
      </c>
      <c r="X91" s="1">
        <v>0</v>
      </c>
      <c r="Y91" s="3">
        <f t="shared" si="82"/>
        <v>0</v>
      </c>
      <c r="Z91" s="2">
        <f>SUMIF('March 2027'!$B:$B,'PTO SUMMARY 2027'!M91,'March 2027'!$AK:$AK)</f>
        <v>0</v>
      </c>
      <c r="AA91" s="1">
        <f t="shared" si="93"/>
        <v>0</v>
      </c>
      <c r="AB91" s="1">
        <v>0</v>
      </c>
      <c r="AC91" s="1">
        <v>0</v>
      </c>
      <c r="AD91" s="3">
        <v>0</v>
      </c>
      <c r="AE91" s="31">
        <f t="shared" si="68"/>
        <v>0</v>
      </c>
      <c r="AF91" s="31">
        <v>0</v>
      </c>
      <c r="AG91" s="30">
        <f t="shared" si="69"/>
        <v>0</v>
      </c>
      <c r="AH91" s="2">
        <f t="shared" si="83"/>
        <v>0</v>
      </c>
      <c r="AI91" s="2">
        <f>SUMIF('April 2027'!$B:$B,'PTO SUMMARY 2027'!V91,'April 2027'!$AK:$AK)</f>
        <v>0</v>
      </c>
      <c r="AJ91" s="1">
        <f t="shared" si="70"/>
        <v>0</v>
      </c>
      <c r="AK91" s="1">
        <v>0</v>
      </c>
      <c r="AL91" s="1">
        <v>0</v>
      </c>
      <c r="AM91" s="3">
        <f t="shared" si="84"/>
        <v>0</v>
      </c>
      <c r="AN91" s="2">
        <f>SUMIF('May 2027'!$B:$B,'PTO SUMMARY 2027'!AA91,'May 2027'!$AK:$AK)</f>
        <v>0</v>
      </c>
      <c r="AO91" s="1">
        <f t="shared" si="71"/>
        <v>0</v>
      </c>
      <c r="AP91" s="1">
        <v>0</v>
      </c>
      <c r="AQ91" s="1">
        <v>0</v>
      </c>
      <c r="AR91" s="3">
        <f t="shared" si="85"/>
        <v>0</v>
      </c>
      <c r="AS91" s="2">
        <f>SUMIF('June 2027'!$B:$B,'PTO SUMMARY 2027'!AF91,'June 2027'!$AK:$AK)</f>
        <v>0</v>
      </c>
      <c r="AT91" s="1">
        <f t="shared" si="72"/>
        <v>0</v>
      </c>
      <c r="AU91" s="1">
        <v>0</v>
      </c>
      <c r="AV91" s="1">
        <v>0</v>
      </c>
      <c r="AW91" s="3">
        <v>0</v>
      </c>
      <c r="AX91" s="31">
        <v>0</v>
      </c>
      <c r="AY91" s="31">
        <v>0</v>
      </c>
      <c r="AZ91" s="30">
        <f t="shared" si="73"/>
        <v>0</v>
      </c>
      <c r="BA91" s="3">
        <f t="shared" si="86"/>
        <v>0</v>
      </c>
      <c r="BB91" s="2">
        <f>SUMIF('July 2027'!$B:$B,'PTO SUMMARY 2027'!AK91,'July 2027'!$AK:$AK)</f>
        <v>0</v>
      </c>
      <c r="BC91" s="1">
        <f t="shared" si="74"/>
        <v>0</v>
      </c>
      <c r="BD91" s="1">
        <v>0</v>
      </c>
      <c r="BE91" s="1">
        <v>0</v>
      </c>
      <c r="BF91" s="3">
        <f t="shared" si="87"/>
        <v>0</v>
      </c>
      <c r="BG91" s="2">
        <f>SUMIF('August 2027'!$B:$B,'PTO SUMMARY 2027'!AP91,'August 2027'!$AK:$AK)</f>
        <v>0</v>
      </c>
      <c r="BH91" s="1">
        <f t="shared" si="75"/>
        <v>0</v>
      </c>
      <c r="BI91" s="1">
        <v>0</v>
      </c>
      <c r="BJ91" s="1">
        <v>0</v>
      </c>
      <c r="BK91" s="3">
        <f t="shared" si="88"/>
        <v>0</v>
      </c>
      <c r="BL91" s="2">
        <f>SUMIF('September 2027'!$B:$B,'PTO SUMMARY 2027'!AU91,'September 2027'!$AK:$AK)</f>
        <v>0</v>
      </c>
      <c r="BM91" s="1">
        <f t="shared" si="76"/>
        <v>0</v>
      </c>
      <c r="BN91" s="1">
        <v>0</v>
      </c>
      <c r="BO91" s="1">
        <v>0</v>
      </c>
      <c r="BP91" s="3">
        <v>0</v>
      </c>
      <c r="BQ91" s="31">
        <v>0</v>
      </c>
      <c r="BR91" s="31">
        <v>0</v>
      </c>
      <c r="BS91" s="30">
        <f t="shared" si="65"/>
        <v>0</v>
      </c>
      <c r="BT91" s="3">
        <f t="shared" si="89"/>
        <v>0</v>
      </c>
      <c r="BU91" s="2">
        <f>SUMIF('October 2027'!$B:$B,'PTO SUMMARY 2027'!BH91,'October 2027'!$AK:$AK)</f>
        <v>0</v>
      </c>
      <c r="BV91" s="1">
        <f t="shared" si="77"/>
        <v>0</v>
      </c>
      <c r="BW91" s="1">
        <v>0</v>
      </c>
      <c r="BX91" s="1">
        <v>0</v>
      </c>
      <c r="BY91" s="3">
        <f t="shared" si="90"/>
        <v>0</v>
      </c>
      <c r="BZ91" s="2">
        <f>SUMIF('November 2027'!$B:$B,'PTO SUMMARY 2027'!BM91,'November 2027'!$AK:$AK)</f>
        <v>0</v>
      </c>
      <c r="CA91" s="1">
        <f t="shared" si="78"/>
        <v>0</v>
      </c>
      <c r="CB91" s="1">
        <v>0</v>
      </c>
      <c r="CC91" s="1">
        <v>0</v>
      </c>
      <c r="CD91" s="3">
        <f t="shared" si="91"/>
        <v>0</v>
      </c>
      <c r="CE91" s="2">
        <f>SUMIF('December 2027'!$B:$B,'PTO SUMMARY 2027'!$B:$B,'December 2027'!$AK:$AK)</f>
        <v>0</v>
      </c>
      <c r="CF91" s="1">
        <f t="shared" si="79"/>
        <v>0</v>
      </c>
      <c r="CG91" s="1">
        <v>0</v>
      </c>
      <c r="CH91" s="1">
        <v>0</v>
      </c>
      <c r="CI91" s="1">
        <v>0</v>
      </c>
      <c r="CJ91" s="3">
        <v>0</v>
      </c>
      <c r="CK91" s="31">
        <v>0</v>
      </c>
      <c r="CL91" s="31">
        <v>0</v>
      </c>
      <c r="CM91" s="31">
        <v>0</v>
      </c>
      <c r="CN91" s="30">
        <f t="shared" si="92"/>
        <v>0</v>
      </c>
    </row>
    <row r="92" spans="1:92">
      <c r="A92" s="8" t="s">
        <v>261</v>
      </c>
      <c r="B92" s="8" t="s">
        <v>262</v>
      </c>
      <c r="C92" s="8" t="s">
        <v>64</v>
      </c>
      <c r="D92" s="9" t="s">
        <v>70</v>
      </c>
      <c r="E92" t="s">
        <v>71</v>
      </c>
      <c r="F92" s="12" t="s">
        <v>190</v>
      </c>
      <c r="G92" s="7">
        <v>1</v>
      </c>
      <c r="H92" s="11">
        <f>((G92*86.67)*2)*(SUMIF('Accrual Rates'!B:B,'PTO SUMMARY 2027'!B92,'Accrual Rates'!G:G))</f>
        <v>15.999975360000001</v>
      </c>
      <c r="I92" s="33">
        <v>0</v>
      </c>
      <c r="J92" s="1">
        <v>0</v>
      </c>
      <c r="K92" s="1">
        <v>0</v>
      </c>
      <c r="L92" s="1">
        <v>0</v>
      </c>
      <c r="M92" s="32">
        <v>0</v>
      </c>
      <c r="N92" s="2">
        <f t="shared" si="80"/>
        <v>15.999975360000001</v>
      </c>
      <c r="O92" s="2">
        <f>SUMIF('January 2027'!$B:$B,'PTO SUMMARY 2027'!B92,'January 2027'!$AK:$AK)</f>
        <v>-4</v>
      </c>
      <c r="P92" s="1">
        <f t="shared" si="66"/>
        <v>19.999975360000001</v>
      </c>
      <c r="Q92" s="1">
        <v>0</v>
      </c>
      <c r="R92" s="1">
        <v>0</v>
      </c>
      <c r="S92" s="3">
        <f t="shared" si="81"/>
        <v>15.999975360000001</v>
      </c>
      <c r="T92" s="2">
        <f>SUMIF('February 2027'!$B:$B,'PTO SUMMARY 2027'!G92,'February 2027'!$AK:$AK)</f>
        <v>0</v>
      </c>
      <c r="U92" s="154">
        <v>0</v>
      </c>
      <c r="V92" s="1">
        <f t="shared" si="67"/>
        <v>35.999950720000001</v>
      </c>
      <c r="W92" s="1">
        <v>0</v>
      </c>
      <c r="X92" s="1">
        <v>0</v>
      </c>
      <c r="Y92" s="3">
        <f t="shared" si="82"/>
        <v>15.999975360000001</v>
      </c>
      <c r="Z92" s="2">
        <f>SUMIF('March 2027'!$B:$B,'PTO SUMMARY 2027'!M92,'March 2027'!$AK:$AK)</f>
        <v>0</v>
      </c>
      <c r="AA92" s="1">
        <f t="shared" si="93"/>
        <v>51.999926080000002</v>
      </c>
      <c r="AB92" s="1">
        <v>0</v>
      </c>
      <c r="AC92" s="1">
        <v>0</v>
      </c>
      <c r="AD92" s="3">
        <v>0</v>
      </c>
      <c r="AE92" s="31">
        <f t="shared" si="68"/>
        <v>0</v>
      </c>
      <c r="AF92" s="31">
        <v>0</v>
      </c>
      <c r="AG92" s="30">
        <f t="shared" si="69"/>
        <v>0</v>
      </c>
      <c r="AH92" s="2">
        <f t="shared" si="83"/>
        <v>15.999975360000001</v>
      </c>
      <c r="AI92" s="2">
        <f>SUMIF('April 2027'!$B:$B,'PTO SUMMARY 2027'!V92,'April 2027'!$AK:$AK)</f>
        <v>0</v>
      </c>
      <c r="AJ92" s="1">
        <f t="shared" si="70"/>
        <v>67.999901440000002</v>
      </c>
      <c r="AK92" s="1">
        <v>0</v>
      </c>
      <c r="AL92" s="1">
        <v>0</v>
      </c>
      <c r="AM92" s="3">
        <f t="shared" si="84"/>
        <v>15.999975360000001</v>
      </c>
      <c r="AN92" s="2">
        <f>SUMIF('May 2027'!$B:$B,'PTO SUMMARY 2027'!AA92,'May 2027'!$AK:$AK)</f>
        <v>0</v>
      </c>
      <c r="AO92" s="1">
        <f t="shared" si="71"/>
        <v>84</v>
      </c>
      <c r="AP92" s="1">
        <v>0</v>
      </c>
      <c r="AQ92" s="1">
        <v>0</v>
      </c>
      <c r="AR92" s="3">
        <f t="shared" si="85"/>
        <v>15.999975360000001</v>
      </c>
      <c r="AS92" s="2">
        <f>SUMIF('June 2027'!$B:$B,'PTO SUMMARY 2027'!AF92,'June 2027'!$AK:$AK)</f>
        <v>0</v>
      </c>
      <c r="AT92" s="1">
        <f t="shared" si="72"/>
        <v>99.999975360000008</v>
      </c>
      <c r="AU92" s="1">
        <v>0</v>
      </c>
      <c r="AV92" s="1">
        <v>0</v>
      </c>
      <c r="AW92" s="3">
        <v>0</v>
      </c>
      <c r="AX92" s="31">
        <v>0</v>
      </c>
      <c r="AY92" s="31">
        <v>0</v>
      </c>
      <c r="AZ92" s="30">
        <f t="shared" si="73"/>
        <v>0</v>
      </c>
      <c r="BA92" s="3">
        <f t="shared" si="86"/>
        <v>15.999975360000001</v>
      </c>
      <c r="BB92" s="2">
        <f>SUMIF('July 2027'!$B:$B,'PTO SUMMARY 2027'!AK92,'July 2027'!$AK:$AK)</f>
        <v>0</v>
      </c>
      <c r="BC92" s="1">
        <f t="shared" si="74"/>
        <v>115.99995072000002</v>
      </c>
      <c r="BD92" s="1">
        <v>0</v>
      </c>
      <c r="BE92" s="1">
        <v>0</v>
      </c>
      <c r="BF92" s="3">
        <f t="shared" si="87"/>
        <v>15.999975360000001</v>
      </c>
      <c r="BG92" s="2">
        <f>SUMIF('August 2027'!$B:$B,'PTO SUMMARY 2027'!AP92,'August 2027'!$AK:$AK)</f>
        <v>0</v>
      </c>
      <c r="BH92" s="1">
        <f t="shared" si="75"/>
        <v>131.99992608000002</v>
      </c>
      <c r="BI92" s="1">
        <v>0</v>
      </c>
      <c r="BJ92" s="1">
        <v>0</v>
      </c>
      <c r="BK92" s="3">
        <f t="shared" si="88"/>
        <v>15.999975360000001</v>
      </c>
      <c r="BL92" s="2">
        <f>SUMIF('September 2027'!$B:$B,'PTO SUMMARY 2027'!AU92,'September 2027'!$AK:$AK)</f>
        <v>0</v>
      </c>
      <c r="BM92" s="1">
        <f t="shared" si="76"/>
        <v>147.99990144000003</v>
      </c>
      <c r="BN92" s="1">
        <v>0</v>
      </c>
      <c r="BO92" s="1">
        <v>0</v>
      </c>
      <c r="BP92" s="3">
        <v>0</v>
      </c>
      <c r="BQ92" s="31">
        <v>0</v>
      </c>
      <c r="BR92" s="31">
        <v>0</v>
      </c>
      <c r="BS92" s="30">
        <f t="shared" si="65"/>
        <v>0</v>
      </c>
      <c r="BT92" s="3">
        <f t="shared" si="89"/>
        <v>15.999975360000001</v>
      </c>
      <c r="BU92" s="2">
        <f>SUMIF('October 2027'!$B:$B,'PTO SUMMARY 2027'!BH92,'October 2027'!$AK:$AK)</f>
        <v>0</v>
      </c>
      <c r="BV92" s="1">
        <f t="shared" si="77"/>
        <v>163.99987680000004</v>
      </c>
      <c r="BW92" s="1">
        <v>0</v>
      </c>
      <c r="BX92" s="1">
        <v>0</v>
      </c>
      <c r="BY92" s="3">
        <f t="shared" si="90"/>
        <v>15.999975360000001</v>
      </c>
      <c r="BZ92" s="2">
        <f>SUMIF('November 2027'!$B:$B,'PTO SUMMARY 2027'!BM92,'November 2027'!$AK:$AK)</f>
        <v>0</v>
      </c>
      <c r="CA92" s="1">
        <f t="shared" si="78"/>
        <v>179.99985216000005</v>
      </c>
      <c r="CB92" s="1">
        <v>0</v>
      </c>
      <c r="CC92" s="1">
        <v>0</v>
      </c>
      <c r="CD92" s="3">
        <f t="shared" si="91"/>
        <v>15.999975360000001</v>
      </c>
      <c r="CE92" s="2">
        <f>SUMIF('December 2027'!$B:$B,'PTO SUMMARY 2027'!$B:$B,'December 2027'!$AK:$AK)</f>
        <v>0</v>
      </c>
      <c r="CF92" s="1">
        <f t="shared" si="79"/>
        <v>195.99982752000005</v>
      </c>
      <c r="CG92" s="1">
        <v>0</v>
      </c>
      <c r="CH92" s="1">
        <v>0</v>
      </c>
      <c r="CI92" s="1">
        <v>0</v>
      </c>
      <c r="CJ92" s="3">
        <v>0</v>
      </c>
      <c r="CK92" s="31">
        <v>0</v>
      </c>
      <c r="CL92" s="31">
        <v>0</v>
      </c>
      <c r="CM92" s="31">
        <v>0</v>
      </c>
      <c r="CN92" s="30">
        <f t="shared" si="92"/>
        <v>0</v>
      </c>
    </row>
    <row r="93" spans="1:92">
      <c r="A93" s="8" t="s">
        <v>263</v>
      </c>
      <c r="B93" s="8" t="s">
        <v>264</v>
      </c>
      <c r="C93" s="8" t="s">
        <v>64</v>
      </c>
      <c r="D93" s="9" t="s">
        <v>70</v>
      </c>
      <c r="E93" t="s">
        <v>71</v>
      </c>
      <c r="F93" s="12" t="s">
        <v>67</v>
      </c>
      <c r="G93" s="7">
        <v>1</v>
      </c>
      <c r="H93" s="11">
        <f>((G93*86.67)*2)*(SUMIF('Accrual Rates'!B:B,'PTO SUMMARY 2027'!B93,'Accrual Rates'!G:G))</f>
        <v>15.999975360000001</v>
      </c>
      <c r="I93" s="33">
        <v>0</v>
      </c>
      <c r="J93" s="1">
        <v>0</v>
      </c>
      <c r="K93" s="1">
        <v>0</v>
      </c>
      <c r="L93" s="1">
        <v>0</v>
      </c>
      <c r="M93" s="32">
        <v>0</v>
      </c>
      <c r="N93" s="2">
        <f t="shared" si="80"/>
        <v>15.999975360000001</v>
      </c>
      <c r="O93" s="2">
        <f>SUMIF('January 2027'!$B:$B,'PTO SUMMARY 2027'!B93,'January 2027'!$AK:$AK)</f>
        <v>0</v>
      </c>
      <c r="P93" s="1">
        <f t="shared" si="66"/>
        <v>15.999975360000001</v>
      </c>
      <c r="Q93" s="1">
        <v>0</v>
      </c>
      <c r="R93" s="1">
        <v>0</v>
      </c>
      <c r="S93" s="3">
        <f t="shared" si="81"/>
        <v>15.999975360000001</v>
      </c>
      <c r="T93" s="2">
        <f>SUMIF('February 2027'!$B:$B,'PTO SUMMARY 2027'!G93,'February 2027'!$AK:$AK)</f>
        <v>0</v>
      </c>
      <c r="U93" s="154">
        <v>0</v>
      </c>
      <c r="V93" s="1">
        <f t="shared" si="67"/>
        <v>31.999950720000001</v>
      </c>
      <c r="W93" s="1">
        <v>0</v>
      </c>
      <c r="X93" s="1">
        <v>0</v>
      </c>
      <c r="Y93" s="3">
        <f t="shared" si="82"/>
        <v>15.999975360000001</v>
      </c>
      <c r="Z93" s="2">
        <f>SUMIF('March 2027'!$B:$B,'PTO SUMMARY 2027'!M93,'March 2027'!$AK:$AK)</f>
        <v>0</v>
      </c>
      <c r="AA93" s="1">
        <f t="shared" si="93"/>
        <v>47.999926080000002</v>
      </c>
      <c r="AB93" s="1">
        <v>0</v>
      </c>
      <c r="AC93" s="1">
        <v>0</v>
      </c>
      <c r="AD93" s="3">
        <v>0</v>
      </c>
      <c r="AE93" s="31">
        <f t="shared" si="68"/>
        <v>0</v>
      </c>
      <c r="AF93" s="31">
        <v>0</v>
      </c>
      <c r="AG93" s="30">
        <f t="shared" si="69"/>
        <v>0</v>
      </c>
      <c r="AH93" s="2">
        <f t="shared" si="83"/>
        <v>15.999975360000001</v>
      </c>
      <c r="AI93" s="2">
        <f>SUMIF('April 2027'!$B:$B,'PTO SUMMARY 2027'!V93,'April 2027'!$AK:$AK)</f>
        <v>0</v>
      </c>
      <c r="AJ93" s="1">
        <f t="shared" si="70"/>
        <v>63.999901440000002</v>
      </c>
      <c r="AK93" s="1">
        <v>0</v>
      </c>
      <c r="AL93" s="1">
        <v>0</v>
      </c>
      <c r="AM93" s="3">
        <f t="shared" si="84"/>
        <v>15.999975360000001</v>
      </c>
      <c r="AN93" s="2">
        <f>SUMIF('May 2027'!$B:$B,'PTO SUMMARY 2027'!AA93,'May 2027'!$AK:$AK)</f>
        <v>0</v>
      </c>
      <c r="AO93" s="1">
        <f t="shared" si="71"/>
        <v>80</v>
      </c>
      <c r="AP93" s="1">
        <v>0</v>
      </c>
      <c r="AQ93" s="1">
        <v>0</v>
      </c>
      <c r="AR93" s="3">
        <f t="shared" si="85"/>
        <v>15.999975360000001</v>
      </c>
      <c r="AS93" s="2">
        <f>SUMIF('June 2027'!$B:$B,'PTO SUMMARY 2027'!AF93,'June 2027'!$AK:$AK)</f>
        <v>0</v>
      </c>
      <c r="AT93" s="1">
        <f t="shared" si="72"/>
        <v>95.999975360000008</v>
      </c>
      <c r="AU93" s="1">
        <v>0</v>
      </c>
      <c r="AV93" s="1">
        <v>0</v>
      </c>
      <c r="AW93" s="3">
        <v>0</v>
      </c>
      <c r="AX93" s="31">
        <v>0</v>
      </c>
      <c r="AY93" s="31">
        <v>0</v>
      </c>
      <c r="AZ93" s="30">
        <f t="shared" si="73"/>
        <v>0</v>
      </c>
      <c r="BA93" s="3">
        <f t="shared" si="86"/>
        <v>15.999975360000001</v>
      </c>
      <c r="BB93" s="2">
        <f>SUMIF('July 2027'!$B:$B,'PTO SUMMARY 2027'!AK93,'July 2027'!$AK:$AK)</f>
        <v>0</v>
      </c>
      <c r="BC93" s="1">
        <f t="shared" si="74"/>
        <v>111.99995072000002</v>
      </c>
      <c r="BD93" s="1">
        <v>0</v>
      </c>
      <c r="BE93" s="1">
        <v>0</v>
      </c>
      <c r="BF93" s="3">
        <f t="shared" si="87"/>
        <v>15.999975360000001</v>
      </c>
      <c r="BG93" s="2">
        <f>SUMIF('August 2027'!$B:$B,'PTO SUMMARY 2027'!AP93,'August 2027'!$AK:$AK)</f>
        <v>0</v>
      </c>
      <c r="BH93" s="1">
        <f t="shared" si="75"/>
        <v>127.99992608000002</v>
      </c>
      <c r="BI93" s="1">
        <v>0</v>
      </c>
      <c r="BJ93" s="1">
        <v>0</v>
      </c>
      <c r="BK93" s="3">
        <f t="shared" si="88"/>
        <v>15.999975360000001</v>
      </c>
      <c r="BL93" s="2">
        <f>SUMIF('September 2027'!$B:$B,'PTO SUMMARY 2027'!AU93,'September 2027'!$AK:$AK)</f>
        <v>0</v>
      </c>
      <c r="BM93" s="1">
        <f t="shared" si="76"/>
        <v>143.99990144000003</v>
      </c>
      <c r="BN93" s="1">
        <v>0</v>
      </c>
      <c r="BO93" s="1">
        <v>0</v>
      </c>
      <c r="BP93" s="3">
        <v>0</v>
      </c>
      <c r="BQ93" s="31">
        <v>0</v>
      </c>
      <c r="BR93" s="31">
        <v>0</v>
      </c>
      <c r="BS93" s="30">
        <f t="shared" si="65"/>
        <v>0</v>
      </c>
      <c r="BT93" s="3">
        <f t="shared" si="89"/>
        <v>15.999975360000001</v>
      </c>
      <c r="BU93" s="2">
        <f>SUMIF('October 2027'!$B:$B,'PTO SUMMARY 2027'!BH93,'October 2027'!$AK:$AK)</f>
        <v>0</v>
      </c>
      <c r="BV93" s="1">
        <f t="shared" si="77"/>
        <v>159.99987680000004</v>
      </c>
      <c r="BW93" s="1">
        <v>0</v>
      </c>
      <c r="BX93" s="1">
        <v>0</v>
      </c>
      <c r="BY93" s="3">
        <f t="shared" si="90"/>
        <v>15.999975360000001</v>
      </c>
      <c r="BZ93" s="2">
        <f>SUMIF('November 2027'!$B:$B,'PTO SUMMARY 2027'!BM93,'November 2027'!$AK:$AK)</f>
        <v>0</v>
      </c>
      <c r="CA93" s="1">
        <f t="shared" si="78"/>
        <v>175.99985216000005</v>
      </c>
      <c r="CB93" s="1">
        <v>0</v>
      </c>
      <c r="CC93" s="1">
        <v>0</v>
      </c>
      <c r="CD93" s="3">
        <f t="shared" si="91"/>
        <v>15.999975360000001</v>
      </c>
      <c r="CE93" s="2">
        <f>SUMIF('December 2027'!$B:$B,'PTO SUMMARY 2027'!$B:$B,'December 2027'!$AK:$AK)</f>
        <v>0</v>
      </c>
      <c r="CF93" s="1">
        <f t="shared" si="79"/>
        <v>191.99982752000005</v>
      </c>
      <c r="CG93" s="1">
        <v>0</v>
      </c>
      <c r="CH93" s="1">
        <v>0</v>
      </c>
      <c r="CI93" s="1">
        <v>0</v>
      </c>
      <c r="CJ93" s="3">
        <v>0</v>
      </c>
      <c r="CK93" s="31">
        <v>0</v>
      </c>
      <c r="CL93" s="31">
        <v>0</v>
      </c>
      <c r="CM93" s="31">
        <v>0</v>
      </c>
      <c r="CN93" s="30">
        <f t="shared" si="92"/>
        <v>0</v>
      </c>
    </row>
    <row r="94" spans="1:92">
      <c r="A94" s="35" t="s">
        <v>265</v>
      </c>
      <c r="B94" s="8" t="s">
        <v>266</v>
      </c>
      <c r="C94" s="8" t="s">
        <v>64</v>
      </c>
      <c r="D94" s="9" t="s">
        <v>65</v>
      </c>
      <c r="E94" s="36" t="s">
        <v>66</v>
      </c>
      <c r="F94" s="12" t="s">
        <v>67</v>
      </c>
      <c r="G94" s="7">
        <v>0.75</v>
      </c>
      <c r="H94" s="34">
        <v>0</v>
      </c>
      <c r="I94" s="33">
        <v>0</v>
      </c>
      <c r="J94" s="1">
        <v>0</v>
      </c>
      <c r="K94" s="1">
        <v>0</v>
      </c>
      <c r="L94" s="1">
        <v>0</v>
      </c>
      <c r="M94" s="32">
        <v>0</v>
      </c>
      <c r="N94" s="2">
        <f t="shared" si="80"/>
        <v>0</v>
      </c>
      <c r="O94" s="2">
        <f>SUMIF('January 2027'!$B:$B,'PTO SUMMARY 2027'!B94,'January 2027'!$AK:$AK)</f>
        <v>0</v>
      </c>
      <c r="P94" s="1">
        <f t="shared" si="66"/>
        <v>0</v>
      </c>
      <c r="Q94" s="1">
        <v>0</v>
      </c>
      <c r="R94" s="1">
        <v>0</v>
      </c>
      <c r="S94" s="3">
        <f t="shared" si="81"/>
        <v>0</v>
      </c>
      <c r="T94" s="2">
        <f>SUMIF('February 2027'!$B:$B,'PTO SUMMARY 2027'!G94,'February 2027'!$AK:$AK)</f>
        <v>0</v>
      </c>
      <c r="U94" s="154">
        <v>0</v>
      </c>
      <c r="V94" s="1">
        <f t="shared" si="67"/>
        <v>0</v>
      </c>
      <c r="W94" s="1">
        <v>0</v>
      </c>
      <c r="X94" s="1">
        <v>0</v>
      </c>
      <c r="Y94" s="3">
        <f t="shared" si="82"/>
        <v>0</v>
      </c>
      <c r="Z94" s="2">
        <f>SUMIF('March 2027'!$B:$B,'PTO SUMMARY 2027'!M94,'March 2027'!$AK:$AK)</f>
        <v>0</v>
      </c>
      <c r="AA94" s="1">
        <f t="shared" si="93"/>
        <v>0</v>
      </c>
      <c r="AB94" s="1">
        <v>0</v>
      </c>
      <c r="AC94" s="1">
        <v>0</v>
      </c>
      <c r="AD94" s="3">
        <v>0</v>
      </c>
      <c r="AE94" s="31">
        <f t="shared" si="68"/>
        <v>0</v>
      </c>
      <c r="AF94" s="31">
        <v>0</v>
      </c>
      <c r="AG94" s="30">
        <f t="shared" si="69"/>
        <v>0</v>
      </c>
      <c r="AH94" s="2">
        <f t="shared" si="83"/>
        <v>0</v>
      </c>
      <c r="AI94" s="2">
        <f>SUMIF('April 2027'!$B:$B,'PTO SUMMARY 2027'!V94,'April 2027'!$AK:$AK)</f>
        <v>0</v>
      </c>
      <c r="AJ94" s="1">
        <f t="shared" si="70"/>
        <v>0</v>
      </c>
      <c r="AK94" s="1">
        <v>0</v>
      </c>
      <c r="AL94" s="1">
        <v>0</v>
      </c>
      <c r="AM94" s="3">
        <f t="shared" si="84"/>
        <v>0</v>
      </c>
      <c r="AN94" s="2">
        <f>SUMIF('May 2027'!$B:$B,'PTO SUMMARY 2027'!AA94,'May 2027'!$AK:$AK)</f>
        <v>0</v>
      </c>
      <c r="AO94" s="1">
        <f t="shared" si="71"/>
        <v>0</v>
      </c>
      <c r="AP94" s="1">
        <v>0</v>
      </c>
      <c r="AQ94" s="1">
        <v>0</v>
      </c>
      <c r="AR94" s="3">
        <f t="shared" si="85"/>
        <v>0</v>
      </c>
      <c r="AS94" s="2">
        <f>SUMIF('June 2027'!$B:$B,'PTO SUMMARY 2027'!AF94,'June 2027'!$AK:$AK)</f>
        <v>0</v>
      </c>
      <c r="AT94" s="1">
        <f t="shared" si="72"/>
        <v>0</v>
      </c>
      <c r="AU94" s="1">
        <v>0</v>
      </c>
      <c r="AV94" s="1">
        <v>0</v>
      </c>
      <c r="AW94" s="3">
        <v>0</v>
      </c>
      <c r="AX94" s="31">
        <v>0</v>
      </c>
      <c r="AY94" s="31">
        <v>0</v>
      </c>
      <c r="AZ94" s="30">
        <f t="shared" si="73"/>
        <v>0</v>
      </c>
      <c r="BA94" s="3">
        <f t="shared" si="86"/>
        <v>0</v>
      </c>
      <c r="BB94" s="2">
        <f>SUMIF('July 2027'!$B:$B,'PTO SUMMARY 2027'!AK94,'July 2027'!$AK:$AK)</f>
        <v>0</v>
      </c>
      <c r="BC94" s="1">
        <f t="shared" si="74"/>
        <v>0</v>
      </c>
      <c r="BD94" s="1">
        <v>0</v>
      </c>
      <c r="BE94" s="1">
        <v>0</v>
      </c>
      <c r="BF94" s="3">
        <f t="shared" si="87"/>
        <v>0</v>
      </c>
      <c r="BG94" s="2">
        <f>SUMIF('August 2027'!$B:$B,'PTO SUMMARY 2027'!AP94,'August 2027'!$AK:$AK)</f>
        <v>0</v>
      </c>
      <c r="BH94" s="1">
        <f t="shared" si="75"/>
        <v>0</v>
      </c>
      <c r="BI94" s="1">
        <v>0</v>
      </c>
      <c r="BJ94" s="1">
        <v>0</v>
      </c>
      <c r="BK94" s="3">
        <f t="shared" si="88"/>
        <v>0</v>
      </c>
      <c r="BL94" s="2">
        <f>SUMIF('September 2027'!$B:$B,'PTO SUMMARY 2027'!AU94,'September 2027'!$AK:$AK)</f>
        <v>0</v>
      </c>
      <c r="BM94" s="1">
        <f t="shared" si="76"/>
        <v>0</v>
      </c>
      <c r="BN94" s="1">
        <v>0</v>
      </c>
      <c r="BO94" s="1">
        <v>0</v>
      </c>
      <c r="BP94" s="3">
        <v>0</v>
      </c>
      <c r="BQ94" s="31">
        <v>0</v>
      </c>
      <c r="BR94" s="31">
        <v>0</v>
      </c>
      <c r="BS94" s="30">
        <f t="shared" si="65"/>
        <v>0</v>
      </c>
      <c r="BT94" s="3">
        <f t="shared" si="89"/>
        <v>0</v>
      </c>
      <c r="BU94" s="2">
        <f>SUMIF('October 2027'!$B:$B,'PTO SUMMARY 2027'!BH94,'October 2027'!$AK:$AK)</f>
        <v>0</v>
      </c>
      <c r="BV94" s="1">
        <f t="shared" si="77"/>
        <v>0</v>
      </c>
      <c r="BW94" s="1">
        <v>0</v>
      </c>
      <c r="BX94" s="1">
        <v>0</v>
      </c>
      <c r="BY94" s="3">
        <f t="shared" si="90"/>
        <v>0</v>
      </c>
      <c r="BZ94" s="2">
        <f>SUMIF('November 2027'!$B:$B,'PTO SUMMARY 2027'!BM94,'November 2027'!$AK:$AK)</f>
        <v>0</v>
      </c>
      <c r="CA94" s="1">
        <f t="shared" si="78"/>
        <v>0</v>
      </c>
      <c r="CB94" s="1">
        <v>0</v>
      </c>
      <c r="CC94" s="1">
        <v>0</v>
      </c>
      <c r="CD94" s="3">
        <f t="shared" si="91"/>
        <v>0</v>
      </c>
      <c r="CE94" s="2">
        <f>SUMIF('December 2027'!$B:$B,'PTO SUMMARY 2027'!$B:$B,'December 2027'!$AK:$AK)</f>
        <v>0</v>
      </c>
      <c r="CF94" s="1">
        <f t="shared" si="79"/>
        <v>0</v>
      </c>
      <c r="CG94" s="1">
        <v>0</v>
      </c>
      <c r="CH94" s="1">
        <v>0</v>
      </c>
      <c r="CI94" s="1">
        <v>0</v>
      </c>
      <c r="CJ94" s="3">
        <v>0</v>
      </c>
      <c r="CK94" s="31">
        <v>0</v>
      </c>
      <c r="CL94" s="31">
        <v>0</v>
      </c>
      <c r="CM94" s="31">
        <v>0</v>
      </c>
      <c r="CN94" s="30">
        <f t="shared" si="92"/>
        <v>0</v>
      </c>
    </row>
    <row r="95" spans="1:92">
      <c r="A95" s="8" t="s">
        <v>267</v>
      </c>
      <c r="B95" s="8" t="s">
        <v>268</v>
      </c>
      <c r="C95" s="8" t="s">
        <v>75</v>
      </c>
      <c r="D95" s="9" t="s">
        <v>70</v>
      </c>
      <c r="E95" t="s">
        <v>76</v>
      </c>
      <c r="F95" s="12" t="s">
        <v>77</v>
      </c>
      <c r="G95" s="7">
        <v>1</v>
      </c>
      <c r="H95" s="11">
        <f>((G95*86.67)*2)*(SUMIF('Accrual Rates'!B:B,'PTO SUMMARY 2027'!B95,'Accrual Rates'!G:G))</f>
        <v>17.334</v>
      </c>
      <c r="I95" s="33"/>
      <c r="J95" s="1"/>
      <c r="K95" s="1"/>
      <c r="M95" s="32"/>
      <c r="N95" s="2">
        <f t="shared" si="80"/>
        <v>17.334</v>
      </c>
      <c r="O95" s="2">
        <f>SUMIF('January 2027'!$B:$B,'PTO SUMMARY 2027'!B95,'January 2027'!$AK:$AK)</f>
        <v>32</v>
      </c>
      <c r="P95" s="1">
        <f t="shared" ref="P95" si="94">L95+M95+N95-O95</f>
        <v>-14.666</v>
      </c>
      <c r="Q95" s="1">
        <v>0</v>
      </c>
      <c r="R95" s="1">
        <v>0</v>
      </c>
      <c r="S95" s="3">
        <f t="shared" ref="S95" si="95">H95</f>
        <v>17.334</v>
      </c>
      <c r="T95" s="2">
        <f>SUMIF('February 2027'!$B:$B,'PTO SUMMARY 2027'!G95,'February 2027'!$AK:$AK)</f>
        <v>0</v>
      </c>
      <c r="U95" s="154">
        <v>0</v>
      </c>
      <c r="V95" s="1">
        <f t="shared" ref="V95" si="96">P95+S95-T95</f>
        <v>2.6679999999999993</v>
      </c>
      <c r="W95" s="1">
        <v>0</v>
      </c>
      <c r="X95" s="1">
        <v>0</v>
      </c>
      <c r="Y95" s="3">
        <f t="shared" ref="Y95" si="97">H95</f>
        <v>17.334</v>
      </c>
      <c r="Z95" s="2">
        <f>SUMIF('March 2027'!$B:$B,'PTO SUMMARY 2027'!M95,'March 2027'!$AK:$AK)</f>
        <v>0</v>
      </c>
      <c r="AA95" s="1">
        <f t="shared" ref="AA95" si="98">V95+Y95-Z95</f>
        <v>20.001999999999999</v>
      </c>
      <c r="AB95" s="1">
        <v>0</v>
      </c>
      <c r="AC95" s="1">
        <v>0</v>
      </c>
      <c r="AD95" s="3">
        <v>0</v>
      </c>
      <c r="AE95" s="31">
        <f t="shared" ref="AE95" si="99">K95-AD95</f>
        <v>0</v>
      </c>
      <c r="AF95" s="31">
        <v>0</v>
      </c>
      <c r="AG95" s="30">
        <f t="shared" ref="AG95" si="100">AE95-AF95</f>
        <v>0</v>
      </c>
      <c r="AH95" s="2">
        <f t="shared" ref="AH95" si="101">H95</f>
        <v>17.334</v>
      </c>
      <c r="AI95" s="2">
        <f>SUMIF('April 2027'!$B:$B,'PTO SUMMARY 2027'!V95,'April 2027'!$AK:$AK)</f>
        <v>0</v>
      </c>
      <c r="AJ95" s="1">
        <f t="shared" ref="AJ95" si="102">AA95+AH95-AI95</f>
        <v>37.335999999999999</v>
      </c>
      <c r="AK95" s="1">
        <v>0</v>
      </c>
      <c r="AL95" s="1">
        <v>0</v>
      </c>
      <c r="AM95" s="3">
        <f t="shared" ref="AM95" si="103">H95</f>
        <v>17.334</v>
      </c>
      <c r="AN95" s="2">
        <f>SUMIF('May 2027'!$B:$B,'PTO SUMMARY 2027'!AA95,'May 2027'!$AK:$AK)</f>
        <v>0</v>
      </c>
      <c r="AO95" s="1">
        <f t="shared" ref="AO95" si="104">ROUND((AJ95+AM95-AN95),2)</f>
        <v>54.67</v>
      </c>
      <c r="AP95" s="1">
        <v>0</v>
      </c>
      <c r="AQ95" s="1">
        <v>0</v>
      </c>
      <c r="AR95" s="3">
        <f t="shared" ref="AR95" si="105">H95</f>
        <v>17.334</v>
      </c>
      <c r="AS95" s="2">
        <f>SUMIF('June 2027'!$B:$B,'PTO SUMMARY 2027'!AF95,'June 2027'!$AK:$AK)</f>
        <v>0</v>
      </c>
      <c r="AT95" s="1">
        <f t="shared" ref="AT95" si="106">AO95+AR95-AS95</f>
        <v>72.004000000000005</v>
      </c>
      <c r="AU95" s="1">
        <v>0</v>
      </c>
      <c r="AV95" s="1">
        <v>0</v>
      </c>
      <c r="AW95" s="3">
        <v>0</v>
      </c>
      <c r="AX95" s="31">
        <v>0</v>
      </c>
      <c r="AY95" s="31">
        <v>0</v>
      </c>
      <c r="AZ95" s="30">
        <f t="shared" ref="AZ95" si="107">AX95-AY95</f>
        <v>0</v>
      </c>
      <c r="BA95" s="3">
        <f t="shared" ref="BA95" si="108">H95</f>
        <v>17.334</v>
      </c>
      <c r="BB95" s="2">
        <f>SUMIF('July 2027'!$B:$B,'PTO SUMMARY 2027'!AK95,'July 2027'!$AK:$AK)</f>
        <v>0</v>
      </c>
      <c r="BC95" s="1">
        <f t="shared" ref="BC95" si="109">AT95+BA95-BB95</f>
        <v>89.338000000000008</v>
      </c>
      <c r="BD95" s="1">
        <v>0</v>
      </c>
      <c r="BE95" s="1">
        <v>0</v>
      </c>
      <c r="BF95" s="3">
        <f t="shared" ref="BF95" si="110">H95</f>
        <v>17.334</v>
      </c>
      <c r="BG95" s="2">
        <f>SUMIF('August 2027'!$B:$B,'PTO SUMMARY 2027'!AP95,'August 2027'!$AK:$AK)</f>
        <v>0</v>
      </c>
      <c r="BH95" s="1">
        <f t="shared" ref="BH95" si="111">BC95+BF95-BG95</f>
        <v>106.67200000000001</v>
      </c>
      <c r="BI95" s="1">
        <v>0</v>
      </c>
      <c r="BJ95" s="1">
        <v>0</v>
      </c>
      <c r="BK95" s="3">
        <f t="shared" ref="BK95" si="112">H95</f>
        <v>17.334</v>
      </c>
      <c r="BL95" s="2">
        <f>SUMIF('September 2027'!$B:$B,'PTO SUMMARY 2027'!AU95,'September 2027'!$AK:$AK)</f>
        <v>0</v>
      </c>
      <c r="BM95" s="1">
        <f t="shared" ref="BM95" si="113">BH95+BK95-BL95</f>
        <v>124.00600000000001</v>
      </c>
      <c r="BN95" s="1">
        <v>0</v>
      </c>
      <c r="BO95" s="1">
        <v>0</v>
      </c>
      <c r="BP95" s="3">
        <v>0</v>
      </c>
      <c r="BQ95" s="31">
        <v>0</v>
      </c>
      <c r="BR95" s="31">
        <v>0</v>
      </c>
      <c r="BS95" s="30">
        <f t="shared" ref="BS95" si="114">BQ95-BR95</f>
        <v>0</v>
      </c>
      <c r="BT95" s="3">
        <f t="shared" ref="BT95" si="115">H95</f>
        <v>17.334</v>
      </c>
      <c r="BU95" s="2">
        <f>SUMIF('October 2027'!$B:$B,'PTO SUMMARY 2027'!BH95,'October 2027'!$AK:$AK)</f>
        <v>0</v>
      </c>
      <c r="BV95" s="1">
        <f t="shared" ref="BV95" si="116">BM95+BT95-BU95</f>
        <v>141.34</v>
      </c>
      <c r="BW95" s="1">
        <v>0</v>
      </c>
      <c r="BX95" s="1">
        <v>0</v>
      </c>
      <c r="BY95" s="3">
        <f t="shared" ref="BY95" si="117">H95</f>
        <v>17.334</v>
      </c>
      <c r="BZ95" s="2">
        <f>SUMIF('November 2027'!$B:$B,'PTO SUMMARY 2027'!BM95,'November 2027'!$AK:$AK)</f>
        <v>0</v>
      </c>
      <c r="CA95" s="1">
        <f t="shared" ref="CA95" si="118">BV95+BY95-BZ95</f>
        <v>158.67400000000001</v>
      </c>
      <c r="CB95" s="1">
        <v>0</v>
      </c>
      <c r="CC95" s="1">
        <v>0</v>
      </c>
      <c r="CD95" s="3">
        <f t="shared" ref="CD95" si="119">H95</f>
        <v>17.334</v>
      </c>
      <c r="CE95" s="2">
        <f>SUMIF('December 2027'!$B:$B,'PTO SUMMARY 2027'!$B:$B,'December 2027'!$AK:$AK)</f>
        <v>0</v>
      </c>
      <c r="CF95" s="1">
        <f t="shared" ref="CF95" si="120">CA95+CD95-CE95</f>
        <v>176.00800000000001</v>
      </c>
      <c r="CG95" s="1">
        <v>0</v>
      </c>
      <c r="CH95" s="1">
        <v>0</v>
      </c>
      <c r="CI95" s="1">
        <v>0</v>
      </c>
      <c r="CJ95" s="3">
        <v>0</v>
      </c>
      <c r="CK95" s="31">
        <v>0</v>
      </c>
      <c r="CL95" s="31">
        <v>0</v>
      </c>
      <c r="CM95" s="31">
        <v>0</v>
      </c>
      <c r="CN95" s="30">
        <f t="shared" ref="CN95" si="121">CK95+CL95-CM95</f>
        <v>0</v>
      </c>
    </row>
    <row r="96" spans="1:92">
      <c r="A96" s="35" t="s">
        <v>269</v>
      </c>
      <c r="B96" s="8" t="s">
        <v>270</v>
      </c>
      <c r="C96" s="8" t="s">
        <v>64</v>
      </c>
      <c r="D96" s="9" t="s">
        <v>65</v>
      </c>
      <c r="E96" s="36" t="s">
        <v>66</v>
      </c>
      <c r="F96" s="12" t="s">
        <v>108</v>
      </c>
      <c r="G96" s="7">
        <v>1</v>
      </c>
      <c r="H96" s="34">
        <v>0</v>
      </c>
      <c r="I96" s="33">
        <v>0</v>
      </c>
      <c r="J96" s="1">
        <v>0</v>
      </c>
      <c r="K96" s="1">
        <v>0</v>
      </c>
      <c r="L96" s="1">
        <v>0</v>
      </c>
      <c r="M96" s="32">
        <v>0</v>
      </c>
      <c r="N96" s="2">
        <f t="shared" si="80"/>
        <v>0</v>
      </c>
      <c r="O96" s="2">
        <f>SUMIF('January 2027'!$B:$B,'PTO SUMMARY 2027'!B96,'January 2027'!$AK:$AK)</f>
        <v>0</v>
      </c>
      <c r="P96" s="1">
        <f t="shared" si="66"/>
        <v>0</v>
      </c>
      <c r="Q96" s="1">
        <v>0</v>
      </c>
      <c r="R96" s="1">
        <v>0</v>
      </c>
      <c r="S96" s="3">
        <f t="shared" si="81"/>
        <v>0</v>
      </c>
      <c r="T96" s="2">
        <f>SUMIF('February 2027'!$B:$B,'PTO SUMMARY 2027'!G96,'February 2027'!$AK:$AK)</f>
        <v>0</v>
      </c>
      <c r="U96" s="154">
        <v>0</v>
      </c>
      <c r="V96" s="1">
        <f t="shared" si="67"/>
        <v>0</v>
      </c>
      <c r="W96" s="1">
        <v>0</v>
      </c>
      <c r="X96" s="1">
        <v>0</v>
      </c>
      <c r="Y96" s="3">
        <f t="shared" si="82"/>
        <v>0</v>
      </c>
      <c r="Z96" s="2">
        <f>SUMIF('March 2027'!$B:$B,'PTO SUMMARY 2027'!M96,'March 2027'!$AK:$AK)</f>
        <v>0</v>
      </c>
      <c r="AA96" s="1">
        <f t="shared" si="93"/>
        <v>0</v>
      </c>
      <c r="AB96" s="1">
        <v>0</v>
      </c>
      <c r="AC96" s="1">
        <v>0</v>
      </c>
      <c r="AD96" s="3">
        <v>0</v>
      </c>
      <c r="AE96" s="31">
        <f t="shared" si="68"/>
        <v>0</v>
      </c>
      <c r="AF96" s="31">
        <v>0</v>
      </c>
      <c r="AG96" s="30">
        <f t="shared" si="69"/>
        <v>0</v>
      </c>
      <c r="AH96" s="2">
        <f t="shared" si="83"/>
        <v>0</v>
      </c>
      <c r="AI96" s="2">
        <f>SUMIF('April 2027'!$B:$B,'PTO SUMMARY 2027'!V96,'April 2027'!$AK:$AK)</f>
        <v>0</v>
      </c>
      <c r="AJ96" s="1">
        <f t="shared" si="70"/>
        <v>0</v>
      </c>
      <c r="AK96" s="1">
        <v>0</v>
      </c>
      <c r="AL96" s="1">
        <v>0</v>
      </c>
      <c r="AM96" s="3">
        <f t="shared" si="84"/>
        <v>0</v>
      </c>
      <c r="AN96" s="2">
        <f>SUMIF('May 2027'!$B:$B,'PTO SUMMARY 2027'!AA96,'May 2027'!$AK:$AK)</f>
        <v>0</v>
      </c>
      <c r="AO96" s="1">
        <f t="shared" si="71"/>
        <v>0</v>
      </c>
      <c r="AP96" s="1">
        <v>0</v>
      </c>
      <c r="AQ96" s="1">
        <v>0</v>
      </c>
      <c r="AR96" s="3">
        <f t="shared" si="85"/>
        <v>0</v>
      </c>
      <c r="AS96" s="2">
        <f>SUMIF('June 2027'!$B:$B,'PTO SUMMARY 2027'!AF96,'June 2027'!$AK:$AK)</f>
        <v>0</v>
      </c>
      <c r="AT96" s="1">
        <f t="shared" si="72"/>
        <v>0</v>
      </c>
      <c r="AU96" s="1">
        <v>0</v>
      </c>
      <c r="AV96" s="1">
        <v>0</v>
      </c>
      <c r="AW96" s="3">
        <v>0</v>
      </c>
      <c r="AX96" s="31">
        <v>0</v>
      </c>
      <c r="AY96" s="31">
        <v>0</v>
      </c>
      <c r="AZ96" s="30">
        <f t="shared" si="73"/>
        <v>0</v>
      </c>
      <c r="BA96" s="3">
        <f t="shared" si="86"/>
        <v>0</v>
      </c>
      <c r="BB96" s="2">
        <f>SUMIF('July 2027'!$B:$B,'PTO SUMMARY 2027'!AK96,'July 2027'!$AK:$AK)</f>
        <v>0</v>
      </c>
      <c r="BC96" s="1">
        <f t="shared" si="74"/>
        <v>0</v>
      </c>
      <c r="BD96" s="1">
        <v>0</v>
      </c>
      <c r="BE96" s="1">
        <v>0</v>
      </c>
      <c r="BF96" s="3">
        <f t="shared" si="87"/>
        <v>0</v>
      </c>
      <c r="BG96" s="2">
        <f>SUMIF('August 2027'!$B:$B,'PTO SUMMARY 2027'!AP96,'August 2027'!$AK:$AK)</f>
        <v>0</v>
      </c>
      <c r="BH96" s="1">
        <f t="shared" si="75"/>
        <v>0</v>
      </c>
      <c r="BI96" s="1">
        <v>0</v>
      </c>
      <c r="BJ96" s="1">
        <v>0</v>
      </c>
      <c r="BK96" s="3">
        <f t="shared" si="88"/>
        <v>0</v>
      </c>
      <c r="BL96" s="2">
        <f>SUMIF('September 2027'!$B:$B,'PTO SUMMARY 2027'!AU96,'September 2027'!$AK:$AK)</f>
        <v>0</v>
      </c>
      <c r="BM96" s="1">
        <f t="shared" si="76"/>
        <v>0</v>
      </c>
      <c r="BN96" s="1">
        <v>0</v>
      </c>
      <c r="BO96" s="1">
        <v>0</v>
      </c>
      <c r="BP96" s="3">
        <v>0</v>
      </c>
      <c r="BQ96" s="31">
        <v>0</v>
      </c>
      <c r="BR96" s="31">
        <v>0</v>
      </c>
      <c r="BS96" s="30">
        <f t="shared" si="65"/>
        <v>0</v>
      </c>
      <c r="BT96" s="3">
        <f t="shared" si="89"/>
        <v>0</v>
      </c>
      <c r="BU96" s="2">
        <f>SUMIF('October 2027'!$B:$B,'PTO SUMMARY 2027'!BH96,'October 2027'!$AK:$AK)</f>
        <v>0</v>
      </c>
      <c r="BV96" s="1">
        <f t="shared" si="77"/>
        <v>0</v>
      </c>
      <c r="BW96" s="1">
        <v>0</v>
      </c>
      <c r="BX96" s="1">
        <v>0</v>
      </c>
      <c r="BY96" s="3">
        <f t="shared" si="90"/>
        <v>0</v>
      </c>
      <c r="BZ96" s="2">
        <f>SUMIF('November 2027'!$B:$B,'PTO SUMMARY 2027'!BM96,'November 2027'!$AK:$AK)</f>
        <v>0</v>
      </c>
      <c r="CA96" s="1">
        <f t="shared" si="78"/>
        <v>0</v>
      </c>
      <c r="CB96" s="1">
        <v>0</v>
      </c>
      <c r="CC96" s="1">
        <v>0</v>
      </c>
      <c r="CD96" s="3">
        <f t="shared" si="91"/>
        <v>0</v>
      </c>
      <c r="CE96" s="2">
        <f>SUMIF('December 2027'!$B:$B,'PTO SUMMARY 2027'!$B:$B,'December 2027'!$AK:$AK)</f>
        <v>0</v>
      </c>
      <c r="CF96" s="1">
        <f t="shared" si="79"/>
        <v>0</v>
      </c>
      <c r="CG96" s="1">
        <v>0</v>
      </c>
      <c r="CH96" s="1">
        <v>0</v>
      </c>
      <c r="CI96" s="1">
        <v>0</v>
      </c>
      <c r="CJ96" s="3">
        <v>0</v>
      </c>
      <c r="CK96" s="31">
        <v>0</v>
      </c>
      <c r="CL96" s="31">
        <v>0</v>
      </c>
      <c r="CM96" s="31">
        <v>0</v>
      </c>
      <c r="CN96" s="30">
        <f t="shared" si="92"/>
        <v>0</v>
      </c>
    </row>
    <row r="97" spans="1:92">
      <c r="A97" s="35" t="s">
        <v>271</v>
      </c>
      <c r="B97" s="8" t="s">
        <v>272</v>
      </c>
      <c r="C97" s="8" t="s">
        <v>75</v>
      </c>
      <c r="D97" s="9" t="s">
        <v>65</v>
      </c>
      <c r="E97" t="s">
        <v>95</v>
      </c>
      <c r="F97" s="12" t="s">
        <v>67</v>
      </c>
      <c r="G97" s="7">
        <v>1</v>
      </c>
      <c r="H97" s="34">
        <v>0</v>
      </c>
      <c r="I97" s="33">
        <v>0</v>
      </c>
      <c r="J97" s="1">
        <v>0</v>
      </c>
      <c r="K97" s="1">
        <v>0</v>
      </c>
      <c r="L97" s="1">
        <v>0</v>
      </c>
      <c r="M97" s="32">
        <v>0</v>
      </c>
      <c r="N97" s="2">
        <f t="shared" si="80"/>
        <v>0</v>
      </c>
      <c r="O97" s="2">
        <f>SUMIF('January 2027'!$B:$B,'PTO SUMMARY 2027'!B97,'January 2027'!$AK:$AK)</f>
        <v>2</v>
      </c>
      <c r="P97" s="1">
        <f t="shared" si="66"/>
        <v>-2</v>
      </c>
      <c r="Q97" s="1">
        <v>0</v>
      </c>
      <c r="R97" s="1">
        <v>0</v>
      </c>
      <c r="S97" s="3">
        <f t="shared" si="81"/>
        <v>0</v>
      </c>
      <c r="T97" s="2">
        <f>SUMIF('February 2027'!$B:$B,'PTO SUMMARY 2027'!G97,'February 2027'!$AK:$AK)</f>
        <v>0</v>
      </c>
      <c r="U97" s="154">
        <v>0</v>
      </c>
      <c r="V97" s="1">
        <f t="shared" si="67"/>
        <v>-2</v>
      </c>
      <c r="W97" s="1">
        <v>0</v>
      </c>
      <c r="X97" s="1">
        <v>0</v>
      </c>
      <c r="Y97" s="3">
        <f t="shared" si="82"/>
        <v>0</v>
      </c>
      <c r="Z97" s="2">
        <f>SUMIF('March 2027'!$B:$B,'PTO SUMMARY 2027'!M97,'March 2027'!$AK:$AK)</f>
        <v>0</v>
      </c>
      <c r="AA97" s="1">
        <f t="shared" si="93"/>
        <v>-2</v>
      </c>
      <c r="AB97" s="1">
        <v>0</v>
      </c>
      <c r="AC97" s="1">
        <v>0</v>
      </c>
      <c r="AD97" s="3">
        <v>0</v>
      </c>
      <c r="AE97" s="31">
        <f t="shared" si="68"/>
        <v>0</v>
      </c>
      <c r="AF97" s="31">
        <v>0</v>
      </c>
      <c r="AG97" s="30">
        <f t="shared" si="69"/>
        <v>0</v>
      </c>
      <c r="AH97" s="2">
        <f t="shared" si="83"/>
        <v>0</v>
      </c>
      <c r="AI97" s="2">
        <f>SUMIF('April 2027'!$B:$B,'PTO SUMMARY 2027'!V97,'April 2027'!$AK:$AK)</f>
        <v>0</v>
      </c>
      <c r="AJ97" s="1">
        <f t="shared" si="70"/>
        <v>-2</v>
      </c>
      <c r="AK97" s="1">
        <v>0</v>
      </c>
      <c r="AL97" s="1">
        <v>0</v>
      </c>
      <c r="AM97" s="3">
        <f t="shared" si="84"/>
        <v>0</v>
      </c>
      <c r="AN97" s="2">
        <f>SUMIF('May 2027'!$B:$B,'PTO SUMMARY 2027'!AA97,'May 2027'!$AK:$AK)</f>
        <v>0</v>
      </c>
      <c r="AO97" s="1">
        <f t="shared" si="71"/>
        <v>-2</v>
      </c>
      <c r="AP97" s="1">
        <v>0</v>
      </c>
      <c r="AQ97" s="1">
        <v>0</v>
      </c>
      <c r="AR97" s="3">
        <f t="shared" si="85"/>
        <v>0</v>
      </c>
      <c r="AS97" s="2">
        <f>SUMIF('June 2027'!$B:$B,'PTO SUMMARY 2027'!AF97,'June 2027'!$AK:$AK)</f>
        <v>0</v>
      </c>
      <c r="AT97" s="1">
        <f t="shared" si="72"/>
        <v>-2</v>
      </c>
      <c r="AU97" s="1">
        <v>0</v>
      </c>
      <c r="AV97" s="1">
        <v>0</v>
      </c>
      <c r="AW97" s="3">
        <v>0</v>
      </c>
      <c r="AX97" s="31">
        <v>0</v>
      </c>
      <c r="AY97" s="31">
        <v>0</v>
      </c>
      <c r="AZ97" s="30">
        <f t="shared" si="73"/>
        <v>0</v>
      </c>
      <c r="BA97" s="3">
        <f t="shared" si="86"/>
        <v>0</v>
      </c>
      <c r="BB97" s="2">
        <f>SUMIF('July 2027'!$B:$B,'PTO SUMMARY 2027'!AK97,'July 2027'!$AK:$AK)</f>
        <v>0</v>
      </c>
      <c r="BC97" s="1">
        <f t="shared" si="74"/>
        <v>-2</v>
      </c>
      <c r="BD97" s="1">
        <v>0</v>
      </c>
      <c r="BE97" s="1">
        <v>0</v>
      </c>
      <c r="BF97" s="3">
        <f t="shared" si="87"/>
        <v>0</v>
      </c>
      <c r="BG97" s="2">
        <f>SUMIF('August 2027'!$B:$B,'PTO SUMMARY 2027'!AP97,'August 2027'!$AK:$AK)</f>
        <v>0</v>
      </c>
      <c r="BH97" s="1">
        <f t="shared" si="75"/>
        <v>-2</v>
      </c>
      <c r="BI97" s="1">
        <v>0</v>
      </c>
      <c r="BJ97" s="1">
        <v>0</v>
      </c>
      <c r="BK97" s="3">
        <f t="shared" si="88"/>
        <v>0</v>
      </c>
      <c r="BL97" s="2">
        <f>SUMIF('September 2027'!$B:$B,'PTO SUMMARY 2027'!AU97,'September 2027'!$AK:$AK)</f>
        <v>0</v>
      </c>
      <c r="BM97" s="1">
        <f t="shared" si="76"/>
        <v>-2</v>
      </c>
      <c r="BN97" s="1">
        <v>0</v>
      </c>
      <c r="BO97" s="1">
        <v>0</v>
      </c>
      <c r="BP97" s="3">
        <v>0</v>
      </c>
      <c r="BQ97" s="31">
        <v>0</v>
      </c>
      <c r="BR97" s="31">
        <v>0</v>
      </c>
      <c r="BS97" s="30">
        <f t="shared" si="65"/>
        <v>0</v>
      </c>
      <c r="BT97" s="3">
        <f t="shared" si="89"/>
        <v>0</v>
      </c>
      <c r="BU97" s="2">
        <f>SUMIF('October 2027'!$B:$B,'PTO SUMMARY 2027'!BH97,'October 2027'!$AK:$AK)</f>
        <v>0</v>
      </c>
      <c r="BV97" s="1">
        <f t="shared" si="77"/>
        <v>-2</v>
      </c>
      <c r="BW97" s="1">
        <v>0</v>
      </c>
      <c r="BX97" s="1">
        <v>0</v>
      </c>
      <c r="BY97" s="3">
        <f t="shared" si="90"/>
        <v>0</v>
      </c>
      <c r="BZ97" s="2">
        <f>SUMIF('November 2027'!$B:$B,'PTO SUMMARY 2027'!BM97,'November 2027'!$AK:$AK)</f>
        <v>0</v>
      </c>
      <c r="CA97" s="1">
        <f t="shared" si="78"/>
        <v>-2</v>
      </c>
      <c r="CB97" s="1">
        <v>0</v>
      </c>
      <c r="CC97" s="1">
        <v>0</v>
      </c>
      <c r="CD97" s="3">
        <f t="shared" si="91"/>
        <v>0</v>
      </c>
      <c r="CE97" s="2">
        <f>SUMIF('December 2027'!$B:$B,'PTO SUMMARY 2027'!$B:$B,'December 2027'!$AK:$AK)</f>
        <v>0</v>
      </c>
      <c r="CF97" s="1">
        <f t="shared" si="79"/>
        <v>-2</v>
      </c>
      <c r="CG97" s="1">
        <v>0</v>
      </c>
      <c r="CH97" s="1">
        <v>0</v>
      </c>
      <c r="CI97" s="1">
        <v>0</v>
      </c>
      <c r="CJ97" s="3">
        <v>0</v>
      </c>
      <c r="CK97" s="31">
        <v>0</v>
      </c>
      <c r="CL97" s="31">
        <v>0</v>
      </c>
      <c r="CM97" s="31">
        <v>0</v>
      </c>
      <c r="CN97" s="30">
        <f t="shared" si="92"/>
        <v>0</v>
      </c>
    </row>
    <row r="98" spans="1:92">
      <c r="A98" s="35" t="s">
        <v>273</v>
      </c>
      <c r="B98" s="8" t="s">
        <v>274</v>
      </c>
      <c r="C98" s="8" t="s">
        <v>64</v>
      </c>
      <c r="D98" s="9" t="s">
        <v>65</v>
      </c>
      <c r="E98" s="36" t="s">
        <v>66</v>
      </c>
      <c r="F98" s="12" t="s">
        <v>83</v>
      </c>
      <c r="G98" s="7">
        <v>0.75</v>
      </c>
      <c r="H98" s="34">
        <v>0</v>
      </c>
      <c r="I98" s="33">
        <v>0</v>
      </c>
      <c r="J98" s="1">
        <v>0</v>
      </c>
      <c r="K98" s="1">
        <v>0</v>
      </c>
      <c r="L98" s="1">
        <v>0</v>
      </c>
      <c r="M98" s="32">
        <v>0</v>
      </c>
      <c r="N98" s="2">
        <f t="shared" si="80"/>
        <v>0</v>
      </c>
      <c r="O98" s="2">
        <f>SUMIF('January 2027'!$B:$B,'PTO SUMMARY 2027'!B98,'January 2027'!$AK:$AK)</f>
        <v>0</v>
      </c>
      <c r="P98" s="1">
        <f t="shared" si="66"/>
        <v>0</v>
      </c>
      <c r="Q98" s="1">
        <v>0</v>
      </c>
      <c r="R98" s="1">
        <v>0</v>
      </c>
      <c r="S98" s="3">
        <f t="shared" si="81"/>
        <v>0</v>
      </c>
      <c r="T98" s="2">
        <f>SUMIF('February 2027'!$B:$B,'PTO SUMMARY 2027'!G98,'February 2027'!$AK:$AK)</f>
        <v>0</v>
      </c>
      <c r="U98" s="154">
        <v>0</v>
      </c>
      <c r="V98" s="1">
        <f t="shared" si="67"/>
        <v>0</v>
      </c>
      <c r="W98" s="1">
        <v>0</v>
      </c>
      <c r="X98" s="1">
        <v>0</v>
      </c>
      <c r="Y98" s="3">
        <f t="shared" si="82"/>
        <v>0</v>
      </c>
      <c r="Z98" s="2">
        <f>SUMIF('March 2027'!$B:$B,'PTO SUMMARY 2027'!M98,'March 2027'!$AK:$AK)</f>
        <v>0</v>
      </c>
      <c r="AA98" s="1">
        <f t="shared" si="93"/>
        <v>0</v>
      </c>
      <c r="AB98" s="1">
        <v>0</v>
      </c>
      <c r="AC98" s="1">
        <v>0</v>
      </c>
      <c r="AD98" s="3">
        <v>0</v>
      </c>
      <c r="AE98" s="31">
        <f t="shared" si="68"/>
        <v>0</v>
      </c>
      <c r="AF98" s="31">
        <v>0</v>
      </c>
      <c r="AG98" s="30">
        <f t="shared" si="69"/>
        <v>0</v>
      </c>
      <c r="AH98" s="2">
        <f t="shared" si="83"/>
        <v>0</v>
      </c>
      <c r="AI98" s="2">
        <f>SUMIF('April 2027'!$B:$B,'PTO SUMMARY 2027'!V98,'April 2027'!$AK:$AK)</f>
        <v>0</v>
      </c>
      <c r="AJ98" s="1">
        <f t="shared" si="70"/>
        <v>0</v>
      </c>
      <c r="AK98" s="1">
        <v>0</v>
      </c>
      <c r="AL98" s="1">
        <v>0</v>
      </c>
      <c r="AM98" s="3">
        <f t="shared" si="84"/>
        <v>0</v>
      </c>
      <c r="AN98" s="2">
        <f>SUMIF('May 2027'!$B:$B,'PTO SUMMARY 2027'!AA98,'May 2027'!$AK:$AK)</f>
        <v>0</v>
      </c>
      <c r="AO98" s="1">
        <f t="shared" si="71"/>
        <v>0</v>
      </c>
      <c r="AP98" s="1">
        <v>0</v>
      </c>
      <c r="AQ98" s="1">
        <v>0</v>
      </c>
      <c r="AR98" s="3">
        <f t="shared" si="85"/>
        <v>0</v>
      </c>
      <c r="AS98" s="2">
        <f>SUMIF('June 2027'!$B:$B,'PTO SUMMARY 2027'!AF98,'June 2027'!$AK:$AK)</f>
        <v>0</v>
      </c>
      <c r="AT98" s="1">
        <f t="shared" si="72"/>
        <v>0</v>
      </c>
      <c r="AU98" s="1">
        <v>0</v>
      </c>
      <c r="AV98" s="1">
        <v>0</v>
      </c>
      <c r="AW98" s="3">
        <v>0</v>
      </c>
      <c r="AX98" s="31">
        <v>0</v>
      </c>
      <c r="AY98" s="31">
        <v>0</v>
      </c>
      <c r="AZ98" s="30">
        <f t="shared" si="73"/>
        <v>0</v>
      </c>
      <c r="BA98" s="3">
        <f t="shared" si="86"/>
        <v>0</v>
      </c>
      <c r="BB98" s="2">
        <f>SUMIF('July 2027'!$B:$B,'PTO SUMMARY 2027'!AK98,'July 2027'!$AK:$AK)</f>
        <v>0</v>
      </c>
      <c r="BC98" s="1">
        <f t="shared" si="74"/>
        <v>0</v>
      </c>
      <c r="BD98" s="1">
        <v>0</v>
      </c>
      <c r="BE98" s="1">
        <v>0</v>
      </c>
      <c r="BF98" s="3">
        <f t="shared" si="87"/>
        <v>0</v>
      </c>
      <c r="BG98" s="2">
        <f>SUMIF('August 2027'!$B:$B,'PTO SUMMARY 2027'!AP98,'August 2027'!$AK:$AK)</f>
        <v>0</v>
      </c>
      <c r="BH98" s="1">
        <f t="shared" si="75"/>
        <v>0</v>
      </c>
      <c r="BI98" s="1">
        <v>0</v>
      </c>
      <c r="BJ98" s="1">
        <v>0</v>
      </c>
      <c r="BK98" s="3">
        <f t="shared" si="88"/>
        <v>0</v>
      </c>
      <c r="BL98" s="2">
        <f>SUMIF('September 2027'!$B:$B,'PTO SUMMARY 2027'!AU98,'September 2027'!$AK:$AK)</f>
        <v>0</v>
      </c>
      <c r="BM98" s="1">
        <f t="shared" si="76"/>
        <v>0</v>
      </c>
      <c r="BN98" s="1">
        <v>0</v>
      </c>
      <c r="BO98" s="1">
        <v>0</v>
      </c>
      <c r="BP98" s="3">
        <v>0</v>
      </c>
      <c r="BQ98" s="31">
        <v>0</v>
      </c>
      <c r="BR98" s="31">
        <v>0</v>
      </c>
      <c r="BS98" s="30">
        <f t="shared" si="65"/>
        <v>0</v>
      </c>
      <c r="BT98" s="3">
        <f t="shared" si="89"/>
        <v>0</v>
      </c>
      <c r="BU98" s="2">
        <f>SUMIF('October 2027'!$B:$B,'PTO SUMMARY 2027'!BH98,'October 2027'!$AK:$AK)</f>
        <v>0</v>
      </c>
      <c r="BV98" s="1">
        <f t="shared" si="77"/>
        <v>0</v>
      </c>
      <c r="BW98" s="1">
        <v>0</v>
      </c>
      <c r="BX98" s="1">
        <v>0</v>
      </c>
      <c r="BY98" s="3">
        <f t="shared" si="90"/>
        <v>0</v>
      </c>
      <c r="BZ98" s="2">
        <f>SUMIF('November 2027'!$B:$B,'PTO SUMMARY 2027'!BM98,'November 2027'!$AK:$AK)</f>
        <v>0</v>
      </c>
      <c r="CA98" s="1">
        <f t="shared" si="78"/>
        <v>0</v>
      </c>
      <c r="CB98" s="1">
        <v>0</v>
      </c>
      <c r="CC98" s="1">
        <v>0</v>
      </c>
      <c r="CD98" s="3">
        <f t="shared" si="91"/>
        <v>0</v>
      </c>
      <c r="CE98" s="2">
        <f>SUMIF('December 2027'!$B:$B,'PTO SUMMARY 2027'!$B:$B,'December 2027'!$AK:$AK)</f>
        <v>0</v>
      </c>
      <c r="CF98" s="1">
        <f t="shared" si="79"/>
        <v>0</v>
      </c>
      <c r="CG98" s="1">
        <v>0</v>
      </c>
      <c r="CH98" s="1">
        <v>0</v>
      </c>
      <c r="CI98" s="1">
        <v>0</v>
      </c>
      <c r="CJ98" s="3">
        <v>0</v>
      </c>
      <c r="CK98" s="31">
        <v>0</v>
      </c>
      <c r="CL98" s="31">
        <v>0</v>
      </c>
      <c r="CM98" s="31">
        <v>0</v>
      </c>
      <c r="CN98" s="30">
        <f t="shared" si="92"/>
        <v>0</v>
      </c>
    </row>
    <row r="99" spans="1:92">
      <c r="A99" s="35" t="s">
        <v>275</v>
      </c>
      <c r="B99" s="8" t="s">
        <v>276</v>
      </c>
      <c r="C99" s="8" t="s">
        <v>64</v>
      </c>
      <c r="D99" s="9" t="s">
        <v>65</v>
      </c>
      <c r="E99" s="36" t="s">
        <v>66</v>
      </c>
      <c r="F99" s="12" t="s">
        <v>90</v>
      </c>
      <c r="G99" s="7">
        <v>1</v>
      </c>
      <c r="H99" s="34">
        <v>0</v>
      </c>
      <c r="I99" s="33">
        <v>0</v>
      </c>
      <c r="J99" s="1">
        <v>0</v>
      </c>
      <c r="K99" s="1">
        <v>0</v>
      </c>
      <c r="L99" s="1">
        <v>0</v>
      </c>
      <c r="M99" s="32">
        <v>0</v>
      </c>
      <c r="N99" s="2">
        <f t="shared" si="80"/>
        <v>0</v>
      </c>
      <c r="O99" s="2">
        <f>SUMIF('January 2027'!$B:$B,'PTO SUMMARY 2027'!B99,'January 2027'!$AK:$AK)</f>
        <v>32.099999999999994</v>
      </c>
      <c r="P99" s="1">
        <f t="shared" si="66"/>
        <v>-32.099999999999994</v>
      </c>
      <c r="Q99" s="1">
        <v>0</v>
      </c>
      <c r="R99" s="1">
        <v>0</v>
      </c>
      <c r="S99" s="3">
        <f t="shared" si="81"/>
        <v>0</v>
      </c>
      <c r="T99" s="2">
        <f>SUMIF('February 2027'!$B:$B,'PTO SUMMARY 2027'!G99,'February 2027'!$AK:$AK)</f>
        <v>0</v>
      </c>
      <c r="U99" s="154">
        <v>0</v>
      </c>
      <c r="V99" s="1">
        <f t="shared" si="67"/>
        <v>-32.099999999999994</v>
      </c>
      <c r="W99" s="1">
        <v>0</v>
      </c>
      <c r="X99" s="1">
        <v>0</v>
      </c>
      <c r="Y99" s="3">
        <f t="shared" si="82"/>
        <v>0</v>
      </c>
      <c r="Z99" s="2">
        <f>SUMIF('March 2027'!$B:$B,'PTO SUMMARY 2027'!M99,'March 2027'!$AK:$AK)</f>
        <v>0</v>
      </c>
      <c r="AA99" s="1">
        <f t="shared" si="93"/>
        <v>-32.099999999999994</v>
      </c>
      <c r="AB99" s="1">
        <v>0</v>
      </c>
      <c r="AC99" s="1">
        <v>0</v>
      </c>
      <c r="AD99" s="3">
        <v>0</v>
      </c>
      <c r="AE99" s="31">
        <f t="shared" si="68"/>
        <v>0</v>
      </c>
      <c r="AF99" s="31">
        <v>0</v>
      </c>
      <c r="AG99" s="30">
        <f t="shared" si="69"/>
        <v>0</v>
      </c>
      <c r="AH99" s="2">
        <f t="shared" si="83"/>
        <v>0</v>
      </c>
      <c r="AI99" s="2">
        <f>SUMIF('April 2027'!$B:$B,'PTO SUMMARY 2027'!V99,'April 2027'!$AK:$AK)</f>
        <v>0</v>
      </c>
      <c r="AJ99" s="1">
        <f t="shared" si="70"/>
        <v>-32.099999999999994</v>
      </c>
      <c r="AK99" s="1">
        <v>0</v>
      </c>
      <c r="AL99" s="1">
        <v>0</v>
      </c>
      <c r="AM99" s="3">
        <f t="shared" si="84"/>
        <v>0</v>
      </c>
      <c r="AN99" s="2">
        <f>SUMIF('May 2027'!$B:$B,'PTO SUMMARY 2027'!AA99,'May 2027'!$AK:$AK)</f>
        <v>0</v>
      </c>
      <c r="AO99" s="1">
        <f t="shared" si="71"/>
        <v>-32.1</v>
      </c>
      <c r="AP99" s="1">
        <v>0</v>
      </c>
      <c r="AQ99" s="1">
        <v>0</v>
      </c>
      <c r="AR99" s="3">
        <f t="shared" si="85"/>
        <v>0</v>
      </c>
      <c r="AS99" s="2">
        <f>SUMIF('June 2027'!$B:$B,'PTO SUMMARY 2027'!AF99,'June 2027'!$AK:$AK)</f>
        <v>0</v>
      </c>
      <c r="AT99" s="1">
        <f t="shared" si="72"/>
        <v>-32.1</v>
      </c>
      <c r="AU99" s="1">
        <v>0</v>
      </c>
      <c r="AV99" s="1">
        <v>0</v>
      </c>
      <c r="AW99" s="3">
        <v>0</v>
      </c>
      <c r="AX99" s="31">
        <v>0</v>
      </c>
      <c r="AY99" s="31">
        <v>0</v>
      </c>
      <c r="AZ99" s="30">
        <f t="shared" si="73"/>
        <v>0</v>
      </c>
      <c r="BA99" s="3">
        <f t="shared" si="86"/>
        <v>0</v>
      </c>
      <c r="BB99" s="2">
        <f>SUMIF('July 2027'!$B:$B,'PTO SUMMARY 2027'!AK99,'July 2027'!$AK:$AK)</f>
        <v>0</v>
      </c>
      <c r="BC99" s="1">
        <f t="shared" si="74"/>
        <v>-32.1</v>
      </c>
      <c r="BD99" s="1">
        <v>0</v>
      </c>
      <c r="BE99" s="1">
        <v>0</v>
      </c>
      <c r="BF99" s="3">
        <f t="shared" si="87"/>
        <v>0</v>
      </c>
      <c r="BG99" s="2">
        <f>SUMIF('August 2027'!$B:$B,'PTO SUMMARY 2027'!AP99,'August 2027'!$AK:$AK)</f>
        <v>0</v>
      </c>
      <c r="BH99" s="1">
        <f t="shared" si="75"/>
        <v>-32.1</v>
      </c>
      <c r="BI99" s="1">
        <v>0</v>
      </c>
      <c r="BJ99" s="1">
        <v>0</v>
      </c>
      <c r="BK99" s="3">
        <f t="shared" si="88"/>
        <v>0</v>
      </c>
      <c r="BL99" s="2">
        <f>SUMIF('September 2027'!$B:$B,'PTO SUMMARY 2027'!AU99,'September 2027'!$AK:$AK)</f>
        <v>0</v>
      </c>
      <c r="BM99" s="1">
        <f t="shared" si="76"/>
        <v>-32.1</v>
      </c>
      <c r="BN99" s="1">
        <v>0</v>
      </c>
      <c r="BO99" s="1">
        <v>0</v>
      </c>
      <c r="BP99" s="3">
        <v>0</v>
      </c>
      <c r="BQ99" s="31">
        <v>0</v>
      </c>
      <c r="BR99" s="31">
        <v>0</v>
      </c>
      <c r="BS99" s="30">
        <f t="shared" si="65"/>
        <v>0</v>
      </c>
      <c r="BT99" s="3">
        <f t="shared" si="89"/>
        <v>0</v>
      </c>
      <c r="BU99" s="2">
        <f>SUMIF('October 2027'!$B:$B,'PTO SUMMARY 2027'!BH99,'October 2027'!$AK:$AK)</f>
        <v>0</v>
      </c>
      <c r="BV99" s="1">
        <f t="shared" si="77"/>
        <v>-32.1</v>
      </c>
      <c r="BW99" s="1">
        <v>0</v>
      </c>
      <c r="BX99" s="1">
        <v>0</v>
      </c>
      <c r="BY99" s="3">
        <f t="shared" si="90"/>
        <v>0</v>
      </c>
      <c r="BZ99" s="2">
        <f>SUMIF('November 2027'!$B:$B,'PTO SUMMARY 2027'!BM99,'November 2027'!$AK:$AK)</f>
        <v>0</v>
      </c>
      <c r="CA99" s="1">
        <f t="shared" si="78"/>
        <v>-32.1</v>
      </c>
      <c r="CB99" s="1">
        <v>0</v>
      </c>
      <c r="CC99" s="1">
        <v>0</v>
      </c>
      <c r="CD99" s="3">
        <f t="shared" si="91"/>
        <v>0</v>
      </c>
      <c r="CE99" s="2">
        <f>SUMIF('December 2027'!$B:$B,'PTO SUMMARY 2027'!$B:$B,'December 2027'!$AK:$AK)</f>
        <v>0</v>
      </c>
      <c r="CF99" s="1">
        <f t="shared" si="79"/>
        <v>-32.1</v>
      </c>
      <c r="CG99" s="1">
        <v>0</v>
      </c>
      <c r="CH99" s="1">
        <v>0</v>
      </c>
      <c r="CI99" s="1">
        <v>0</v>
      </c>
      <c r="CJ99" s="3">
        <v>0</v>
      </c>
      <c r="CK99" s="31">
        <v>0</v>
      </c>
      <c r="CL99" s="31">
        <v>0</v>
      </c>
      <c r="CM99" s="31">
        <v>0</v>
      </c>
      <c r="CN99" s="30">
        <f t="shared" si="92"/>
        <v>0</v>
      </c>
    </row>
    <row r="100" spans="1:92">
      <c r="A100" s="8" t="s">
        <v>277</v>
      </c>
      <c r="B100" s="8" t="s">
        <v>278</v>
      </c>
      <c r="C100" s="8" t="s">
        <v>64</v>
      </c>
      <c r="D100" s="9" t="s">
        <v>70</v>
      </c>
      <c r="E100" t="s">
        <v>71</v>
      </c>
      <c r="F100" s="12" t="s">
        <v>77</v>
      </c>
      <c r="G100" s="7">
        <v>1</v>
      </c>
      <c r="H100" s="11">
        <f>((G100*86.67)*2)*(SUMIF('Accrual Rates'!B:B,'PTO SUMMARY 2027'!B100,'Accrual Rates'!G:G))</f>
        <v>15.999975360000001</v>
      </c>
      <c r="I100" s="33">
        <v>0</v>
      </c>
      <c r="J100" s="1">
        <v>0</v>
      </c>
      <c r="K100" s="1">
        <v>0</v>
      </c>
      <c r="L100" s="1">
        <v>0</v>
      </c>
      <c r="M100" s="32">
        <v>0</v>
      </c>
      <c r="N100" s="2">
        <f t="shared" si="80"/>
        <v>15.999975360000001</v>
      </c>
      <c r="O100" s="2">
        <f>SUMIF('January 2027'!$B:$B,'PTO SUMMARY 2027'!B100,'January 2027'!$AK:$AK)</f>
        <v>4</v>
      </c>
      <c r="P100" s="1">
        <f t="shared" ref="P100:P124" si="122">L100+M100+N100-O100</f>
        <v>11.999975360000001</v>
      </c>
      <c r="Q100" s="1">
        <v>0</v>
      </c>
      <c r="R100" s="1">
        <v>0</v>
      </c>
      <c r="S100" s="3">
        <f t="shared" si="81"/>
        <v>15.999975360000001</v>
      </c>
      <c r="T100" s="2">
        <f>SUMIF('February 2027'!$B:$B,'PTO SUMMARY 2027'!G100,'February 2027'!$AK:$AK)</f>
        <v>0</v>
      </c>
      <c r="U100" s="154">
        <v>0</v>
      </c>
      <c r="V100" s="1">
        <f t="shared" ref="V100:V124" si="123">P100+S100-T100</f>
        <v>27.999950720000001</v>
      </c>
      <c r="W100" s="1">
        <v>0</v>
      </c>
      <c r="X100" s="1">
        <v>0</v>
      </c>
      <c r="Y100" s="3">
        <f t="shared" si="82"/>
        <v>15.999975360000001</v>
      </c>
      <c r="Z100" s="2">
        <f>SUMIF('March 2027'!$B:$B,'PTO SUMMARY 2027'!M100,'March 2027'!$AK:$AK)</f>
        <v>0</v>
      </c>
      <c r="AA100" s="1">
        <f t="shared" si="93"/>
        <v>43.999926080000002</v>
      </c>
      <c r="AB100" s="1">
        <v>0</v>
      </c>
      <c r="AC100" s="1">
        <v>0</v>
      </c>
      <c r="AD100" s="3">
        <v>0</v>
      </c>
      <c r="AE100" s="31">
        <f t="shared" ref="AE100:AE124" si="124">K100-AD100</f>
        <v>0</v>
      </c>
      <c r="AF100" s="31">
        <v>0</v>
      </c>
      <c r="AG100" s="30">
        <f t="shared" ref="AG100:AG124" si="125">AE100-AF100</f>
        <v>0</v>
      </c>
      <c r="AH100" s="2">
        <f t="shared" si="83"/>
        <v>15.999975360000001</v>
      </c>
      <c r="AI100" s="2">
        <f>SUMIF('April 2027'!$B:$B,'PTO SUMMARY 2027'!V100,'April 2027'!$AK:$AK)</f>
        <v>0</v>
      </c>
      <c r="AJ100" s="1">
        <f t="shared" ref="AJ100:AJ124" si="126">AA100+AH100-AI100</f>
        <v>59.999901440000002</v>
      </c>
      <c r="AK100" s="1">
        <v>0</v>
      </c>
      <c r="AL100" s="1">
        <v>0</v>
      </c>
      <c r="AM100" s="3">
        <f t="shared" si="84"/>
        <v>15.999975360000001</v>
      </c>
      <c r="AN100" s="2">
        <f>SUMIF('May 2027'!$B:$B,'PTO SUMMARY 2027'!AA100,'May 2027'!$AK:$AK)</f>
        <v>0</v>
      </c>
      <c r="AO100" s="1">
        <f t="shared" ref="AO100:AO124" si="127">ROUND((AJ100+AM100-AN100),2)</f>
        <v>76</v>
      </c>
      <c r="AP100" s="1">
        <v>0</v>
      </c>
      <c r="AQ100" s="1">
        <v>0</v>
      </c>
      <c r="AR100" s="3">
        <f t="shared" si="85"/>
        <v>15.999975360000001</v>
      </c>
      <c r="AS100" s="2">
        <f>SUMIF('June 2027'!$B:$B,'PTO SUMMARY 2027'!AF100,'June 2027'!$AK:$AK)</f>
        <v>0</v>
      </c>
      <c r="AT100" s="1">
        <f t="shared" ref="AT100:AT124" si="128">AO100+AR100-AS100</f>
        <v>91.999975360000008</v>
      </c>
      <c r="AU100" s="1">
        <v>0</v>
      </c>
      <c r="AV100" s="1">
        <v>0</v>
      </c>
      <c r="AW100" s="3">
        <v>0</v>
      </c>
      <c r="AX100" s="31">
        <v>0</v>
      </c>
      <c r="AY100" s="31">
        <v>0</v>
      </c>
      <c r="AZ100" s="30">
        <f t="shared" si="73"/>
        <v>0</v>
      </c>
      <c r="BA100" s="3">
        <f t="shared" si="86"/>
        <v>15.999975360000001</v>
      </c>
      <c r="BB100" s="2">
        <f>SUMIF('July 2027'!$B:$B,'PTO SUMMARY 2027'!AK100,'July 2027'!$AK:$AK)</f>
        <v>0</v>
      </c>
      <c r="BC100" s="1">
        <f t="shared" si="74"/>
        <v>107.99995072000002</v>
      </c>
      <c r="BD100" s="1">
        <v>0</v>
      </c>
      <c r="BE100" s="1">
        <v>0</v>
      </c>
      <c r="BF100" s="3">
        <f t="shared" si="87"/>
        <v>15.999975360000001</v>
      </c>
      <c r="BG100" s="2">
        <f>SUMIF('August 2027'!$B:$B,'PTO SUMMARY 2027'!AP100,'August 2027'!$AK:$AK)</f>
        <v>0</v>
      </c>
      <c r="BH100" s="1">
        <f t="shared" ref="BH100:BH124" si="129">BC100+BF100-BG100</f>
        <v>123.99992608000002</v>
      </c>
      <c r="BI100" s="1">
        <v>0</v>
      </c>
      <c r="BJ100" s="1">
        <v>0</v>
      </c>
      <c r="BK100" s="3">
        <f t="shared" si="88"/>
        <v>15.999975360000001</v>
      </c>
      <c r="BL100" s="2">
        <f>SUMIF('September 2027'!$B:$B,'PTO SUMMARY 2027'!AU100,'September 2027'!$AK:$AK)</f>
        <v>0</v>
      </c>
      <c r="BM100" s="1">
        <f t="shared" ref="BM100:BM124" si="130">BH100+BK100-BL100</f>
        <v>139.99990144000003</v>
      </c>
      <c r="BN100" s="1">
        <v>0</v>
      </c>
      <c r="BO100" s="1">
        <v>0</v>
      </c>
      <c r="BP100" s="3">
        <v>0</v>
      </c>
      <c r="BQ100" s="31">
        <v>0</v>
      </c>
      <c r="BR100" s="31">
        <v>0</v>
      </c>
      <c r="BS100" s="30">
        <f t="shared" si="65"/>
        <v>0</v>
      </c>
      <c r="BT100" s="3">
        <f t="shared" si="89"/>
        <v>15.999975360000001</v>
      </c>
      <c r="BU100" s="2">
        <f>SUMIF('October 2027'!$B:$B,'PTO SUMMARY 2027'!BH100,'October 2027'!$AK:$AK)</f>
        <v>0</v>
      </c>
      <c r="BV100" s="1">
        <f t="shared" ref="BV100:BV124" si="131">BM100+BT100-BU100</f>
        <v>155.99987680000004</v>
      </c>
      <c r="BW100" s="1">
        <v>0</v>
      </c>
      <c r="BX100" s="1">
        <v>0</v>
      </c>
      <c r="BY100" s="3">
        <f t="shared" si="90"/>
        <v>15.999975360000001</v>
      </c>
      <c r="BZ100" s="2">
        <f>SUMIF('November 2027'!$B:$B,'PTO SUMMARY 2027'!BM100,'November 2027'!$AK:$AK)</f>
        <v>0</v>
      </c>
      <c r="CA100" s="1">
        <f t="shared" ref="CA100:CA124" si="132">BV100+BY100-BZ100</f>
        <v>171.99985216000005</v>
      </c>
      <c r="CB100" s="1">
        <v>0</v>
      </c>
      <c r="CC100" s="1">
        <v>0</v>
      </c>
      <c r="CD100" s="3">
        <f t="shared" si="91"/>
        <v>15.999975360000001</v>
      </c>
      <c r="CE100" s="2">
        <f>SUMIF('December 2027'!$B:$B,'PTO SUMMARY 2027'!$B:$B,'December 2027'!$AK:$AK)</f>
        <v>0</v>
      </c>
      <c r="CF100" s="1">
        <f t="shared" ref="CF100:CF124" si="133">CA100+CD100-CE100</f>
        <v>187.99982752000005</v>
      </c>
      <c r="CG100" s="1">
        <v>0</v>
      </c>
      <c r="CH100" s="1">
        <v>0</v>
      </c>
      <c r="CI100" s="1">
        <v>0</v>
      </c>
      <c r="CJ100" s="3">
        <v>0</v>
      </c>
      <c r="CK100" s="31">
        <v>0</v>
      </c>
      <c r="CL100" s="31">
        <v>0</v>
      </c>
      <c r="CM100" s="31">
        <v>0</v>
      </c>
      <c r="CN100" s="30">
        <f t="shared" si="92"/>
        <v>0</v>
      </c>
    </row>
    <row r="101" spans="1:92">
      <c r="A101" s="8" t="s">
        <v>279</v>
      </c>
      <c r="B101" s="8" t="s">
        <v>280</v>
      </c>
      <c r="C101" s="8" t="s">
        <v>75</v>
      </c>
      <c r="D101" s="9" t="s">
        <v>70</v>
      </c>
      <c r="E101" t="s">
        <v>76</v>
      </c>
      <c r="F101" s="12" t="s">
        <v>96</v>
      </c>
      <c r="G101" s="7">
        <v>1</v>
      </c>
      <c r="H101" s="11">
        <f>((G101*86.67)*2)*(SUMIF('Accrual Rates'!B:B,'PTO SUMMARY 2027'!B101,'Accrual Rates'!G:G))</f>
        <v>13.3333128</v>
      </c>
      <c r="I101" s="33">
        <v>0</v>
      </c>
      <c r="J101" s="1">
        <v>0</v>
      </c>
      <c r="K101" s="1">
        <v>0</v>
      </c>
      <c r="L101" s="1">
        <v>0</v>
      </c>
      <c r="M101" s="32">
        <v>0</v>
      </c>
      <c r="N101" s="2">
        <f t="shared" si="80"/>
        <v>13.3333128</v>
      </c>
      <c r="O101" s="2">
        <f>SUMIF('January 2027'!$B:$B,'PTO SUMMARY 2027'!B101,'January 2027'!$AK:$AK)</f>
        <v>0</v>
      </c>
      <c r="P101" s="1">
        <f t="shared" si="122"/>
        <v>13.3333128</v>
      </c>
      <c r="Q101" s="1">
        <v>0</v>
      </c>
      <c r="R101" s="1">
        <v>0</v>
      </c>
      <c r="S101" s="3">
        <f t="shared" si="81"/>
        <v>13.3333128</v>
      </c>
      <c r="T101" s="2">
        <f>SUMIF('February 2027'!$B:$B,'PTO SUMMARY 2027'!G101,'February 2027'!$AK:$AK)</f>
        <v>0</v>
      </c>
      <c r="U101" s="154">
        <v>0</v>
      </c>
      <c r="V101" s="1">
        <f t="shared" si="123"/>
        <v>26.6666256</v>
      </c>
      <c r="W101" s="1">
        <v>0</v>
      </c>
      <c r="X101" s="1">
        <v>0</v>
      </c>
      <c r="Y101" s="3">
        <f t="shared" si="82"/>
        <v>13.3333128</v>
      </c>
      <c r="Z101" s="2">
        <f>SUMIF('March 2027'!$B:$B,'PTO SUMMARY 2027'!M101,'March 2027'!$AK:$AK)</f>
        <v>0</v>
      </c>
      <c r="AA101" s="1">
        <f t="shared" si="93"/>
        <v>39.999938399999998</v>
      </c>
      <c r="AB101" s="1">
        <v>0</v>
      </c>
      <c r="AC101" s="1">
        <v>0</v>
      </c>
      <c r="AD101" s="3">
        <v>0</v>
      </c>
      <c r="AE101" s="31">
        <f t="shared" si="124"/>
        <v>0</v>
      </c>
      <c r="AF101" s="31">
        <v>0</v>
      </c>
      <c r="AG101" s="30">
        <f t="shared" si="125"/>
        <v>0</v>
      </c>
      <c r="AH101" s="2">
        <f t="shared" si="83"/>
        <v>13.3333128</v>
      </c>
      <c r="AI101" s="2">
        <f>SUMIF('April 2027'!$B:$B,'PTO SUMMARY 2027'!V101,'April 2027'!$AK:$AK)</f>
        <v>0</v>
      </c>
      <c r="AJ101" s="1">
        <f t="shared" si="126"/>
        <v>53.333251199999999</v>
      </c>
      <c r="AK101" s="1">
        <v>0</v>
      </c>
      <c r="AL101" s="1">
        <v>0</v>
      </c>
      <c r="AM101" s="3">
        <f t="shared" si="84"/>
        <v>13.3333128</v>
      </c>
      <c r="AN101" s="2">
        <f>SUMIF('May 2027'!$B:$B,'PTO SUMMARY 2027'!AA101,'May 2027'!$AK:$AK)</f>
        <v>0</v>
      </c>
      <c r="AO101" s="1">
        <f t="shared" si="127"/>
        <v>66.67</v>
      </c>
      <c r="AP101" s="1">
        <v>0</v>
      </c>
      <c r="AQ101" s="1">
        <v>0</v>
      </c>
      <c r="AR101" s="3">
        <f t="shared" si="85"/>
        <v>13.3333128</v>
      </c>
      <c r="AS101" s="2">
        <f>SUMIF('June 2027'!$B:$B,'PTO SUMMARY 2027'!AF101,'June 2027'!$AK:$AK)</f>
        <v>0</v>
      </c>
      <c r="AT101" s="1">
        <f t="shared" si="128"/>
        <v>80.003312800000003</v>
      </c>
      <c r="AU101" s="1">
        <v>0</v>
      </c>
      <c r="AV101" s="1">
        <v>0</v>
      </c>
      <c r="AW101" s="3">
        <v>0</v>
      </c>
      <c r="AX101" s="31">
        <v>0</v>
      </c>
      <c r="AY101" s="31">
        <v>0</v>
      </c>
      <c r="AZ101" s="30">
        <f t="shared" si="73"/>
        <v>0</v>
      </c>
      <c r="BA101" s="3">
        <f t="shared" si="86"/>
        <v>13.3333128</v>
      </c>
      <c r="BB101" s="2">
        <f>SUMIF('July 2027'!$B:$B,'PTO SUMMARY 2027'!AK101,'July 2027'!$AK:$AK)</f>
        <v>0</v>
      </c>
      <c r="BC101" s="1">
        <f t="shared" si="74"/>
        <v>93.336625600000005</v>
      </c>
      <c r="BD101" s="1">
        <v>0</v>
      </c>
      <c r="BE101" s="1">
        <v>0</v>
      </c>
      <c r="BF101" s="3">
        <f t="shared" si="87"/>
        <v>13.3333128</v>
      </c>
      <c r="BG101" s="2">
        <f>SUMIF('August 2027'!$B:$B,'PTO SUMMARY 2027'!AP101,'August 2027'!$AK:$AK)</f>
        <v>0</v>
      </c>
      <c r="BH101" s="1">
        <f t="shared" si="129"/>
        <v>106.66993840000001</v>
      </c>
      <c r="BI101" s="1">
        <v>0</v>
      </c>
      <c r="BJ101" s="1">
        <v>0</v>
      </c>
      <c r="BK101" s="3">
        <f t="shared" si="88"/>
        <v>13.3333128</v>
      </c>
      <c r="BL101" s="2">
        <f>SUMIF('September 2027'!$B:$B,'PTO SUMMARY 2027'!AU101,'September 2027'!$AK:$AK)</f>
        <v>0</v>
      </c>
      <c r="BM101" s="1">
        <f t="shared" si="130"/>
        <v>120.00325120000001</v>
      </c>
      <c r="BN101" s="1">
        <v>0</v>
      </c>
      <c r="BO101" s="1">
        <v>0</v>
      </c>
      <c r="BP101" s="3">
        <v>0</v>
      </c>
      <c r="BQ101" s="31">
        <v>0</v>
      </c>
      <c r="BR101" s="31">
        <v>0</v>
      </c>
      <c r="BS101" s="30">
        <f t="shared" si="65"/>
        <v>0</v>
      </c>
      <c r="BT101" s="3">
        <f t="shared" si="89"/>
        <v>13.3333128</v>
      </c>
      <c r="BU101" s="2">
        <f>SUMIF('October 2027'!$B:$B,'PTO SUMMARY 2027'!BH101,'October 2027'!$AK:$AK)</f>
        <v>0</v>
      </c>
      <c r="BV101" s="1">
        <f t="shared" si="131"/>
        <v>133.33656400000001</v>
      </c>
      <c r="BW101" s="1">
        <v>0</v>
      </c>
      <c r="BX101" s="1">
        <v>0</v>
      </c>
      <c r="BY101" s="3">
        <f t="shared" si="90"/>
        <v>13.3333128</v>
      </c>
      <c r="BZ101" s="2">
        <f>SUMIF('November 2027'!$B:$B,'PTO SUMMARY 2027'!BM101,'November 2027'!$AK:$AK)</f>
        <v>0</v>
      </c>
      <c r="CA101" s="1">
        <f t="shared" si="132"/>
        <v>146.6698768</v>
      </c>
      <c r="CB101" s="1">
        <v>0</v>
      </c>
      <c r="CC101" s="1">
        <v>0</v>
      </c>
      <c r="CD101" s="3">
        <f t="shared" si="91"/>
        <v>13.3333128</v>
      </c>
      <c r="CE101" s="2">
        <f>SUMIF('December 2027'!$B:$B,'PTO SUMMARY 2027'!$B:$B,'December 2027'!$AK:$AK)</f>
        <v>0</v>
      </c>
      <c r="CF101" s="1">
        <f t="shared" si="133"/>
        <v>160.00318959999998</v>
      </c>
      <c r="CG101" s="1">
        <v>0</v>
      </c>
      <c r="CH101" s="1">
        <v>0</v>
      </c>
      <c r="CI101" s="1">
        <v>0</v>
      </c>
      <c r="CJ101" s="3">
        <v>0</v>
      </c>
      <c r="CK101" s="31">
        <v>0</v>
      </c>
      <c r="CL101" s="31">
        <v>0</v>
      </c>
      <c r="CM101" s="31">
        <v>0</v>
      </c>
      <c r="CN101" s="30">
        <f t="shared" si="92"/>
        <v>0</v>
      </c>
    </row>
    <row r="102" spans="1:92">
      <c r="A102" s="8" t="s">
        <v>281</v>
      </c>
      <c r="B102" s="8" t="s">
        <v>282</v>
      </c>
      <c r="C102" s="8" t="s">
        <v>64</v>
      </c>
      <c r="D102" s="9" t="s">
        <v>70</v>
      </c>
      <c r="E102" t="s">
        <v>71</v>
      </c>
      <c r="F102" s="12" t="s">
        <v>72</v>
      </c>
      <c r="G102" s="7">
        <v>1</v>
      </c>
      <c r="H102" s="11">
        <f>((G102*86.67)*2)*(SUMIF('Accrual Rates'!B:B,'PTO SUMMARY 2027'!B102,'Accrual Rates'!G:G))</f>
        <v>15.999975360000001</v>
      </c>
      <c r="I102" s="33">
        <v>0</v>
      </c>
      <c r="J102" s="1">
        <v>0</v>
      </c>
      <c r="K102" s="1">
        <v>0</v>
      </c>
      <c r="L102" s="1">
        <v>0</v>
      </c>
      <c r="M102" s="32">
        <v>0</v>
      </c>
      <c r="N102" s="2">
        <f t="shared" si="80"/>
        <v>15.999975360000001</v>
      </c>
      <c r="O102" s="2">
        <f>SUMIF('January 2027'!$B:$B,'PTO SUMMARY 2027'!B102,'January 2027'!$AK:$AK)</f>
        <v>16</v>
      </c>
      <c r="P102" s="1">
        <f t="shared" si="122"/>
        <v>-2.463999999946509E-5</v>
      </c>
      <c r="Q102" s="1">
        <v>0</v>
      </c>
      <c r="R102" s="1">
        <v>0</v>
      </c>
      <c r="S102" s="3">
        <f t="shared" si="81"/>
        <v>15.999975360000001</v>
      </c>
      <c r="T102" s="2">
        <f>SUMIF('February 2027'!$B:$B,'PTO SUMMARY 2027'!G102,'February 2027'!$AK:$AK)</f>
        <v>0</v>
      </c>
      <c r="U102" s="154">
        <v>0</v>
      </c>
      <c r="V102" s="1">
        <f t="shared" si="123"/>
        <v>15.999950720000001</v>
      </c>
      <c r="W102" s="1">
        <v>0</v>
      </c>
      <c r="X102" s="1">
        <v>0</v>
      </c>
      <c r="Y102" s="3">
        <f t="shared" si="82"/>
        <v>15.999975360000001</v>
      </c>
      <c r="Z102" s="2">
        <f>SUMIF('March 2027'!$B:$B,'PTO SUMMARY 2027'!M102,'March 2027'!$AK:$AK)</f>
        <v>0</v>
      </c>
      <c r="AA102" s="1">
        <f t="shared" si="93"/>
        <v>31.999926080000002</v>
      </c>
      <c r="AB102" s="1">
        <v>0</v>
      </c>
      <c r="AC102" s="1">
        <v>0</v>
      </c>
      <c r="AD102" s="3">
        <v>0</v>
      </c>
      <c r="AE102" s="31">
        <f t="shared" si="124"/>
        <v>0</v>
      </c>
      <c r="AF102" s="31">
        <v>0</v>
      </c>
      <c r="AG102" s="30">
        <f t="shared" si="125"/>
        <v>0</v>
      </c>
      <c r="AH102" s="2">
        <f t="shared" si="83"/>
        <v>15.999975360000001</v>
      </c>
      <c r="AI102" s="2">
        <f>SUMIF('April 2027'!$B:$B,'PTO SUMMARY 2027'!V102,'April 2027'!$AK:$AK)</f>
        <v>0</v>
      </c>
      <c r="AJ102" s="1">
        <f t="shared" si="126"/>
        <v>47.999901440000002</v>
      </c>
      <c r="AK102" s="1">
        <v>0</v>
      </c>
      <c r="AL102" s="1">
        <v>0</v>
      </c>
      <c r="AM102" s="3">
        <f t="shared" si="84"/>
        <v>15.999975360000001</v>
      </c>
      <c r="AN102" s="2">
        <f>SUMIF('May 2027'!$B:$B,'PTO SUMMARY 2027'!AA102,'May 2027'!$AK:$AK)</f>
        <v>0</v>
      </c>
      <c r="AO102" s="1">
        <f t="shared" si="127"/>
        <v>64</v>
      </c>
      <c r="AP102" s="1">
        <v>0</v>
      </c>
      <c r="AQ102" s="1">
        <v>0</v>
      </c>
      <c r="AR102" s="3">
        <f t="shared" si="85"/>
        <v>15.999975360000001</v>
      </c>
      <c r="AS102" s="2">
        <f>SUMIF('June 2027'!$B:$B,'PTO SUMMARY 2027'!AF102,'June 2027'!$AK:$AK)</f>
        <v>0</v>
      </c>
      <c r="AT102" s="1">
        <f t="shared" si="128"/>
        <v>79.999975360000008</v>
      </c>
      <c r="AU102" s="1">
        <v>0</v>
      </c>
      <c r="AV102" s="1">
        <v>0</v>
      </c>
      <c r="AW102" s="3">
        <v>0</v>
      </c>
      <c r="AX102" s="31">
        <v>0</v>
      </c>
      <c r="AY102" s="31">
        <v>0</v>
      </c>
      <c r="AZ102" s="30">
        <f t="shared" si="73"/>
        <v>0</v>
      </c>
      <c r="BA102" s="3">
        <f t="shared" si="86"/>
        <v>15.999975360000001</v>
      </c>
      <c r="BB102" s="2">
        <f>SUMIF('July 2027'!$B:$B,'PTO SUMMARY 2027'!AK102,'July 2027'!$AK:$AK)</f>
        <v>0</v>
      </c>
      <c r="BC102" s="1">
        <f t="shared" si="74"/>
        <v>95.999950720000015</v>
      </c>
      <c r="BD102" s="1">
        <v>0</v>
      </c>
      <c r="BE102" s="1">
        <v>0</v>
      </c>
      <c r="BF102" s="3">
        <f t="shared" si="87"/>
        <v>15.999975360000001</v>
      </c>
      <c r="BG102" s="2">
        <f>SUMIF('August 2027'!$B:$B,'PTO SUMMARY 2027'!AP102,'August 2027'!$AK:$AK)</f>
        <v>0</v>
      </c>
      <c r="BH102" s="1">
        <f t="shared" si="129"/>
        <v>111.99992608000002</v>
      </c>
      <c r="BI102" s="1">
        <v>0</v>
      </c>
      <c r="BJ102" s="1">
        <v>0</v>
      </c>
      <c r="BK102" s="3">
        <f t="shared" si="88"/>
        <v>15.999975360000001</v>
      </c>
      <c r="BL102" s="2">
        <f>SUMIF('September 2027'!$B:$B,'PTO SUMMARY 2027'!AU102,'September 2027'!$AK:$AK)</f>
        <v>0</v>
      </c>
      <c r="BM102" s="1">
        <f t="shared" si="130"/>
        <v>127.99990144000003</v>
      </c>
      <c r="BN102" s="1">
        <v>0</v>
      </c>
      <c r="BO102" s="1">
        <v>0</v>
      </c>
      <c r="BP102" s="3">
        <v>0</v>
      </c>
      <c r="BQ102" s="31">
        <v>0</v>
      </c>
      <c r="BR102" s="31">
        <v>0</v>
      </c>
      <c r="BS102" s="30">
        <f t="shared" si="65"/>
        <v>0</v>
      </c>
      <c r="BT102" s="3">
        <f t="shared" si="89"/>
        <v>15.999975360000001</v>
      </c>
      <c r="BU102" s="2">
        <f>SUMIF('October 2027'!$B:$B,'PTO SUMMARY 2027'!BH102,'October 2027'!$AK:$AK)</f>
        <v>0</v>
      </c>
      <c r="BV102" s="1">
        <f t="shared" si="131"/>
        <v>143.99987680000004</v>
      </c>
      <c r="BW102" s="1">
        <v>0</v>
      </c>
      <c r="BX102" s="1">
        <v>0</v>
      </c>
      <c r="BY102" s="3">
        <f t="shared" si="90"/>
        <v>15.999975360000001</v>
      </c>
      <c r="BZ102" s="2">
        <f>SUMIF('November 2027'!$B:$B,'PTO SUMMARY 2027'!BM102,'November 2027'!$AK:$AK)</f>
        <v>0</v>
      </c>
      <c r="CA102" s="1">
        <f t="shared" si="132"/>
        <v>159.99985216000005</v>
      </c>
      <c r="CB102" s="1">
        <v>0</v>
      </c>
      <c r="CC102" s="1">
        <v>0</v>
      </c>
      <c r="CD102" s="3">
        <f t="shared" si="91"/>
        <v>15.999975360000001</v>
      </c>
      <c r="CE102" s="2">
        <f>SUMIF('December 2027'!$B:$B,'PTO SUMMARY 2027'!$B:$B,'December 2027'!$AK:$AK)</f>
        <v>0</v>
      </c>
      <c r="CF102" s="1">
        <f t="shared" si="133"/>
        <v>175.99982752000005</v>
      </c>
      <c r="CG102" s="1">
        <v>0</v>
      </c>
      <c r="CH102" s="1">
        <v>0</v>
      </c>
      <c r="CI102" s="1">
        <v>0</v>
      </c>
      <c r="CJ102" s="3">
        <v>0</v>
      </c>
      <c r="CK102" s="31">
        <v>0</v>
      </c>
      <c r="CL102" s="31">
        <v>0</v>
      </c>
      <c r="CM102" s="31">
        <v>0</v>
      </c>
      <c r="CN102" s="30">
        <f t="shared" si="92"/>
        <v>0</v>
      </c>
    </row>
    <row r="103" spans="1:92" s="37" customFormat="1">
      <c r="A103" s="38" t="s">
        <v>283</v>
      </c>
      <c r="B103" s="8" t="s">
        <v>284</v>
      </c>
      <c r="C103" s="8" t="s">
        <v>75</v>
      </c>
      <c r="D103" s="9" t="s">
        <v>70</v>
      </c>
      <c r="E103" t="s">
        <v>76</v>
      </c>
      <c r="F103" s="12" t="s">
        <v>99</v>
      </c>
      <c r="G103" s="7">
        <v>1</v>
      </c>
      <c r="H103" s="11">
        <f>((G103*86.67)*2)*(SUMIF('Accrual Rates'!B:B,'PTO SUMMARY 2027'!B103,'Accrual Rates'!G:G))</f>
        <v>17.33330664</v>
      </c>
      <c r="I103" s="33">
        <v>0</v>
      </c>
      <c r="J103" s="1">
        <v>0</v>
      </c>
      <c r="K103" s="1">
        <v>0</v>
      </c>
      <c r="L103" s="1">
        <v>0</v>
      </c>
      <c r="M103" s="32">
        <v>0</v>
      </c>
      <c r="N103" s="2">
        <f t="shared" si="80"/>
        <v>17.33330664</v>
      </c>
      <c r="O103" s="2">
        <f>SUMIF('January 2027'!$B:$B,'PTO SUMMARY 2027'!B103,'January 2027'!$AK:$AK)</f>
        <v>0</v>
      </c>
      <c r="P103" s="1">
        <f t="shared" si="122"/>
        <v>17.33330664</v>
      </c>
      <c r="Q103" s="1">
        <v>0</v>
      </c>
      <c r="R103" s="1">
        <v>0</v>
      </c>
      <c r="S103" s="3">
        <f t="shared" si="81"/>
        <v>17.33330664</v>
      </c>
      <c r="T103" s="2">
        <f>SUMIF('February 2027'!$B:$B,'PTO SUMMARY 2027'!G103,'February 2027'!$AK:$AK)</f>
        <v>0</v>
      </c>
      <c r="U103" s="154">
        <v>0</v>
      </c>
      <c r="V103" s="1">
        <f t="shared" si="123"/>
        <v>34.66661328</v>
      </c>
      <c r="W103" s="1">
        <v>0</v>
      </c>
      <c r="X103" s="1">
        <v>0</v>
      </c>
      <c r="Y103" s="3">
        <f t="shared" si="82"/>
        <v>17.33330664</v>
      </c>
      <c r="Z103" s="2">
        <f>SUMIF('March 2027'!$B:$B,'PTO SUMMARY 2027'!M103,'March 2027'!$AK:$AK)</f>
        <v>0</v>
      </c>
      <c r="AA103" s="1">
        <f>V103+Y103-Z103-U103</f>
        <v>51.999919919999996</v>
      </c>
      <c r="AB103" s="1">
        <v>0</v>
      </c>
      <c r="AC103" s="1">
        <v>0</v>
      </c>
      <c r="AD103" s="3">
        <v>0</v>
      </c>
      <c r="AE103" s="31">
        <f t="shared" si="124"/>
        <v>0</v>
      </c>
      <c r="AF103" s="31">
        <v>0</v>
      </c>
      <c r="AG103" s="30">
        <f t="shared" si="125"/>
        <v>0</v>
      </c>
      <c r="AH103" s="2">
        <f t="shared" si="83"/>
        <v>17.33330664</v>
      </c>
      <c r="AI103" s="2">
        <f>SUMIF('April 2027'!$B:$B,'PTO SUMMARY 2027'!V103,'April 2027'!$AK:$AK)</f>
        <v>0</v>
      </c>
      <c r="AJ103" s="1">
        <f t="shared" si="126"/>
        <v>69.33322656</v>
      </c>
      <c r="AK103" s="1">
        <v>0</v>
      </c>
      <c r="AL103" s="1">
        <v>0</v>
      </c>
      <c r="AM103" s="3">
        <f t="shared" si="84"/>
        <v>17.33330664</v>
      </c>
      <c r="AN103" s="2">
        <f>SUMIF('May 2027'!$B:$B,'PTO SUMMARY 2027'!AA103,'May 2027'!$AK:$AK)</f>
        <v>0</v>
      </c>
      <c r="AO103" s="1">
        <f t="shared" si="127"/>
        <v>86.67</v>
      </c>
      <c r="AP103" s="1">
        <v>0</v>
      </c>
      <c r="AQ103" s="1">
        <v>0</v>
      </c>
      <c r="AR103" s="3">
        <f t="shared" si="85"/>
        <v>17.33330664</v>
      </c>
      <c r="AS103" s="2">
        <f>SUMIF('June 2027'!$B:$B,'PTO SUMMARY 2027'!AF103,'June 2027'!$AK:$AK)</f>
        <v>0</v>
      </c>
      <c r="AT103" s="1">
        <f t="shared" si="128"/>
        <v>104.00330664000001</v>
      </c>
      <c r="AU103" s="1">
        <v>0</v>
      </c>
      <c r="AV103" s="1">
        <v>0</v>
      </c>
      <c r="AW103" s="3">
        <v>0</v>
      </c>
      <c r="AX103" s="31">
        <v>0</v>
      </c>
      <c r="AY103" s="31">
        <v>0</v>
      </c>
      <c r="AZ103" s="30">
        <f t="shared" si="73"/>
        <v>0</v>
      </c>
      <c r="BA103" s="3">
        <f t="shared" si="86"/>
        <v>17.33330664</v>
      </c>
      <c r="BB103" s="2">
        <f>SUMIF('July 2027'!$B:$B,'PTO SUMMARY 2027'!AK103,'July 2027'!$AK:$AK)</f>
        <v>0</v>
      </c>
      <c r="BC103" s="1">
        <f t="shared" si="74"/>
        <v>121.33661328000001</v>
      </c>
      <c r="BD103" s="1">
        <v>0</v>
      </c>
      <c r="BE103" s="1">
        <v>0</v>
      </c>
      <c r="BF103" s="3">
        <f t="shared" si="87"/>
        <v>17.33330664</v>
      </c>
      <c r="BG103" s="2">
        <f>SUMIF('August 2027'!$B:$B,'PTO SUMMARY 2027'!AP103,'August 2027'!$AK:$AK)</f>
        <v>0</v>
      </c>
      <c r="BH103" s="1">
        <f t="shared" si="129"/>
        <v>138.66991992000001</v>
      </c>
      <c r="BI103" s="1">
        <v>0</v>
      </c>
      <c r="BJ103" s="1">
        <v>0</v>
      </c>
      <c r="BK103" s="3">
        <f t="shared" si="88"/>
        <v>17.33330664</v>
      </c>
      <c r="BL103" s="2">
        <f>SUMIF('September 2027'!$B:$B,'PTO SUMMARY 2027'!AU103,'September 2027'!$AK:$AK)</f>
        <v>0</v>
      </c>
      <c r="BM103" s="1">
        <f t="shared" si="130"/>
        <v>156.00322656</v>
      </c>
      <c r="BN103" s="1">
        <v>0</v>
      </c>
      <c r="BO103" s="1">
        <v>0</v>
      </c>
      <c r="BP103" s="3">
        <v>0</v>
      </c>
      <c r="BQ103" s="31">
        <v>0</v>
      </c>
      <c r="BR103" s="31">
        <v>0</v>
      </c>
      <c r="BS103" s="30">
        <f t="shared" si="65"/>
        <v>0</v>
      </c>
      <c r="BT103" s="3">
        <f t="shared" si="89"/>
        <v>17.33330664</v>
      </c>
      <c r="BU103" s="2">
        <f>SUMIF('October 2027'!$B:$B,'PTO SUMMARY 2027'!BH103,'October 2027'!$AK:$AK)</f>
        <v>0</v>
      </c>
      <c r="BV103" s="1">
        <f t="shared" si="131"/>
        <v>173.33653319999999</v>
      </c>
      <c r="BW103" s="1">
        <v>0</v>
      </c>
      <c r="BX103" s="1">
        <v>0</v>
      </c>
      <c r="BY103" s="3">
        <f t="shared" si="90"/>
        <v>17.33330664</v>
      </c>
      <c r="BZ103" s="2">
        <f>SUMIF('November 2027'!$B:$B,'PTO SUMMARY 2027'!BM103,'November 2027'!$AK:$AK)</f>
        <v>0</v>
      </c>
      <c r="CA103" s="1">
        <f t="shared" si="132"/>
        <v>190.66983983999998</v>
      </c>
      <c r="CB103" s="1">
        <v>0</v>
      </c>
      <c r="CC103" s="1">
        <v>0</v>
      </c>
      <c r="CD103" s="3">
        <f t="shared" si="91"/>
        <v>17.33330664</v>
      </c>
      <c r="CE103" s="2">
        <f>SUMIF('December 2027'!$B:$B,'PTO SUMMARY 2027'!$B:$B,'December 2027'!$AK:$AK)</f>
        <v>0</v>
      </c>
      <c r="CF103" s="1">
        <f t="shared" si="133"/>
        <v>208.00314647999997</v>
      </c>
      <c r="CG103" s="1">
        <v>0</v>
      </c>
      <c r="CH103" s="1">
        <v>0</v>
      </c>
      <c r="CI103" s="1">
        <v>0</v>
      </c>
      <c r="CJ103" s="3">
        <v>0</v>
      </c>
      <c r="CK103" s="31">
        <v>0</v>
      </c>
      <c r="CL103" s="31">
        <v>0</v>
      </c>
      <c r="CM103" s="31">
        <v>0</v>
      </c>
      <c r="CN103" s="30">
        <f t="shared" si="92"/>
        <v>0</v>
      </c>
    </row>
    <row r="104" spans="1:92">
      <c r="A104" s="35" t="s">
        <v>285</v>
      </c>
      <c r="B104" s="8" t="s">
        <v>286</v>
      </c>
      <c r="C104" s="8" t="s">
        <v>75</v>
      </c>
      <c r="D104" s="9" t="s">
        <v>65</v>
      </c>
      <c r="E104" t="s">
        <v>95</v>
      </c>
      <c r="F104" s="12" t="s">
        <v>67</v>
      </c>
      <c r="G104" s="7">
        <v>0.8</v>
      </c>
      <c r="H104" s="34">
        <v>0</v>
      </c>
      <c r="I104" s="33">
        <v>0</v>
      </c>
      <c r="J104" s="1">
        <v>0</v>
      </c>
      <c r="K104" s="1">
        <v>0</v>
      </c>
      <c r="L104" s="1">
        <v>0</v>
      </c>
      <c r="M104" s="32">
        <v>0</v>
      </c>
      <c r="N104" s="2">
        <f t="shared" si="80"/>
        <v>0</v>
      </c>
      <c r="O104" s="2">
        <f>SUMIF('January 2027'!$B:$B,'PTO SUMMARY 2027'!B104,'January 2027'!$AK:$AK)</f>
        <v>8</v>
      </c>
      <c r="P104" s="1">
        <f t="shared" si="122"/>
        <v>-8</v>
      </c>
      <c r="Q104" s="1">
        <v>0</v>
      </c>
      <c r="R104" s="1">
        <v>0</v>
      </c>
      <c r="S104" s="3">
        <f t="shared" si="81"/>
        <v>0</v>
      </c>
      <c r="T104" s="2">
        <f>SUMIF('February 2027'!$B:$B,'PTO SUMMARY 2027'!G104,'February 2027'!$AK:$AK)</f>
        <v>0</v>
      </c>
      <c r="U104" s="154">
        <v>0</v>
      </c>
      <c r="V104" s="1">
        <f t="shared" si="123"/>
        <v>-8</v>
      </c>
      <c r="W104" s="1">
        <v>0</v>
      </c>
      <c r="X104" s="1">
        <v>0</v>
      </c>
      <c r="Y104" s="3">
        <f t="shared" si="82"/>
        <v>0</v>
      </c>
      <c r="Z104" s="2">
        <f>SUMIF('March 2027'!$B:$B,'PTO SUMMARY 2027'!M104,'March 2027'!$AK:$AK)</f>
        <v>0</v>
      </c>
      <c r="AA104" s="1">
        <f t="shared" ref="AA104:AA121" si="134">V104+Y104-Z104</f>
        <v>-8</v>
      </c>
      <c r="AB104" s="1">
        <v>0</v>
      </c>
      <c r="AC104" s="1">
        <v>0</v>
      </c>
      <c r="AD104" s="3">
        <v>0</v>
      </c>
      <c r="AE104" s="31">
        <f t="shared" si="124"/>
        <v>0</v>
      </c>
      <c r="AF104" s="31">
        <v>0</v>
      </c>
      <c r="AG104" s="30">
        <f t="shared" si="125"/>
        <v>0</v>
      </c>
      <c r="AH104" s="2">
        <f t="shared" si="83"/>
        <v>0</v>
      </c>
      <c r="AI104" s="2">
        <f>SUMIF('April 2027'!$B:$B,'PTO SUMMARY 2027'!V104,'April 2027'!$AK:$AK)</f>
        <v>0</v>
      </c>
      <c r="AJ104" s="1">
        <f t="shared" si="126"/>
        <v>-8</v>
      </c>
      <c r="AK104" s="1">
        <v>0</v>
      </c>
      <c r="AL104" s="1">
        <v>0</v>
      </c>
      <c r="AM104" s="3">
        <f t="shared" si="84"/>
        <v>0</v>
      </c>
      <c r="AN104" s="2">
        <f>SUMIF('May 2027'!$B:$B,'PTO SUMMARY 2027'!AA104,'May 2027'!$AK:$AK)</f>
        <v>0</v>
      </c>
      <c r="AO104" s="1">
        <f t="shared" si="127"/>
        <v>-8</v>
      </c>
      <c r="AP104" s="1">
        <v>0</v>
      </c>
      <c r="AQ104" s="1">
        <v>0</v>
      </c>
      <c r="AR104" s="3">
        <f t="shared" si="85"/>
        <v>0</v>
      </c>
      <c r="AS104" s="2">
        <f>SUMIF('June 2027'!$B:$B,'PTO SUMMARY 2027'!AF104,'June 2027'!$AK:$AK)</f>
        <v>0</v>
      </c>
      <c r="AT104" s="1">
        <f t="shared" si="128"/>
        <v>-8</v>
      </c>
      <c r="AU104" s="1">
        <v>0</v>
      </c>
      <c r="AV104" s="1">
        <v>0</v>
      </c>
      <c r="AW104" s="3">
        <v>0</v>
      </c>
      <c r="AX104" s="31">
        <v>0</v>
      </c>
      <c r="AY104" s="31">
        <v>0</v>
      </c>
      <c r="AZ104" s="30">
        <f t="shared" si="73"/>
        <v>0</v>
      </c>
      <c r="BA104" s="3">
        <f t="shared" si="86"/>
        <v>0</v>
      </c>
      <c r="BB104" s="2">
        <f>SUMIF('July 2027'!$B:$B,'PTO SUMMARY 2027'!AK104,'July 2027'!$AK:$AK)</f>
        <v>0</v>
      </c>
      <c r="BC104" s="1">
        <f t="shared" si="74"/>
        <v>-8</v>
      </c>
      <c r="BD104" s="1">
        <v>0</v>
      </c>
      <c r="BE104" s="1">
        <v>0</v>
      </c>
      <c r="BF104" s="3">
        <f t="shared" si="87"/>
        <v>0</v>
      </c>
      <c r="BG104" s="2">
        <f>SUMIF('August 2027'!$B:$B,'PTO SUMMARY 2027'!AP104,'August 2027'!$AK:$AK)</f>
        <v>0</v>
      </c>
      <c r="BH104" s="1">
        <f t="shared" si="129"/>
        <v>-8</v>
      </c>
      <c r="BI104" s="1">
        <v>0</v>
      </c>
      <c r="BJ104" s="1">
        <v>0</v>
      </c>
      <c r="BK104" s="3">
        <f t="shared" si="88"/>
        <v>0</v>
      </c>
      <c r="BL104" s="2">
        <f>SUMIF('September 2027'!$B:$B,'PTO SUMMARY 2027'!AU104,'September 2027'!$AK:$AK)</f>
        <v>0</v>
      </c>
      <c r="BM104" s="1">
        <f t="shared" si="130"/>
        <v>-8</v>
      </c>
      <c r="BN104" s="1">
        <v>0</v>
      </c>
      <c r="BO104" s="1">
        <v>0</v>
      </c>
      <c r="BP104" s="3">
        <v>0</v>
      </c>
      <c r="BQ104" s="31">
        <v>0</v>
      </c>
      <c r="BR104" s="31">
        <v>0</v>
      </c>
      <c r="BS104" s="30">
        <f t="shared" si="65"/>
        <v>0</v>
      </c>
      <c r="BT104" s="3">
        <f t="shared" si="89"/>
        <v>0</v>
      </c>
      <c r="BU104" s="2">
        <f>SUMIF('October 2027'!$B:$B,'PTO SUMMARY 2027'!BH104,'October 2027'!$AK:$AK)</f>
        <v>0</v>
      </c>
      <c r="BV104" s="1">
        <f t="shared" si="131"/>
        <v>-8</v>
      </c>
      <c r="BW104" s="1">
        <v>0</v>
      </c>
      <c r="BX104" s="1">
        <v>0</v>
      </c>
      <c r="BY104" s="3">
        <f t="shared" si="90"/>
        <v>0</v>
      </c>
      <c r="BZ104" s="2">
        <f>SUMIF('November 2027'!$B:$B,'PTO SUMMARY 2027'!BM104,'November 2027'!$AK:$AK)</f>
        <v>0</v>
      </c>
      <c r="CA104" s="1">
        <f t="shared" si="132"/>
        <v>-8</v>
      </c>
      <c r="CB104" s="1">
        <v>0</v>
      </c>
      <c r="CC104" s="1">
        <v>0</v>
      </c>
      <c r="CD104" s="3">
        <f t="shared" si="91"/>
        <v>0</v>
      </c>
      <c r="CE104" s="2">
        <f>SUMIF('December 2027'!$B:$B,'PTO SUMMARY 2027'!$B:$B,'December 2027'!$AK:$AK)</f>
        <v>0</v>
      </c>
      <c r="CF104" s="1">
        <f t="shared" si="133"/>
        <v>-8</v>
      </c>
      <c r="CG104" s="1">
        <v>0</v>
      </c>
      <c r="CH104" s="1">
        <v>0</v>
      </c>
      <c r="CI104" s="1">
        <v>0</v>
      </c>
      <c r="CJ104" s="3">
        <v>0</v>
      </c>
      <c r="CK104" s="31">
        <v>0</v>
      </c>
      <c r="CL104" s="31">
        <v>0</v>
      </c>
      <c r="CM104" s="31">
        <v>0</v>
      </c>
      <c r="CN104" s="30">
        <f t="shared" si="92"/>
        <v>0</v>
      </c>
    </row>
    <row r="105" spans="1:92" ht="14.25" customHeight="1">
      <c r="A105" s="8" t="s">
        <v>287</v>
      </c>
      <c r="B105" s="8" t="s">
        <v>288</v>
      </c>
      <c r="C105" s="8" t="s">
        <v>75</v>
      </c>
      <c r="D105" s="9" t="s">
        <v>70</v>
      </c>
      <c r="E105" t="s">
        <v>76</v>
      </c>
      <c r="F105" s="12" t="s">
        <v>80</v>
      </c>
      <c r="G105" s="7">
        <v>1</v>
      </c>
      <c r="H105" s="11">
        <f>((G105*86.67)*2)*(SUMIF('Accrual Rates'!B:B,'PTO SUMMARY 2027'!B105,'Accrual Rates'!G:G))</f>
        <v>17.33330664</v>
      </c>
      <c r="I105" s="33">
        <v>0</v>
      </c>
      <c r="J105" s="1">
        <v>0</v>
      </c>
      <c r="K105" s="1">
        <v>0</v>
      </c>
      <c r="L105" s="1">
        <v>0</v>
      </c>
      <c r="M105" s="32">
        <v>0</v>
      </c>
      <c r="N105" s="2">
        <f t="shared" si="80"/>
        <v>17.33330664</v>
      </c>
      <c r="O105" s="2">
        <f>SUMIF('January 2027'!$B:$B,'PTO SUMMARY 2027'!B105,'January 2027'!$AK:$AK)</f>
        <v>0</v>
      </c>
      <c r="P105" s="1">
        <f t="shared" si="122"/>
        <v>17.33330664</v>
      </c>
      <c r="Q105" s="1">
        <v>0</v>
      </c>
      <c r="R105" s="1">
        <v>0</v>
      </c>
      <c r="S105" s="3">
        <f t="shared" si="81"/>
        <v>17.33330664</v>
      </c>
      <c r="T105" s="2">
        <f>SUMIF('February 2027'!$B:$B,'PTO SUMMARY 2027'!G105,'February 2027'!$AK:$AK)</f>
        <v>0</v>
      </c>
      <c r="U105" s="154">
        <v>0</v>
      </c>
      <c r="V105" s="1">
        <f t="shared" si="123"/>
        <v>34.66661328</v>
      </c>
      <c r="W105" s="1">
        <v>0</v>
      </c>
      <c r="X105" s="1">
        <v>0</v>
      </c>
      <c r="Y105" s="3">
        <f t="shared" si="82"/>
        <v>17.33330664</v>
      </c>
      <c r="Z105" s="2">
        <f>SUMIF('March 2027'!$B:$B,'PTO SUMMARY 2027'!M105,'March 2027'!$AK:$AK)</f>
        <v>0</v>
      </c>
      <c r="AA105" s="1">
        <f t="shared" si="134"/>
        <v>51.999919919999996</v>
      </c>
      <c r="AB105" s="1">
        <v>0</v>
      </c>
      <c r="AC105" s="1">
        <v>0</v>
      </c>
      <c r="AD105" s="3">
        <v>0</v>
      </c>
      <c r="AE105" s="31">
        <f t="shared" si="124"/>
        <v>0</v>
      </c>
      <c r="AF105" s="31">
        <v>0</v>
      </c>
      <c r="AG105" s="30">
        <f t="shared" si="125"/>
        <v>0</v>
      </c>
      <c r="AH105" s="2">
        <f t="shared" si="83"/>
        <v>17.33330664</v>
      </c>
      <c r="AI105" s="2">
        <f>SUMIF('April 2027'!$B:$B,'PTO SUMMARY 2027'!V105,'April 2027'!$AK:$AK)</f>
        <v>0</v>
      </c>
      <c r="AJ105" s="1">
        <f t="shared" si="126"/>
        <v>69.33322656</v>
      </c>
      <c r="AK105" s="1">
        <v>0</v>
      </c>
      <c r="AL105" s="1">
        <v>0</v>
      </c>
      <c r="AM105" s="3">
        <f t="shared" si="84"/>
        <v>17.33330664</v>
      </c>
      <c r="AN105" s="2">
        <f>SUMIF('May 2027'!$B:$B,'PTO SUMMARY 2027'!AA105,'May 2027'!$AK:$AK)</f>
        <v>0</v>
      </c>
      <c r="AO105" s="1">
        <f t="shared" si="127"/>
        <v>86.67</v>
      </c>
      <c r="AP105" s="1">
        <v>0</v>
      </c>
      <c r="AQ105" s="1">
        <v>0</v>
      </c>
      <c r="AR105" s="3">
        <f t="shared" si="85"/>
        <v>17.33330664</v>
      </c>
      <c r="AS105" s="2">
        <f>SUMIF('June 2027'!$B:$B,'PTO SUMMARY 2027'!AF105,'June 2027'!$AK:$AK)</f>
        <v>0</v>
      </c>
      <c r="AT105" s="1">
        <f t="shared" si="128"/>
        <v>104.00330664000001</v>
      </c>
      <c r="AU105" s="1">
        <v>0</v>
      </c>
      <c r="AV105" s="1">
        <v>0</v>
      </c>
      <c r="AW105" s="3">
        <v>0</v>
      </c>
      <c r="AX105" s="31">
        <v>0</v>
      </c>
      <c r="AY105" s="31">
        <v>0</v>
      </c>
      <c r="AZ105" s="30">
        <f t="shared" si="73"/>
        <v>0</v>
      </c>
      <c r="BA105" s="3">
        <f t="shared" si="86"/>
        <v>17.33330664</v>
      </c>
      <c r="BB105" s="2">
        <f>SUMIF('July 2027'!$B:$B,'PTO SUMMARY 2027'!AK105,'July 2027'!$AK:$AK)</f>
        <v>0</v>
      </c>
      <c r="BC105" s="1">
        <f t="shared" si="74"/>
        <v>121.33661328000001</v>
      </c>
      <c r="BD105" s="1">
        <v>0</v>
      </c>
      <c r="BE105" s="1">
        <v>0</v>
      </c>
      <c r="BF105" s="3">
        <f t="shared" si="87"/>
        <v>17.33330664</v>
      </c>
      <c r="BG105" s="2">
        <f>SUMIF('August 2027'!$B:$B,'PTO SUMMARY 2027'!AP105,'August 2027'!$AK:$AK)</f>
        <v>0</v>
      </c>
      <c r="BH105" s="1">
        <f t="shared" si="129"/>
        <v>138.66991992000001</v>
      </c>
      <c r="BI105" s="1">
        <v>0</v>
      </c>
      <c r="BJ105" s="1">
        <v>0</v>
      </c>
      <c r="BK105" s="3">
        <f t="shared" si="88"/>
        <v>17.33330664</v>
      </c>
      <c r="BL105" s="2">
        <f>SUMIF('September 2027'!$B:$B,'PTO SUMMARY 2027'!AU105,'September 2027'!$AK:$AK)</f>
        <v>0</v>
      </c>
      <c r="BM105" s="1">
        <f t="shared" si="130"/>
        <v>156.00322656</v>
      </c>
      <c r="BN105" s="1">
        <v>0</v>
      </c>
      <c r="BO105" s="1">
        <v>0</v>
      </c>
      <c r="BP105" s="3">
        <v>0</v>
      </c>
      <c r="BQ105" s="31">
        <v>0</v>
      </c>
      <c r="BR105" s="31">
        <v>0</v>
      </c>
      <c r="BS105" s="30">
        <f t="shared" si="65"/>
        <v>0</v>
      </c>
      <c r="BT105" s="3">
        <f t="shared" si="89"/>
        <v>17.33330664</v>
      </c>
      <c r="BU105" s="2">
        <f>SUMIF('October 2027'!$B:$B,'PTO SUMMARY 2027'!BH105,'October 2027'!$AK:$AK)</f>
        <v>0</v>
      </c>
      <c r="BV105" s="1">
        <f t="shared" si="131"/>
        <v>173.33653319999999</v>
      </c>
      <c r="BW105" s="1">
        <v>0</v>
      </c>
      <c r="BX105" s="1">
        <v>0</v>
      </c>
      <c r="BY105" s="3">
        <f t="shared" si="90"/>
        <v>17.33330664</v>
      </c>
      <c r="BZ105" s="2">
        <f>SUMIF('November 2027'!$B:$B,'PTO SUMMARY 2027'!BM105,'November 2027'!$AK:$AK)</f>
        <v>0</v>
      </c>
      <c r="CA105" s="1">
        <f t="shared" si="132"/>
        <v>190.66983983999998</v>
      </c>
      <c r="CB105" s="1">
        <v>0</v>
      </c>
      <c r="CC105" s="1">
        <v>0</v>
      </c>
      <c r="CD105" s="3">
        <f t="shared" si="91"/>
        <v>17.33330664</v>
      </c>
      <c r="CE105" s="2">
        <f>SUMIF('December 2027'!$B:$B,'PTO SUMMARY 2027'!$B:$B,'December 2027'!$AK:$AK)</f>
        <v>0</v>
      </c>
      <c r="CF105" s="1">
        <f t="shared" si="133"/>
        <v>208.00314647999997</v>
      </c>
      <c r="CG105" s="1">
        <v>0</v>
      </c>
      <c r="CH105" s="1">
        <v>0</v>
      </c>
      <c r="CI105" s="1">
        <v>0</v>
      </c>
      <c r="CJ105" s="3">
        <v>0</v>
      </c>
      <c r="CK105" s="31">
        <v>0</v>
      </c>
      <c r="CL105" s="31">
        <v>0</v>
      </c>
      <c r="CM105" s="31">
        <v>0</v>
      </c>
      <c r="CN105" s="30">
        <f t="shared" si="92"/>
        <v>0</v>
      </c>
    </row>
    <row r="106" spans="1:92" ht="14.25" customHeight="1">
      <c r="A106" s="8" t="s">
        <v>289</v>
      </c>
      <c r="B106" s="8" t="s">
        <v>290</v>
      </c>
      <c r="C106" s="8" t="s">
        <v>64</v>
      </c>
      <c r="D106" s="9" t="s">
        <v>70</v>
      </c>
      <c r="E106" t="s">
        <v>71</v>
      </c>
      <c r="F106" s="12" t="s">
        <v>77</v>
      </c>
      <c r="G106" s="7">
        <v>1</v>
      </c>
      <c r="H106" s="11">
        <f>((G106*86.67)*2)*(SUMIF('Accrual Rates'!B:B,'PTO SUMMARY 2027'!B106,'Accrual Rates'!G:G))</f>
        <v>16.0001487</v>
      </c>
      <c r="I106" s="33">
        <v>0</v>
      </c>
      <c r="J106" s="1">
        <v>0</v>
      </c>
      <c r="K106" s="1">
        <v>0</v>
      </c>
      <c r="L106" s="1">
        <v>0</v>
      </c>
      <c r="M106" s="32">
        <v>0</v>
      </c>
      <c r="N106" s="2">
        <f t="shared" si="80"/>
        <v>16.0001487</v>
      </c>
      <c r="O106" s="2">
        <f>SUMIF('January 2027'!$B:$B,'PTO SUMMARY 2027'!B106,'January 2027'!$AK:$AK)</f>
        <v>16</v>
      </c>
      <c r="P106" s="1">
        <f t="shared" si="122"/>
        <v>1.487000000004457E-4</v>
      </c>
      <c r="Q106" s="1">
        <v>0</v>
      </c>
      <c r="R106" s="1">
        <v>0</v>
      </c>
      <c r="S106" s="3">
        <f t="shared" si="81"/>
        <v>16.0001487</v>
      </c>
      <c r="T106" s="2">
        <f>SUMIF('February 2027'!$B:$B,'PTO SUMMARY 2027'!G106,'February 2027'!$AK:$AK)</f>
        <v>0</v>
      </c>
      <c r="U106" s="154">
        <v>0</v>
      </c>
      <c r="V106" s="1">
        <f t="shared" si="123"/>
        <v>16.000297400000001</v>
      </c>
      <c r="W106" s="1">
        <v>0</v>
      </c>
      <c r="X106" s="1">
        <v>0</v>
      </c>
      <c r="Y106" s="3">
        <f t="shared" si="82"/>
        <v>16.0001487</v>
      </c>
      <c r="Z106" s="2">
        <f>SUMIF('March 2027'!$B:$B,'PTO SUMMARY 2027'!M106,'March 2027'!$AK:$AK)</f>
        <v>0</v>
      </c>
      <c r="AA106" s="1">
        <f t="shared" si="134"/>
        <v>32.000446100000005</v>
      </c>
      <c r="AB106" s="1">
        <v>0</v>
      </c>
      <c r="AC106" s="1">
        <v>0</v>
      </c>
      <c r="AD106" s="3">
        <v>0</v>
      </c>
      <c r="AE106" s="31">
        <f t="shared" si="124"/>
        <v>0</v>
      </c>
      <c r="AF106" s="31">
        <v>0</v>
      </c>
      <c r="AG106" s="30">
        <f t="shared" si="125"/>
        <v>0</v>
      </c>
      <c r="AH106" s="2">
        <f t="shared" si="83"/>
        <v>16.0001487</v>
      </c>
      <c r="AI106" s="2">
        <f>SUMIF('April 2027'!$B:$B,'PTO SUMMARY 2027'!V106,'April 2027'!$AK:$AK)</f>
        <v>0</v>
      </c>
      <c r="AJ106" s="1">
        <f t="shared" si="126"/>
        <v>48.000594800000002</v>
      </c>
      <c r="AK106" s="1">
        <v>0</v>
      </c>
      <c r="AL106" s="1">
        <v>0</v>
      </c>
      <c r="AM106" s="3">
        <f t="shared" si="84"/>
        <v>16.0001487</v>
      </c>
      <c r="AN106" s="2">
        <f>SUMIF('May 2027'!$B:$B,'PTO SUMMARY 2027'!AA106,'May 2027'!$AK:$AK)</f>
        <v>0</v>
      </c>
      <c r="AO106" s="1">
        <f t="shared" si="127"/>
        <v>64</v>
      </c>
      <c r="AP106" s="1">
        <v>0</v>
      </c>
      <c r="AQ106" s="1">
        <v>0</v>
      </c>
      <c r="AR106" s="3">
        <f t="shared" si="85"/>
        <v>16.0001487</v>
      </c>
      <c r="AS106" s="2">
        <f>SUMIF('June 2027'!$B:$B,'PTO SUMMARY 2027'!AF106,'June 2027'!$AK:$AK)</f>
        <v>0</v>
      </c>
      <c r="AT106" s="1">
        <f t="shared" si="128"/>
        <v>80.000148699999997</v>
      </c>
      <c r="AU106" s="1">
        <v>0</v>
      </c>
      <c r="AV106" s="1">
        <v>0</v>
      </c>
      <c r="AW106" s="3">
        <v>0</v>
      </c>
      <c r="AX106" s="31">
        <v>0</v>
      </c>
      <c r="AY106" s="31">
        <v>0</v>
      </c>
      <c r="AZ106" s="30">
        <f t="shared" si="73"/>
        <v>0</v>
      </c>
      <c r="BA106" s="3">
        <f t="shared" si="86"/>
        <v>16.0001487</v>
      </c>
      <c r="BB106" s="2">
        <f>SUMIF('July 2027'!$B:$B,'PTO SUMMARY 2027'!AK106,'July 2027'!$AK:$AK)</f>
        <v>0</v>
      </c>
      <c r="BC106" s="1">
        <f t="shared" si="74"/>
        <v>96.000297399999994</v>
      </c>
      <c r="BD106" s="1">
        <v>0</v>
      </c>
      <c r="BE106" s="1">
        <v>0</v>
      </c>
      <c r="BF106" s="3">
        <f t="shared" si="87"/>
        <v>16.0001487</v>
      </c>
      <c r="BG106" s="2">
        <f>SUMIF('August 2027'!$B:$B,'PTO SUMMARY 2027'!AP106,'August 2027'!$AK:$AK)</f>
        <v>0</v>
      </c>
      <c r="BH106" s="1">
        <f t="shared" si="129"/>
        <v>112.00044609999999</v>
      </c>
      <c r="BI106" s="1">
        <v>0</v>
      </c>
      <c r="BJ106" s="1">
        <v>0</v>
      </c>
      <c r="BK106" s="3">
        <f t="shared" si="88"/>
        <v>16.0001487</v>
      </c>
      <c r="BL106" s="2">
        <f>SUMIF('September 2027'!$B:$B,'PTO SUMMARY 2027'!AU106,'September 2027'!$AK:$AK)</f>
        <v>0</v>
      </c>
      <c r="BM106" s="1">
        <f t="shared" si="130"/>
        <v>128.00059479999999</v>
      </c>
      <c r="BN106" s="1">
        <v>0</v>
      </c>
      <c r="BO106" s="1">
        <v>0</v>
      </c>
      <c r="BP106" s="3">
        <v>0</v>
      </c>
      <c r="BQ106" s="31">
        <v>0</v>
      </c>
      <c r="BR106" s="31">
        <v>0</v>
      </c>
      <c r="BS106" s="30">
        <f t="shared" si="65"/>
        <v>0</v>
      </c>
      <c r="BT106" s="3">
        <f t="shared" si="89"/>
        <v>16.0001487</v>
      </c>
      <c r="BU106" s="2">
        <f>SUMIF('October 2027'!$B:$B,'PTO SUMMARY 2027'!BH106,'October 2027'!$AK:$AK)</f>
        <v>0</v>
      </c>
      <c r="BV106" s="1">
        <f t="shared" si="131"/>
        <v>144.0007435</v>
      </c>
      <c r="BW106" s="1">
        <v>0</v>
      </c>
      <c r="BX106" s="1">
        <v>0</v>
      </c>
      <c r="BY106" s="3">
        <f t="shared" si="90"/>
        <v>16.0001487</v>
      </c>
      <c r="BZ106" s="2">
        <f>SUMIF('November 2027'!$B:$B,'PTO SUMMARY 2027'!BM106,'November 2027'!$AK:$AK)</f>
        <v>0</v>
      </c>
      <c r="CA106" s="1">
        <f t="shared" si="132"/>
        <v>160.00089220000001</v>
      </c>
      <c r="CB106" s="1">
        <v>0</v>
      </c>
      <c r="CC106" s="1">
        <v>0</v>
      </c>
      <c r="CD106" s="3">
        <f t="shared" si="91"/>
        <v>16.0001487</v>
      </c>
      <c r="CE106" s="2">
        <f>SUMIF('December 2027'!$B:$B,'PTO SUMMARY 2027'!$B:$B,'December 2027'!$AK:$AK)</f>
        <v>0</v>
      </c>
      <c r="CF106" s="1">
        <f t="shared" si="133"/>
        <v>176.00104090000002</v>
      </c>
      <c r="CG106" s="1">
        <v>0</v>
      </c>
      <c r="CH106" s="1">
        <v>0</v>
      </c>
      <c r="CI106" s="1">
        <v>0</v>
      </c>
      <c r="CJ106" s="3">
        <v>0</v>
      </c>
      <c r="CK106" s="31">
        <v>0</v>
      </c>
      <c r="CL106" s="31">
        <v>0</v>
      </c>
      <c r="CM106" s="31">
        <v>0</v>
      </c>
      <c r="CN106" s="30">
        <f t="shared" si="92"/>
        <v>0</v>
      </c>
    </row>
    <row r="107" spans="1:92" ht="14.25" customHeight="1">
      <c r="A107" s="8" t="s">
        <v>291</v>
      </c>
      <c r="B107" s="8" t="s">
        <v>292</v>
      </c>
      <c r="C107" s="8" t="s">
        <v>75</v>
      </c>
      <c r="D107" s="9" t="s">
        <v>70</v>
      </c>
      <c r="E107" t="s">
        <v>76</v>
      </c>
      <c r="F107" s="12" t="s">
        <v>80</v>
      </c>
      <c r="G107" s="7">
        <v>0.75</v>
      </c>
      <c r="H107" s="11">
        <f>((G107*86.67)*2)*(SUMIF('Accrual Rates'!B:B,'PTO SUMMARY 2027'!B107,'Accrual Rates'!G:G))</f>
        <v>9.9999845999999994</v>
      </c>
      <c r="I107" s="33">
        <v>0</v>
      </c>
      <c r="J107" s="1">
        <v>0</v>
      </c>
      <c r="K107" s="1">
        <v>0</v>
      </c>
      <c r="L107" s="1">
        <v>0</v>
      </c>
      <c r="M107" s="32">
        <v>0</v>
      </c>
      <c r="N107" s="2">
        <f t="shared" si="80"/>
        <v>9.9999845999999994</v>
      </c>
      <c r="O107" s="2">
        <f>SUMIF('January 2027'!$B:$B,'PTO SUMMARY 2027'!B107,'January 2027'!$AK:$AK)</f>
        <v>0</v>
      </c>
      <c r="P107" s="1">
        <f t="shared" si="122"/>
        <v>9.9999845999999994</v>
      </c>
      <c r="Q107" s="1">
        <v>0</v>
      </c>
      <c r="R107" s="1">
        <v>0</v>
      </c>
      <c r="S107" s="3">
        <f t="shared" si="81"/>
        <v>9.9999845999999994</v>
      </c>
      <c r="T107" s="2">
        <f>SUMIF('February 2027'!$B:$B,'PTO SUMMARY 2027'!G107,'February 2027'!$AK:$AK)</f>
        <v>0</v>
      </c>
      <c r="U107" s="154">
        <v>0</v>
      </c>
      <c r="V107" s="1">
        <f t="shared" si="123"/>
        <v>19.999969199999999</v>
      </c>
      <c r="W107" s="1">
        <v>0</v>
      </c>
      <c r="X107" s="1">
        <v>0</v>
      </c>
      <c r="Y107" s="3">
        <f t="shared" si="82"/>
        <v>9.9999845999999994</v>
      </c>
      <c r="Z107" s="2">
        <f>SUMIF('March 2027'!$B:$B,'PTO SUMMARY 2027'!M107,'March 2027'!$AK:$AK)</f>
        <v>0</v>
      </c>
      <c r="AA107" s="1">
        <f t="shared" si="134"/>
        <v>29.9999538</v>
      </c>
      <c r="AB107" s="1">
        <v>0</v>
      </c>
      <c r="AC107" s="1">
        <v>0</v>
      </c>
      <c r="AD107" s="3">
        <v>0</v>
      </c>
      <c r="AE107" s="31">
        <f t="shared" si="124"/>
        <v>0</v>
      </c>
      <c r="AF107" s="31">
        <v>0</v>
      </c>
      <c r="AG107" s="30">
        <f t="shared" si="125"/>
        <v>0</v>
      </c>
      <c r="AH107" s="2">
        <f t="shared" si="83"/>
        <v>9.9999845999999994</v>
      </c>
      <c r="AI107" s="2">
        <f>SUMIF('April 2027'!$B:$B,'PTO SUMMARY 2027'!V107,'April 2027'!$AK:$AK)</f>
        <v>0</v>
      </c>
      <c r="AJ107" s="1">
        <f t="shared" si="126"/>
        <v>39.999938399999998</v>
      </c>
      <c r="AK107" s="1">
        <v>0</v>
      </c>
      <c r="AL107" s="1">
        <v>0</v>
      </c>
      <c r="AM107" s="3">
        <f t="shared" si="84"/>
        <v>9.9999845999999994</v>
      </c>
      <c r="AN107" s="2">
        <f>SUMIF('May 2027'!$B:$B,'PTO SUMMARY 2027'!AA107,'May 2027'!$AK:$AK)</f>
        <v>0</v>
      </c>
      <c r="AO107" s="1">
        <f t="shared" si="127"/>
        <v>50</v>
      </c>
      <c r="AP107" s="1">
        <v>0</v>
      </c>
      <c r="AQ107" s="1">
        <v>0</v>
      </c>
      <c r="AR107" s="3">
        <f t="shared" si="85"/>
        <v>9.9999845999999994</v>
      </c>
      <c r="AS107" s="2">
        <f>SUMIF('June 2027'!$B:$B,'PTO SUMMARY 2027'!AF107,'June 2027'!$AK:$AK)</f>
        <v>0</v>
      </c>
      <c r="AT107" s="1">
        <f t="shared" si="128"/>
        <v>59.999984599999998</v>
      </c>
      <c r="AU107" s="1">
        <v>0</v>
      </c>
      <c r="AV107" s="1">
        <v>0</v>
      </c>
      <c r="AW107" s="3">
        <v>0</v>
      </c>
      <c r="AX107" s="31">
        <v>0</v>
      </c>
      <c r="AY107" s="31">
        <v>0</v>
      </c>
      <c r="AZ107" s="30">
        <f t="shared" si="73"/>
        <v>0</v>
      </c>
      <c r="BA107" s="3">
        <f t="shared" si="86"/>
        <v>9.9999845999999994</v>
      </c>
      <c r="BB107" s="2">
        <f>SUMIF('July 2027'!$B:$B,'PTO SUMMARY 2027'!AK107,'July 2027'!$AK:$AK)</f>
        <v>0</v>
      </c>
      <c r="BC107" s="1">
        <f t="shared" si="74"/>
        <v>69.999969199999995</v>
      </c>
      <c r="BD107" s="1">
        <v>0</v>
      </c>
      <c r="BE107" s="1">
        <v>0</v>
      </c>
      <c r="BF107" s="3">
        <f t="shared" si="87"/>
        <v>9.9999845999999994</v>
      </c>
      <c r="BG107" s="2">
        <f>SUMIF('August 2027'!$B:$B,'PTO SUMMARY 2027'!AP107,'August 2027'!$AK:$AK)</f>
        <v>0</v>
      </c>
      <c r="BH107" s="1">
        <f t="shared" si="129"/>
        <v>79.9999538</v>
      </c>
      <c r="BI107" s="1">
        <v>0</v>
      </c>
      <c r="BJ107" s="1">
        <v>0</v>
      </c>
      <c r="BK107" s="3">
        <f t="shared" si="88"/>
        <v>9.9999845999999994</v>
      </c>
      <c r="BL107" s="2">
        <f>SUMIF('September 2027'!$B:$B,'PTO SUMMARY 2027'!AU107,'September 2027'!$AK:$AK)</f>
        <v>0</v>
      </c>
      <c r="BM107" s="1">
        <f t="shared" si="130"/>
        <v>89.999938400000005</v>
      </c>
      <c r="BN107" s="1">
        <v>0</v>
      </c>
      <c r="BO107" s="1">
        <v>0</v>
      </c>
      <c r="BP107" s="3">
        <v>0</v>
      </c>
      <c r="BQ107" s="31">
        <v>0</v>
      </c>
      <c r="BR107" s="31">
        <v>0</v>
      </c>
      <c r="BS107" s="30">
        <f t="shared" si="65"/>
        <v>0</v>
      </c>
      <c r="BT107" s="3">
        <f t="shared" si="89"/>
        <v>9.9999845999999994</v>
      </c>
      <c r="BU107" s="2">
        <f>SUMIF('October 2027'!$B:$B,'PTO SUMMARY 2027'!BH107,'October 2027'!$AK:$AK)</f>
        <v>0</v>
      </c>
      <c r="BV107" s="1">
        <f t="shared" si="131"/>
        <v>99.99992300000001</v>
      </c>
      <c r="BW107" s="1">
        <v>0</v>
      </c>
      <c r="BX107" s="1">
        <v>0</v>
      </c>
      <c r="BY107" s="3">
        <f t="shared" si="90"/>
        <v>9.9999845999999994</v>
      </c>
      <c r="BZ107" s="2">
        <f>SUMIF('November 2027'!$B:$B,'PTO SUMMARY 2027'!BM107,'November 2027'!$AK:$AK)</f>
        <v>0</v>
      </c>
      <c r="CA107" s="1">
        <f t="shared" si="132"/>
        <v>109.99990760000001</v>
      </c>
      <c r="CB107" s="1">
        <v>0</v>
      </c>
      <c r="CC107" s="1">
        <v>0</v>
      </c>
      <c r="CD107" s="3">
        <f t="shared" si="91"/>
        <v>9.9999845999999994</v>
      </c>
      <c r="CE107" s="2">
        <f>SUMIF('December 2027'!$B:$B,'PTO SUMMARY 2027'!$B:$B,'December 2027'!$AK:$AK)</f>
        <v>0</v>
      </c>
      <c r="CF107" s="1">
        <f t="shared" si="133"/>
        <v>119.99989220000002</v>
      </c>
      <c r="CG107" s="1">
        <v>0</v>
      </c>
      <c r="CH107" s="1">
        <v>0</v>
      </c>
      <c r="CI107" s="1">
        <v>0</v>
      </c>
      <c r="CJ107" s="3">
        <v>0</v>
      </c>
      <c r="CK107" s="31">
        <v>0</v>
      </c>
      <c r="CL107" s="31">
        <v>0</v>
      </c>
      <c r="CM107" s="31">
        <v>0</v>
      </c>
      <c r="CN107" s="30">
        <f t="shared" si="92"/>
        <v>0</v>
      </c>
    </row>
    <row r="108" spans="1:92">
      <c r="A108" s="35" t="s">
        <v>293</v>
      </c>
      <c r="B108" s="8" t="s">
        <v>294</v>
      </c>
      <c r="C108" s="8" t="s">
        <v>64</v>
      </c>
      <c r="D108" s="9" t="s">
        <v>65</v>
      </c>
      <c r="E108" s="36" t="s">
        <v>66</v>
      </c>
      <c r="F108" s="12" t="s">
        <v>72</v>
      </c>
      <c r="G108" s="7">
        <v>0.75</v>
      </c>
      <c r="H108" s="34">
        <v>0</v>
      </c>
      <c r="I108" s="33">
        <v>0</v>
      </c>
      <c r="J108" s="1">
        <v>0</v>
      </c>
      <c r="K108" s="1">
        <v>0</v>
      </c>
      <c r="L108" s="1">
        <v>0</v>
      </c>
      <c r="M108" s="32">
        <v>0</v>
      </c>
      <c r="N108" s="2">
        <f t="shared" si="80"/>
        <v>0</v>
      </c>
      <c r="O108" s="2">
        <f>SUMIF('January 2027'!$B:$B,'PTO SUMMARY 2027'!B108,'January 2027'!$AK:$AK)</f>
        <v>0</v>
      </c>
      <c r="P108" s="1">
        <f t="shared" si="122"/>
        <v>0</v>
      </c>
      <c r="Q108" s="1">
        <v>0</v>
      </c>
      <c r="R108" s="1">
        <v>0</v>
      </c>
      <c r="S108" s="3">
        <f t="shared" si="81"/>
        <v>0</v>
      </c>
      <c r="T108" s="2">
        <f>SUMIF('February 2027'!$B:$B,'PTO SUMMARY 2027'!G108,'February 2027'!$AK:$AK)</f>
        <v>0</v>
      </c>
      <c r="U108" s="154">
        <v>0</v>
      </c>
      <c r="V108" s="1">
        <f t="shared" si="123"/>
        <v>0</v>
      </c>
      <c r="W108" s="1">
        <v>0</v>
      </c>
      <c r="X108" s="1">
        <v>0</v>
      </c>
      <c r="Y108" s="3">
        <f t="shared" si="82"/>
        <v>0</v>
      </c>
      <c r="Z108" s="2">
        <f>SUMIF('March 2027'!$B:$B,'PTO SUMMARY 2027'!M108,'March 2027'!$AK:$AK)</f>
        <v>0</v>
      </c>
      <c r="AA108" s="1">
        <f t="shared" si="134"/>
        <v>0</v>
      </c>
      <c r="AB108" s="1">
        <v>0</v>
      </c>
      <c r="AC108" s="1">
        <v>0</v>
      </c>
      <c r="AD108" s="3">
        <v>0</v>
      </c>
      <c r="AE108" s="31">
        <f t="shared" si="124"/>
        <v>0</v>
      </c>
      <c r="AF108" s="31">
        <v>0</v>
      </c>
      <c r="AG108" s="30">
        <f t="shared" si="125"/>
        <v>0</v>
      </c>
      <c r="AH108" s="2">
        <f t="shared" si="83"/>
        <v>0</v>
      </c>
      <c r="AI108" s="2">
        <f>SUMIF('April 2027'!$B:$B,'PTO SUMMARY 2027'!V108,'April 2027'!$AK:$AK)</f>
        <v>0</v>
      </c>
      <c r="AJ108" s="1">
        <f t="shared" si="126"/>
        <v>0</v>
      </c>
      <c r="AK108" s="1">
        <v>0</v>
      </c>
      <c r="AL108" s="1">
        <v>0</v>
      </c>
      <c r="AM108" s="3">
        <f t="shared" si="84"/>
        <v>0</v>
      </c>
      <c r="AN108" s="2">
        <f>SUMIF('May 2027'!$B:$B,'PTO SUMMARY 2027'!AA108,'May 2027'!$AK:$AK)</f>
        <v>0</v>
      </c>
      <c r="AO108" s="1">
        <f t="shared" si="127"/>
        <v>0</v>
      </c>
      <c r="AP108" s="1">
        <v>0</v>
      </c>
      <c r="AQ108" s="1">
        <v>0</v>
      </c>
      <c r="AR108" s="3">
        <f t="shared" si="85"/>
        <v>0</v>
      </c>
      <c r="AS108" s="2">
        <f>SUMIF('June 2027'!$B:$B,'PTO SUMMARY 2027'!AF108,'June 2027'!$AK:$AK)</f>
        <v>0</v>
      </c>
      <c r="AT108" s="1">
        <f t="shared" si="128"/>
        <v>0</v>
      </c>
      <c r="AU108" s="1">
        <v>0</v>
      </c>
      <c r="AV108" s="1">
        <v>0</v>
      </c>
      <c r="AW108" s="3">
        <v>0</v>
      </c>
      <c r="AX108" s="31">
        <v>0</v>
      </c>
      <c r="AY108" s="31">
        <v>0</v>
      </c>
      <c r="AZ108" s="30">
        <f t="shared" si="73"/>
        <v>0</v>
      </c>
      <c r="BA108" s="3">
        <f t="shared" si="86"/>
        <v>0</v>
      </c>
      <c r="BB108" s="2">
        <f>SUMIF('July 2027'!$B:$B,'PTO SUMMARY 2027'!AK108,'July 2027'!$AK:$AK)</f>
        <v>0</v>
      </c>
      <c r="BC108" s="1">
        <f t="shared" si="74"/>
        <v>0</v>
      </c>
      <c r="BD108" s="1">
        <v>0</v>
      </c>
      <c r="BE108" s="1">
        <v>0</v>
      </c>
      <c r="BF108" s="3">
        <f t="shared" si="87"/>
        <v>0</v>
      </c>
      <c r="BG108" s="2">
        <f>SUMIF('August 2027'!$B:$B,'PTO SUMMARY 2027'!AP108,'August 2027'!$AK:$AK)</f>
        <v>0</v>
      </c>
      <c r="BH108" s="1">
        <f t="shared" si="129"/>
        <v>0</v>
      </c>
      <c r="BI108" s="1">
        <v>0</v>
      </c>
      <c r="BJ108" s="1">
        <v>0</v>
      </c>
      <c r="BK108" s="3">
        <f t="shared" si="88"/>
        <v>0</v>
      </c>
      <c r="BL108" s="2">
        <f>SUMIF('September 2027'!$B:$B,'PTO SUMMARY 2027'!AU108,'September 2027'!$AK:$AK)</f>
        <v>0</v>
      </c>
      <c r="BM108" s="1">
        <f t="shared" si="130"/>
        <v>0</v>
      </c>
      <c r="BN108" s="1">
        <v>0</v>
      </c>
      <c r="BO108" s="1">
        <v>0</v>
      </c>
      <c r="BP108" s="3">
        <v>0</v>
      </c>
      <c r="BQ108" s="31">
        <v>0</v>
      </c>
      <c r="BR108" s="31">
        <v>0</v>
      </c>
      <c r="BS108" s="30">
        <f t="shared" si="65"/>
        <v>0</v>
      </c>
      <c r="BT108" s="3">
        <f t="shared" si="89"/>
        <v>0</v>
      </c>
      <c r="BU108" s="2">
        <f>SUMIF('October 2027'!$B:$B,'PTO SUMMARY 2027'!BH108,'October 2027'!$AK:$AK)</f>
        <v>0</v>
      </c>
      <c r="BV108" s="1">
        <f t="shared" si="131"/>
        <v>0</v>
      </c>
      <c r="BW108" s="1">
        <v>0</v>
      </c>
      <c r="BX108" s="1">
        <v>0</v>
      </c>
      <c r="BY108" s="3">
        <f t="shared" si="90"/>
        <v>0</v>
      </c>
      <c r="BZ108" s="2">
        <f>SUMIF('November 2027'!$B:$B,'PTO SUMMARY 2027'!BM108,'November 2027'!$AK:$AK)</f>
        <v>0</v>
      </c>
      <c r="CA108" s="1">
        <f t="shared" si="132"/>
        <v>0</v>
      </c>
      <c r="CB108" s="1">
        <v>0</v>
      </c>
      <c r="CC108" s="1">
        <v>0</v>
      </c>
      <c r="CD108" s="3">
        <f t="shared" si="91"/>
        <v>0</v>
      </c>
      <c r="CE108" s="2">
        <f>SUMIF('December 2027'!$B:$B,'PTO SUMMARY 2027'!$B:$B,'December 2027'!$AK:$AK)</f>
        <v>0</v>
      </c>
      <c r="CF108" s="1">
        <f t="shared" si="133"/>
        <v>0</v>
      </c>
      <c r="CG108" s="1">
        <v>0</v>
      </c>
      <c r="CH108" s="1">
        <v>0</v>
      </c>
      <c r="CI108" s="1">
        <v>0</v>
      </c>
      <c r="CJ108" s="3">
        <v>0</v>
      </c>
      <c r="CK108" s="31">
        <v>0</v>
      </c>
      <c r="CL108" s="31">
        <v>0</v>
      </c>
      <c r="CM108" s="31">
        <v>0</v>
      </c>
      <c r="CN108" s="30">
        <f t="shared" si="92"/>
        <v>0</v>
      </c>
    </row>
    <row r="109" spans="1:92">
      <c r="A109" s="35" t="s">
        <v>295</v>
      </c>
      <c r="B109" s="8" t="s">
        <v>296</v>
      </c>
      <c r="C109" s="8" t="s">
        <v>64</v>
      </c>
      <c r="D109" s="9" t="s">
        <v>65</v>
      </c>
      <c r="E109" s="36" t="s">
        <v>66</v>
      </c>
      <c r="F109" s="12" t="s">
        <v>83</v>
      </c>
      <c r="G109" s="7">
        <v>0.75</v>
      </c>
      <c r="H109" s="34">
        <v>0</v>
      </c>
      <c r="I109" s="33">
        <v>0</v>
      </c>
      <c r="J109" s="1">
        <v>0</v>
      </c>
      <c r="K109" s="1">
        <v>0</v>
      </c>
      <c r="L109" s="1">
        <v>0</v>
      </c>
      <c r="M109" s="32">
        <v>0</v>
      </c>
      <c r="N109" s="2">
        <f t="shared" si="80"/>
        <v>0</v>
      </c>
      <c r="O109" s="2">
        <f>SUMIF('January 2027'!$B:$B,'PTO SUMMARY 2027'!B109,'January 2027'!$AK:$AK)</f>
        <v>0</v>
      </c>
      <c r="P109" s="1">
        <f t="shared" si="122"/>
        <v>0</v>
      </c>
      <c r="Q109" s="1">
        <v>0</v>
      </c>
      <c r="R109" s="1">
        <v>0</v>
      </c>
      <c r="S109" s="3">
        <f t="shared" si="81"/>
        <v>0</v>
      </c>
      <c r="T109" s="2">
        <f>SUMIF('February 2027'!$B:$B,'PTO SUMMARY 2027'!G109,'February 2027'!$AK:$AK)</f>
        <v>0</v>
      </c>
      <c r="U109" s="154">
        <v>0</v>
      </c>
      <c r="V109" s="1">
        <f t="shared" si="123"/>
        <v>0</v>
      </c>
      <c r="W109" s="1">
        <v>0</v>
      </c>
      <c r="X109" s="1">
        <v>0</v>
      </c>
      <c r="Y109" s="3">
        <f t="shared" si="82"/>
        <v>0</v>
      </c>
      <c r="Z109" s="2">
        <f>SUMIF('March 2027'!$B:$B,'PTO SUMMARY 2027'!M109,'March 2027'!$AK:$AK)</f>
        <v>0</v>
      </c>
      <c r="AA109" s="1">
        <f t="shared" si="134"/>
        <v>0</v>
      </c>
      <c r="AB109" s="1">
        <v>0</v>
      </c>
      <c r="AC109" s="1">
        <v>0</v>
      </c>
      <c r="AD109" s="3">
        <v>0</v>
      </c>
      <c r="AE109" s="31">
        <f t="shared" si="124"/>
        <v>0</v>
      </c>
      <c r="AF109" s="31">
        <v>0</v>
      </c>
      <c r="AG109" s="30">
        <f t="shared" si="125"/>
        <v>0</v>
      </c>
      <c r="AH109" s="2">
        <f t="shared" si="83"/>
        <v>0</v>
      </c>
      <c r="AI109" s="2">
        <f>SUMIF('April 2027'!$B:$B,'PTO SUMMARY 2027'!V109,'April 2027'!$AK:$AK)</f>
        <v>0</v>
      </c>
      <c r="AJ109" s="1">
        <f t="shared" si="126"/>
        <v>0</v>
      </c>
      <c r="AK109" s="1">
        <v>0</v>
      </c>
      <c r="AL109" s="1">
        <v>0</v>
      </c>
      <c r="AM109" s="3">
        <f t="shared" si="84"/>
        <v>0</v>
      </c>
      <c r="AN109" s="2">
        <f>SUMIF('May 2027'!$B:$B,'PTO SUMMARY 2027'!AA109,'May 2027'!$AK:$AK)</f>
        <v>0</v>
      </c>
      <c r="AO109" s="1">
        <f t="shared" si="127"/>
        <v>0</v>
      </c>
      <c r="AP109" s="1">
        <v>0</v>
      </c>
      <c r="AQ109" s="1">
        <v>0</v>
      </c>
      <c r="AR109" s="3">
        <f t="shared" si="85"/>
        <v>0</v>
      </c>
      <c r="AS109" s="2">
        <f>SUMIF('June 2027'!$B:$B,'PTO SUMMARY 2027'!AF109,'June 2027'!$AK:$AK)</f>
        <v>0</v>
      </c>
      <c r="AT109" s="1">
        <f t="shared" si="128"/>
        <v>0</v>
      </c>
      <c r="AU109" s="1">
        <v>0</v>
      </c>
      <c r="AV109" s="1">
        <v>0</v>
      </c>
      <c r="AW109" s="3">
        <v>0</v>
      </c>
      <c r="AX109" s="31">
        <v>0</v>
      </c>
      <c r="AY109" s="31">
        <v>0</v>
      </c>
      <c r="AZ109" s="30">
        <f t="shared" si="73"/>
        <v>0</v>
      </c>
      <c r="BA109" s="3">
        <f t="shared" si="86"/>
        <v>0</v>
      </c>
      <c r="BB109" s="2">
        <f>SUMIF('July 2027'!$B:$B,'PTO SUMMARY 2027'!AK109,'July 2027'!$AK:$AK)</f>
        <v>0</v>
      </c>
      <c r="BC109" s="1">
        <f t="shared" si="74"/>
        <v>0</v>
      </c>
      <c r="BD109" s="1">
        <v>0</v>
      </c>
      <c r="BE109" s="1">
        <v>0</v>
      </c>
      <c r="BF109" s="3">
        <f t="shared" si="87"/>
        <v>0</v>
      </c>
      <c r="BG109" s="2">
        <f>SUMIF('August 2027'!$B:$B,'PTO SUMMARY 2027'!AP109,'August 2027'!$AK:$AK)</f>
        <v>0</v>
      </c>
      <c r="BH109" s="1">
        <f t="shared" si="129"/>
        <v>0</v>
      </c>
      <c r="BI109" s="1">
        <v>0</v>
      </c>
      <c r="BJ109" s="1">
        <v>0</v>
      </c>
      <c r="BK109" s="3">
        <f t="shared" si="88"/>
        <v>0</v>
      </c>
      <c r="BL109" s="2">
        <f>SUMIF('September 2027'!$B:$B,'PTO SUMMARY 2027'!AU109,'September 2027'!$AK:$AK)</f>
        <v>0</v>
      </c>
      <c r="BM109" s="1">
        <f t="shared" si="130"/>
        <v>0</v>
      </c>
      <c r="BN109" s="1">
        <v>0</v>
      </c>
      <c r="BO109" s="1">
        <v>0</v>
      </c>
      <c r="BP109" s="3">
        <v>0</v>
      </c>
      <c r="BQ109" s="31">
        <v>0</v>
      </c>
      <c r="BR109" s="31">
        <v>0</v>
      </c>
      <c r="BS109" s="30">
        <f t="shared" si="65"/>
        <v>0</v>
      </c>
      <c r="BT109" s="3">
        <f t="shared" si="89"/>
        <v>0</v>
      </c>
      <c r="BU109" s="2">
        <f>SUMIF('October 2027'!$B:$B,'PTO SUMMARY 2027'!BH109,'October 2027'!$AK:$AK)</f>
        <v>0</v>
      </c>
      <c r="BV109" s="1">
        <f t="shared" si="131"/>
        <v>0</v>
      </c>
      <c r="BW109" s="1">
        <v>0</v>
      </c>
      <c r="BX109" s="1">
        <v>0</v>
      </c>
      <c r="BY109" s="3">
        <f t="shared" si="90"/>
        <v>0</v>
      </c>
      <c r="BZ109" s="2">
        <f>SUMIF('November 2027'!$B:$B,'PTO SUMMARY 2027'!BM109,'November 2027'!$AK:$AK)</f>
        <v>0</v>
      </c>
      <c r="CA109" s="1">
        <f t="shared" si="132"/>
        <v>0</v>
      </c>
      <c r="CB109" s="1">
        <v>0</v>
      </c>
      <c r="CC109" s="1">
        <v>0</v>
      </c>
      <c r="CD109" s="3">
        <f t="shared" si="91"/>
        <v>0</v>
      </c>
      <c r="CE109" s="2">
        <f>SUMIF('December 2027'!$B:$B,'PTO SUMMARY 2027'!$B:$B,'December 2027'!$AK:$AK)</f>
        <v>0</v>
      </c>
      <c r="CF109" s="1">
        <f t="shared" si="133"/>
        <v>0</v>
      </c>
      <c r="CG109" s="1">
        <v>0</v>
      </c>
      <c r="CH109" s="1">
        <v>0</v>
      </c>
      <c r="CI109" s="1">
        <v>0</v>
      </c>
      <c r="CJ109" s="3">
        <v>0</v>
      </c>
      <c r="CK109" s="31">
        <v>0</v>
      </c>
      <c r="CL109" s="31">
        <v>0</v>
      </c>
      <c r="CM109" s="31">
        <v>0</v>
      </c>
      <c r="CN109" s="30">
        <f t="shared" si="92"/>
        <v>0</v>
      </c>
    </row>
    <row r="110" spans="1:92">
      <c r="A110" s="35" t="s">
        <v>297</v>
      </c>
      <c r="B110" s="8" t="s">
        <v>298</v>
      </c>
      <c r="C110" s="8" t="s">
        <v>64</v>
      </c>
      <c r="D110" s="9" t="s">
        <v>65</v>
      </c>
      <c r="E110" t="s">
        <v>66</v>
      </c>
      <c r="F110" s="12" t="s">
        <v>136</v>
      </c>
      <c r="G110" s="7">
        <v>1</v>
      </c>
      <c r="H110" s="34">
        <v>0</v>
      </c>
      <c r="I110" s="33">
        <v>0</v>
      </c>
      <c r="J110" s="1">
        <v>0</v>
      </c>
      <c r="K110" s="1">
        <v>0</v>
      </c>
      <c r="L110" s="1">
        <v>0</v>
      </c>
      <c r="M110" s="32">
        <v>0</v>
      </c>
      <c r="N110" s="2">
        <f t="shared" si="80"/>
        <v>0</v>
      </c>
      <c r="O110" s="2">
        <f>SUMIF('January 2027'!$B:$B,'PTO SUMMARY 2027'!B110,'January 2027'!$AK:$AK)</f>
        <v>0</v>
      </c>
      <c r="P110" s="1">
        <f t="shared" si="122"/>
        <v>0</v>
      </c>
      <c r="Q110" s="1">
        <v>0</v>
      </c>
      <c r="R110" s="1">
        <v>0</v>
      </c>
      <c r="S110" s="3">
        <f t="shared" si="81"/>
        <v>0</v>
      </c>
      <c r="T110" s="2">
        <f>SUMIF('February 2027'!$B:$B,'PTO SUMMARY 2027'!G110,'February 2027'!$AK:$AK)</f>
        <v>0</v>
      </c>
      <c r="U110" s="154">
        <v>0</v>
      </c>
      <c r="V110" s="1">
        <f t="shared" si="123"/>
        <v>0</v>
      </c>
      <c r="W110" s="1">
        <v>0</v>
      </c>
      <c r="X110" s="1">
        <v>0</v>
      </c>
      <c r="Y110" s="3">
        <f t="shared" si="82"/>
        <v>0</v>
      </c>
      <c r="Z110" s="2">
        <f>SUMIF('March 2027'!$B:$B,'PTO SUMMARY 2027'!M110,'March 2027'!$AK:$AK)</f>
        <v>0</v>
      </c>
      <c r="AA110" s="1">
        <f t="shared" si="134"/>
        <v>0</v>
      </c>
      <c r="AB110" s="1">
        <v>0</v>
      </c>
      <c r="AC110" s="1">
        <v>0</v>
      </c>
      <c r="AD110" s="3">
        <v>0</v>
      </c>
      <c r="AE110" s="31">
        <f t="shared" si="124"/>
        <v>0</v>
      </c>
      <c r="AF110" s="31">
        <v>0</v>
      </c>
      <c r="AG110" s="30">
        <f t="shared" si="125"/>
        <v>0</v>
      </c>
      <c r="AH110" s="2">
        <f t="shared" si="83"/>
        <v>0</v>
      </c>
      <c r="AI110" s="2">
        <f>SUMIF('April 2027'!$B:$B,'PTO SUMMARY 2027'!V110,'April 2027'!$AK:$AK)</f>
        <v>0</v>
      </c>
      <c r="AJ110" s="1">
        <f t="shared" si="126"/>
        <v>0</v>
      </c>
      <c r="AK110" s="1">
        <v>0</v>
      </c>
      <c r="AL110" s="1">
        <v>0</v>
      </c>
      <c r="AM110" s="3">
        <f t="shared" si="84"/>
        <v>0</v>
      </c>
      <c r="AN110" s="2">
        <f>SUMIF('May 2027'!$B:$B,'PTO SUMMARY 2027'!AA110,'May 2027'!$AK:$AK)</f>
        <v>0</v>
      </c>
      <c r="AO110" s="1">
        <f t="shared" si="127"/>
        <v>0</v>
      </c>
      <c r="AP110" s="1">
        <v>0</v>
      </c>
      <c r="AQ110" s="1">
        <v>0</v>
      </c>
      <c r="AR110" s="3">
        <f t="shared" si="85"/>
        <v>0</v>
      </c>
      <c r="AS110" s="2">
        <f>SUMIF('June 2027'!$B:$B,'PTO SUMMARY 2027'!AF110,'June 2027'!$AK:$AK)</f>
        <v>0</v>
      </c>
      <c r="AT110" s="1">
        <f t="shared" si="128"/>
        <v>0</v>
      </c>
      <c r="AU110" s="1">
        <v>0</v>
      </c>
      <c r="AV110" s="1">
        <v>0</v>
      </c>
      <c r="AW110" s="3">
        <v>0</v>
      </c>
      <c r="AX110" s="31">
        <v>0</v>
      </c>
      <c r="AY110" s="31">
        <v>0</v>
      </c>
      <c r="AZ110" s="30">
        <f t="shared" si="73"/>
        <v>0</v>
      </c>
      <c r="BA110" s="3">
        <f t="shared" si="86"/>
        <v>0</v>
      </c>
      <c r="BB110" s="2">
        <f>SUMIF('July 2027'!$B:$B,'PTO SUMMARY 2027'!AK110,'July 2027'!$AK:$AK)</f>
        <v>0</v>
      </c>
      <c r="BC110" s="1">
        <f t="shared" si="74"/>
        <v>0</v>
      </c>
      <c r="BD110" s="1">
        <v>0</v>
      </c>
      <c r="BE110" s="1">
        <v>0</v>
      </c>
      <c r="BF110" s="3">
        <f t="shared" si="87"/>
        <v>0</v>
      </c>
      <c r="BG110" s="2">
        <f>SUMIF('August 2027'!$B:$B,'PTO SUMMARY 2027'!AP110,'August 2027'!$AK:$AK)</f>
        <v>0</v>
      </c>
      <c r="BH110" s="1">
        <f t="shared" si="129"/>
        <v>0</v>
      </c>
      <c r="BI110" s="1">
        <v>0</v>
      </c>
      <c r="BJ110" s="1">
        <v>0</v>
      </c>
      <c r="BK110" s="3">
        <f t="shared" si="88"/>
        <v>0</v>
      </c>
      <c r="BL110" s="2">
        <f>SUMIF('September 2027'!$B:$B,'PTO SUMMARY 2027'!AU110,'September 2027'!$AK:$AK)</f>
        <v>0</v>
      </c>
      <c r="BM110" s="1">
        <f t="shared" si="130"/>
        <v>0</v>
      </c>
      <c r="BN110" s="1">
        <v>0</v>
      </c>
      <c r="BO110" s="1">
        <v>0</v>
      </c>
      <c r="BP110" s="3">
        <v>0</v>
      </c>
      <c r="BQ110" s="31">
        <v>0</v>
      </c>
      <c r="BR110" s="31">
        <v>0</v>
      </c>
      <c r="BS110" s="30">
        <f t="shared" si="65"/>
        <v>0</v>
      </c>
      <c r="BT110" s="3">
        <f t="shared" si="89"/>
        <v>0</v>
      </c>
      <c r="BU110" s="2">
        <f>SUMIF('October 2027'!$B:$B,'PTO SUMMARY 2027'!BH110,'October 2027'!$AK:$AK)</f>
        <v>0</v>
      </c>
      <c r="BV110" s="1">
        <f t="shared" si="131"/>
        <v>0</v>
      </c>
      <c r="BW110" s="1">
        <v>0</v>
      </c>
      <c r="BX110" s="1">
        <v>0</v>
      </c>
      <c r="BY110" s="3">
        <f t="shared" si="90"/>
        <v>0</v>
      </c>
      <c r="BZ110" s="2">
        <f>SUMIF('November 2027'!$B:$B,'PTO SUMMARY 2027'!BM110,'November 2027'!$AK:$AK)</f>
        <v>0</v>
      </c>
      <c r="CA110" s="1">
        <f t="shared" si="132"/>
        <v>0</v>
      </c>
      <c r="CB110" s="1">
        <v>0</v>
      </c>
      <c r="CC110" s="1">
        <v>0</v>
      </c>
      <c r="CD110" s="3">
        <f t="shared" si="91"/>
        <v>0</v>
      </c>
      <c r="CE110" s="2">
        <f>SUMIF('December 2027'!$B:$B,'PTO SUMMARY 2027'!$B:$B,'December 2027'!$AK:$AK)</f>
        <v>0</v>
      </c>
      <c r="CF110" s="1">
        <f t="shared" si="133"/>
        <v>0</v>
      </c>
      <c r="CG110" s="1">
        <v>0</v>
      </c>
      <c r="CH110" s="1">
        <v>0</v>
      </c>
      <c r="CI110" s="1">
        <v>0</v>
      </c>
      <c r="CJ110" s="3">
        <v>0</v>
      </c>
      <c r="CK110" s="31">
        <v>0</v>
      </c>
      <c r="CL110" s="31">
        <v>0</v>
      </c>
      <c r="CM110" s="31">
        <v>0</v>
      </c>
      <c r="CN110" s="30">
        <f t="shared" si="92"/>
        <v>0</v>
      </c>
    </row>
    <row r="111" spans="1:92">
      <c r="A111" s="8" t="s">
        <v>299</v>
      </c>
      <c r="B111" s="8" t="s">
        <v>300</v>
      </c>
      <c r="C111" s="8" t="s">
        <v>75</v>
      </c>
      <c r="D111" s="9" t="s">
        <v>70</v>
      </c>
      <c r="E111" t="s">
        <v>76</v>
      </c>
      <c r="F111" s="12" t="s">
        <v>80</v>
      </c>
      <c r="G111" s="7">
        <v>1</v>
      </c>
      <c r="H111" s="11">
        <f>((G111*86.67)*2)*(SUMIF('Accrual Rates'!B:B,'PTO SUMMARY 2027'!B111,'Accrual Rates'!G:G))</f>
        <v>13.3333128</v>
      </c>
      <c r="I111" s="33">
        <v>0</v>
      </c>
      <c r="J111" s="1">
        <v>0</v>
      </c>
      <c r="K111" s="1">
        <v>0</v>
      </c>
      <c r="L111" s="1">
        <v>0</v>
      </c>
      <c r="M111" s="32">
        <v>0</v>
      </c>
      <c r="N111" s="2">
        <f t="shared" si="80"/>
        <v>13.3333128</v>
      </c>
      <c r="O111" s="2">
        <f>SUMIF('January 2027'!$B:$B,'PTO SUMMARY 2027'!B111,'January 2027'!$AK:$AK)</f>
        <v>0</v>
      </c>
      <c r="P111" s="1">
        <f t="shared" si="122"/>
        <v>13.3333128</v>
      </c>
      <c r="Q111" s="1">
        <v>0</v>
      </c>
      <c r="R111" s="1">
        <v>0</v>
      </c>
      <c r="S111" s="3">
        <f t="shared" si="81"/>
        <v>13.3333128</v>
      </c>
      <c r="T111" s="2">
        <f>SUMIF('February 2027'!$B:$B,'PTO SUMMARY 2027'!G111,'February 2027'!$AK:$AK)</f>
        <v>0</v>
      </c>
      <c r="U111" s="154">
        <v>0</v>
      </c>
      <c r="V111" s="1">
        <f t="shared" si="123"/>
        <v>26.6666256</v>
      </c>
      <c r="W111" s="1">
        <v>0</v>
      </c>
      <c r="X111" s="1">
        <v>0</v>
      </c>
      <c r="Y111" s="3">
        <f t="shared" si="82"/>
        <v>13.3333128</v>
      </c>
      <c r="Z111" s="2">
        <f>SUMIF('March 2027'!$B:$B,'PTO SUMMARY 2027'!M111,'March 2027'!$AK:$AK)</f>
        <v>0</v>
      </c>
      <c r="AA111" s="1">
        <f t="shared" si="134"/>
        <v>39.999938399999998</v>
      </c>
      <c r="AB111" s="1">
        <v>0</v>
      </c>
      <c r="AC111" s="1">
        <v>0</v>
      </c>
      <c r="AD111" s="3">
        <v>0</v>
      </c>
      <c r="AE111" s="31">
        <f t="shared" si="124"/>
        <v>0</v>
      </c>
      <c r="AF111" s="31">
        <v>0</v>
      </c>
      <c r="AG111" s="30">
        <f t="shared" si="125"/>
        <v>0</v>
      </c>
      <c r="AH111" s="2">
        <f t="shared" si="83"/>
        <v>13.3333128</v>
      </c>
      <c r="AI111" s="2">
        <f>SUMIF('April 2027'!$B:$B,'PTO SUMMARY 2027'!V111,'April 2027'!$AK:$AK)</f>
        <v>0</v>
      </c>
      <c r="AJ111" s="1">
        <f t="shared" si="126"/>
        <v>53.333251199999999</v>
      </c>
      <c r="AK111" s="1">
        <v>0</v>
      </c>
      <c r="AL111" s="1">
        <v>0</v>
      </c>
      <c r="AM111" s="3">
        <f t="shared" si="84"/>
        <v>13.3333128</v>
      </c>
      <c r="AN111" s="2">
        <f>SUMIF('May 2027'!$B:$B,'PTO SUMMARY 2027'!AA111,'May 2027'!$AK:$AK)</f>
        <v>0</v>
      </c>
      <c r="AO111" s="1">
        <f t="shared" si="127"/>
        <v>66.67</v>
      </c>
      <c r="AP111" s="1">
        <v>0</v>
      </c>
      <c r="AQ111" s="1">
        <v>0</v>
      </c>
      <c r="AR111" s="3">
        <f t="shared" si="85"/>
        <v>13.3333128</v>
      </c>
      <c r="AS111" s="2">
        <f>SUMIF('June 2027'!$B:$B,'PTO SUMMARY 2027'!AF111,'June 2027'!$AK:$AK)</f>
        <v>0</v>
      </c>
      <c r="AT111" s="1">
        <f t="shared" si="128"/>
        <v>80.003312800000003</v>
      </c>
      <c r="AU111" s="1">
        <v>0</v>
      </c>
      <c r="AV111" s="1">
        <v>0</v>
      </c>
      <c r="AW111" s="3">
        <v>0</v>
      </c>
      <c r="AX111" s="31">
        <v>0</v>
      </c>
      <c r="AY111" s="31">
        <v>0</v>
      </c>
      <c r="AZ111" s="30">
        <f t="shared" si="73"/>
        <v>0</v>
      </c>
      <c r="BA111" s="3">
        <f t="shared" si="86"/>
        <v>13.3333128</v>
      </c>
      <c r="BB111" s="2">
        <f>SUMIF('July 2027'!$B:$B,'PTO SUMMARY 2027'!AK111,'July 2027'!$AK:$AK)</f>
        <v>0</v>
      </c>
      <c r="BC111" s="1">
        <f t="shared" si="74"/>
        <v>93.336625600000005</v>
      </c>
      <c r="BD111" s="1">
        <v>0</v>
      </c>
      <c r="BE111" s="1">
        <v>0</v>
      </c>
      <c r="BF111" s="3">
        <f t="shared" si="87"/>
        <v>13.3333128</v>
      </c>
      <c r="BG111" s="2">
        <f>SUMIF('August 2027'!$B:$B,'PTO SUMMARY 2027'!AP111,'August 2027'!$AK:$AK)</f>
        <v>0</v>
      </c>
      <c r="BH111" s="1">
        <f t="shared" si="129"/>
        <v>106.66993840000001</v>
      </c>
      <c r="BI111" s="1">
        <v>0</v>
      </c>
      <c r="BJ111" s="1">
        <v>0</v>
      </c>
      <c r="BK111" s="3">
        <f t="shared" si="88"/>
        <v>13.3333128</v>
      </c>
      <c r="BL111" s="2">
        <f>SUMIF('September 2027'!$B:$B,'PTO SUMMARY 2027'!AU111,'September 2027'!$AK:$AK)</f>
        <v>0</v>
      </c>
      <c r="BM111" s="1">
        <f t="shared" si="130"/>
        <v>120.00325120000001</v>
      </c>
      <c r="BN111" s="1">
        <v>0</v>
      </c>
      <c r="BO111" s="1">
        <v>0</v>
      </c>
      <c r="BP111" s="3">
        <v>0</v>
      </c>
      <c r="BQ111" s="31">
        <v>0</v>
      </c>
      <c r="BR111" s="31">
        <v>0</v>
      </c>
      <c r="BS111" s="30">
        <f t="shared" si="65"/>
        <v>0</v>
      </c>
      <c r="BT111" s="3">
        <f t="shared" si="89"/>
        <v>13.3333128</v>
      </c>
      <c r="BU111" s="2">
        <f>SUMIF('October 2027'!$B:$B,'PTO SUMMARY 2027'!BH111,'October 2027'!$AK:$AK)</f>
        <v>0</v>
      </c>
      <c r="BV111" s="1">
        <f t="shared" si="131"/>
        <v>133.33656400000001</v>
      </c>
      <c r="BW111" s="1">
        <v>0</v>
      </c>
      <c r="BX111" s="1">
        <v>0</v>
      </c>
      <c r="BY111" s="3">
        <f t="shared" si="90"/>
        <v>13.3333128</v>
      </c>
      <c r="BZ111" s="2">
        <f>SUMIF('November 2027'!$B:$B,'PTO SUMMARY 2027'!BM111,'November 2027'!$AK:$AK)</f>
        <v>0</v>
      </c>
      <c r="CA111" s="1">
        <f t="shared" si="132"/>
        <v>146.6698768</v>
      </c>
      <c r="CB111" s="1">
        <v>0</v>
      </c>
      <c r="CC111" s="1">
        <v>0</v>
      </c>
      <c r="CD111" s="3">
        <f t="shared" si="91"/>
        <v>13.3333128</v>
      </c>
      <c r="CE111" s="2">
        <f>SUMIF('December 2027'!$B:$B,'PTO SUMMARY 2027'!$B:$B,'December 2027'!$AK:$AK)</f>
        <v>0</v>
      </c>
      <c r="CF111" s="1">
        <f t="shared" si="133"/>
        <v>160.00318959999998</v>
      </c>
      <c r="CG111" s="1">
        <v>0</v>
      </c>
      <c r="CH111" s="1">
        <v>0</v>
      </c>
      <c r="CI111" s="1">
        <v>0</v>
      </c>
      <c r="CJ111" s="3">
        <v>0</v>
      </c>
      <c r="CK111" s="31">
        <v>0</v>
      </c>
      <c r="CL111" s="31">
        <v>0</v>
      </c>
      <c r="CM111" s="31">
        <v>0</v>
      </c>
      <c r="CN111" s="30">
        <f t="shared" si="92"/>
        <v>0</v>
      </c>
    </row>
    <row r="112" spans="1:92">
      <c r="A112" s="8" t="s">
        <v>301</v>
      </c>
      <c r="B112" s="8" t="s">
        <v>302</v>
      </c>
      <c r="C112" s="8" t="s">
        <v>64</v>
      </c>
      <c r="D112" s="9" t="s">
        <v>70</v>
      </c>
      <c r="E112" t="s">
        <v>71</v>
      </c>
      <c r="F112" s="12" t="s">
        <v>136</v>
      </c>
      <c r="G112" s="7">
        <v>1</v>
      </c>
      <c r="H112" s="11">
        <f>((G112*86.67)*2)*(SUMIF('Accrual Rates'!B:B,'PTO SUMMARY 2027'!B112,'Accrual Rates'!G:G))</f>
        <v>16.0001487</v>
      </c>
      <c r="I112" s="33">
        <v>0</v>
      </c>
      <c r="J112" s="1">
        <v>0</v>
      </c>
      <c r="K112" s="1">
        <v>0</v>
      </c>
      <c r="L112" s="1">
        <v>0</v>
      </c>
      <c r="M112" s="32">
        <v>0</v>
      </c>
      <c r="N112" s="2">
        <f t="shared" si="80"/>
        <v>16.0001487</v>
      </c>
      <c r="O112" s="2">
        <f>SUMIF('January 2027'!$B:$B,'PTO SUMMARY 2027'!B112,'January 2027'!$AK:$AK)</f>
        <v>0</v>
      </c>
      <c r="P112" s="1">
        <f t="shared" si="122"/>
        <v>16.0001487</v>
      </c>
      <c r="Q112" s="1">
        <v>0</v>
      </c>
      <c r="R112" s="1">
        <v>0</v>
      </c>
      <c r="S112" s="3">
        <f t="shared" si="81"/>
        <v>16.0001487</v>
      </c>
      <c r="T112" s="2">
        <f>SUMIF('February 2027'!$B:$B,'PTO SUMMARY 2027'!G112,'February 2027'!$AK:$AK)</f>
        <v>0</v>
      </c>
      <c r="U112" s="154">
        <v>0</v>
      </c>
      <c r="V112" s="1">
        <f t="shared" si="123"/>
        <v>32.000297400000001</v>
      </c>
      <c r="W112" s="1">
        <v>0</v>
      </c>
      <c r="X112" s="1">
        <v>0</v>
      </c>
      <c r="Y112" s="3">
        <f t="shared" si="82"/>
        <v>16.0001487</v>
      </c>
      <c r="Z112" s="2">
        <f>SUMIF('March 2027'!$B:$B,'PTO SUMMARY 2027'!M112,'March 2027'!$AK:$AK)</f>
        <v>0</v>
      </c>
      <c r="AA112" s="1">
        <f t="shared" si="134"/>
        <v>48.000446100000005</v>
      </c>
      <c r="AB112" s="1">
        <v>0</v>
      </c>
      <c r="AC112" s="1">
        <v>0</v>
      </c>
      <c r="AD112" s="3">
        <v>0</v>
      </c>
      <c r="AE112" s="31">
        <f t="shared" si="124"/>
        <v>0</v>
      </c>
      <c r="AF112" s="31">
        <v>0</v>
      </c>
      <c r="AG112" s="30">
        <f t="shared" si="125"/>
        <v>0</v>
      </c>
      <c r="AH112" s="2">
        <f t="shared" si="83"/>
        <v>16.0001487</v>
      </c>
      <c r="AI112" s="2">
        <f>SUMIF('April 2027'!$B:$B,'PTO SUMMARY 2027'!V112,'April 2027'!$AK:$AK)</f>
        <v>0</v>
      </c>
      <c r="AJ112" s="1">
        <f t="shared" si="126"/>
        <v>64.000594800000002</v>
      </c>
      <c r="AK112" s="1">
        <v>0</v>
      </c>
      <c r="AL112" s="1">
        <v>0</v>
      </c>
      <c r="AM112" s="3">
        <f t="shared" si="84"/>
        <v>16.0001487</v>
      </c>
      <c r="AN112" s="2">
        <f>SUMIF('May 2027'!$B:$B,'PTO SUMMARY 2027'!AA112,'May 2027'!$AK:$AK)</f>
        <v>0</v>
      </c>
      <c r="AO112" s="1">
        <f t="shared" si="127"/>
        <v>80</v>
      </c>
      <c r="AP112" s="1">
        <v>0</v>
      </c>
      <c r="AQ112" s="1">
        <v>0</v>
      </c>
      <c r="AR112" s="3">
        <f t="shared" si="85"/>
        <v>16.0001487</v>
      </c>
      <c r="AS112" s="2">
        <f>SUMIF('June 2027'!$B:$B,'PTO SUMMARY 2027'!AF112,'June 2027'!$AK:$AK)</f>
        <v>0</v>
      </c>
      <c r="AT112" s="1">
        <f t="shared" si="128"/>
        <v>96.000148699999997</v>
      </c>
      <c r="AU112" s="1">
        <v>0</v>
      </c>
      <c r="AV112" s="1">
        <v>0</v>
      </c>
      <c r="AW112" s="3">
        <v>0</v>
      </c>
      <c r="AX112" s="31">
        <v>0</v>
      </c>
      <c r="AY112" s="31">
        <v>0</v>
      </c>
      <c r="AZ112" s="30">
        <f t="shared" si="73"/>
        <v>0</v>
      </c>
      <c r="BA112" s="3">
        <f t="shared" si="86"/>
        <v>16.0001487</v>
      </c>
      <c r="BB112" s="2">
        <f>SUMIF('July 2027'!$B:$B,'PTO SUMMARY 2027'!AK112,'July 2027'!$AK:$AK)</f>
        <v>0</v>
      </c>
      <c r="BC112" s="1">
        <f t="shared" si="74"/>
        <v>112.00029739999999</v>
      </c>
      <c r="BD112" s="1">
        <v>0</v>
      </c>
      <c r="BE112" s="1">
        <v>0</v>
      </c>
      <c r="BF112" s="3">
        <f t="shared" si="87"/>
        <v>16.0001487</v>
      </c>
      <c r="BG112" s="2">
        <f>SUMIF('August 2027'!$B:$B,'PTO SUMMARY 2027'!AP112,'August 2027'!$AK:$AK)</f>
        <v>0</v>
      </c>
      <c r="BH112" s="1">
        <f t="shared" si="129"/>
        <v>128.0004461</v>
      </c>
      <c r="BI112" s="1">
        <v>0</v>
      </c>
      <c r="BJ112" s="1">
        <v>0</v>
      </c>
      <c r="BK112" s="3">
        <f t="shared" si="88"/>
        <v>16.0001487</v>
      </c>
      <c r="BL112" s="2">
        <f>SUMIF('September 2027'!$B:$B,'PTO SUMMARY 2027'!AU112,'September 2027'!$AK:$AK)</f>
        <v>0</v>
      </c>
      <c r="BM112" s="1">
        <f t="shared" si="130"/>
        <v>144.00059480000002</v>
      </c>
      <c r="BN112" s="1">
        <v>0</v>
      </c>
      <c r="BO112" s="1">
        <v>0</v>
      </c>
      <c r="BP112" s="3">
        <v>0</v>
      </c>
      <c r="BQ112" s="31">
        <v>0</v>
      </c>
      <c r="BR112" s="31">
        <v>0</v>
      </c>
      <c r="BS112" s="30">
        <f t="shared" si="65"/>
        <v>0</v>
      </c>
      <c r="BT112" s="3">
        <f t="shared" si="89"/>
        <v>16.0001487</v>
      </c>
      <c r="BU112" s="2">
        <f>SUMIF('October 2027'!$B:$B,'PTO SUMMARY 2027'!BH112,'October 2027'!$AK:$AK)</f>
        <v>0</v>
      </c>
      <c r="BV112" s="1">
        <f t="shared" si="131"/>
        <v>160.00074350000003</v>
      </c>
      <c r="BW112" s="1">
        <v>0</v>
      </c>
      <c r="BX112" s="1">
        <v>0</v>
      </c>
      <c r="BY112" s="3">
        <f t="shared" si="90"/>
        <v>16.0001487</v>
      </c>
      <c r="BZ112" s="2">
        <f>SUMIF('November 2027'!$B:$B,'PTO SUMMARY 2027'!BM112,'November 2027'!$AK:$AK)</f>
        <v>0</v>
      </c>
      <c r="CA112" s="1">
        <f t="shared" si="132"/>
        <v>176.00089220000004</v>
      </c>
      <c r="CB112" s="1">
        <v>0</v>
      </c>
      <c r="CC112" s="1">
        <v>0</v>
      </c>
      <c r="CD112" s="3">
        <f t="shared" si="91"/>
        <v>16.0001487</v>
      </c>
      <c r="CE112" s="2">
        <f>SUMIF('December 2027'!$B:$B,'PTO SUMMARY 2027'!$B:$B,'December 2027'!$AK:$AK)</f>
        <v>0</v>
      </c>
      <c r="CF112" s="1">
        <f t="shared" si="133"/>
        <v>192.00104090000005</v>
      </c>
      <c r="CG112" s="1">
        <v>0</v>
      </c>
      <c r="CH112" s="1">
        <v>0</v>
      </c>
      <c r="CI112" s="1">
        <v>0</v>
      </c>
      <c r="CJ112" s="3">
        <v>0</v>
      </c>
      <c r="CK112" s="31">
        <v>0</v>
      </c>
      <c r="CL112" s="31">
        <v>0</v>
      </c>
      <c r="CM112" s="31">
        <v>0</v>
      </c>
      <c r="CN112" s="30">
        <f t="shared" si="92"/>
        <v>0</v>
      </c>
    </row>
    <row r="113" spans="1:92">
      <c r="A113" s="35" t="s">
        <v>303</v>
      </c>
      <c r="B113" s="8" t="s">
        <v>304</v>
      </c>
      <c r="C113" s="8" t="s">
        <v>64</v>
      </c>
      <c r="D113" s="9" t="s">
        <v>65</v>
      </c>
      <c r="E113" s="36" t="s">
        <v>66</v>
      </c>
      <c r="F113" s="12" t="s">
        <v>83</v>
      </c>
      <c r="G113" s="7">
        <v>0.75</v>
      </c>
      <c r="H113" s="34">
        <v>0</v>
      </c>
      <c r="I113" s="33">
        <v>0</v>
      </c>
      <c r="J113" s="1">
        <v>0</v>
      </c>
      <c r="K113" s="1">
        <v>0</v>
      </c>
      <c r="L113" s="1">
        <v>0</v>
      </c>
      <c r="M113" s="32">
        <v>0</v>
      </c>
      <c r="N113" s="2">
        <f t="shared" si="80"/>
        <v>0</v>
      </c>
      <c r="O113" s="2">
        <f>SUMIF('January 2027'!$B:$B,'PTO SUMMARY 2027'!B113,'January 2027'!$AK:$AK)</f>
        <v>0</v>
      </c>
      <c r="P113" s="1">
        <f t="shared" si="122"/>
        <v>0</v>
      </c>
      <c r="Q113" s="1">
        <v>0</v>
      </c>
      <c r="R113" s="1">
        <v>0</v>
      </c>
      <c r="S113" s="3">
        <f t="shared" si="81"/>
        <v>0</v>
      </c>
      <c r="T113" s="2">
        <f>SUMIF('February 2027'!$B:$B,'PTO SUMMARY 2027'!G113,'February 2027'!$AK:$AK)</f>
        <v>0</v>
      </c>
      <c r="U113" s="154">
        <v>0</v>
      </c>
      <c r="V113" s="1">
        <f t="shared" si="123"/>
        <v>0</v>
      </c>
      <c r="W113" s="1">
        <v>0</v>
      </c>
      <c r="X113" s="1">
        <v>0</v>
      </c>
      <c r="Y113" s="3">
        <f t="shared" si="82"/>
        <v>0</v>
      </c>
      <c r="Z113" s="2">
        <f>SUMIF('March 2027'!$B:$B,'PTO SUMMARY 2027'!M113,'March 2027'!$AK:$AK)</f>
        <v>0</v>
      </c>
      <c r="AA113" s="1">
        <f t="shared" si="134"/>
        <v>0</v>
      </c>
      <c r="AB113" s="1">
        <v>0</v>
      </c>
      <c r="AC113" s="1">
        <v>0</v>
      </c>
      <c r="AD113" s="3">
        <v>0</v>
      </c>
      <c r="AE113" s="31">
        <f t="shared" si="124"/>
        <v>0</v>
      </c>
      <c r="AF113" s="31">
        <v>0</v>
      </c>
      <c r="AG113" s="30">
        <f t="shared" si="125"/>
        <v>0</v>
      </c>
      <c r="AH113" s="2">
        <f t="shared" si="83"/>
        <v>0</v>
      </c>
      <c r="AI113" s="2">
        <f>SUMIF('April 2027'!$B:$B,'PTO SUMMARY 2027'!V113,'April 2027'!$AK:$AK)</f>
        <v>0</v>
      </c>
      <c r="AJ113" s="1">
        <f t="shared" si="126"/>
        <v>0</v>
      </c>
      <c r="AK113" s="1">
        <v>0</v>
      </c>
      <c r="AL113" s="1">
        <v>0</v>
      </c>
      <c r="AM113" s="3">
        <f t="shared" si="84"/>
        <v>0</v>
      </c>
      <c r="AN113" s="2">
        <f>SUMIF('May 2027'!$B:$B,'PTO SUMMARY 2027'!AA113,'May 2027'!$AK:$AK)</f>
        <v>0</v>
      </c>
      <c r="AO113" s="1">
        <f t="shared" si="127"/>
        <v>0</v>
      </c>
      <c r="AP113" s="1">
        <v>0</v>
      </c>
      <c r="AQ113" s="1">
        <v>0</v>
      </c>
      <c r="AR113" s="3">
        <f t="shared" si="85"/>
        <v>0</v>
      </c>
      <c r="AS113" s="2">
        <f>SUMIF('June 2027'!$B:$B,'PTO SUMMARY 2027'!AF113,'June 2027'!$AK:$AK)</f>
        <v>0</v>
      </c>
      <c r="AT113" s="1">
        <f t="shared" si="128"/>
        <v>0</v>
      </c>
      <c r="AU113" s="1">
        <v>0</v>
      </c>
      <c r="AV113" s="1">
        <v>0</v>
      </c>
      <c r="AW113" s="3">
        <v>0</v>
      </c>
      <c r="AX113" s="31">
        <v>0</v>
      </c>
      <c r="AY113" s="31">
        <v>0</v>
      </c>
      <c r="AZ113" s="30">
        <f t="shared" si="73"/>
        <v>0</v>
      </c>
      <c r="BA113" s="3">
        <f t="shared" si="86"/>
        <v>0</v>
      </c>
      <c r="BB113" s="2">
        <f>SUMIF('July 2027'!$B:$B,'PTO SUMMARY 2027'!AK113,'July 2027'!$AK:$AK)</f>
        <v>0</v>
      </c>
      <c r="BC113" s="1">
        <f t="shared" si="74"/>
        <v>0</v>
      </c>
      <c r="BD113" s="1">
        <v>0</v>
      </c>
      <c r="BE113" s="1">
        <v>0</v>
      </c>
      <c r="BF113" s="3">
        <f t="shared" si="87"/>
        <v>0</v>
      </c>
      <c r="BG113" s="2">
        <f>SUMIF('August 2027'!$B:$B,'PTO SUMMARY 2027'!AP113,'August 2027'!$AK:$AK)</f>
        <v>0</v>
      </c>
      <c r="BH113" s="1">
        <f t="shared" si="129"/>
        <v>0</v>
      </c>
      <c r="BI113" s="1">
        <v>0</v>
      </c>
      <c r="BJ113" s="1">
        <v>0</v>
      </c>
      <c r="BK113" s="3">
        <f t="shared" si="88"/>
        <v>0</v>
      </c>
      <c r="BL113" s="2">
        <f>SUMIF('September 2027'!$B:$B,'PTO SUMMARY 2027'!AU113,'September 2027'!$AK:$AK)</f>
        <v>0</v>
      </c>
      <c r="BM113" s="1">
        <f t="shared" si="130"/>
        <v>0</v>
      </c>
      <c r="BN113" s="1">
        <v>0</v>
      </c>
      <c r="BO113" s="1">
        <v>0</v>
      </c>
      <c r="BP113" s="3">
        <v>0</v>
      </c>
      <c r="BQ113" s="31">
        <v>0</v>
      </c>
      <c r="BR113" s="31">
        <v>0</v>
      </c>
      <c r="BS113" s="30">
        <f t="shared" si="65"/>
        <v>0</v>
      </c>
      <c r="BT113" s="3">
        <f t="shared" si="89"/>
        <v>0</v>
      </c>
      <c r="BU113" s="2">
        <f>SUMIF('October 2027'!$B:$B,'PTO SUMMARY 2027'!BH113,'October 2027'!$AK:$AK)</f>
        <v>0</v>
      </c>
      <c r="BV113" s="1">
        <f t="shared" si="131"/>
        <v>0</v>
      </c>
      <c r="BW113" s="1">
        <v>0</v>
      </c>
      <c r="BX113" s="1">
        <v>0</v>
      </c>
      <c r="BY113" s="3">
        <f t="shared" si="90"/>
        <v>0</v>
      </c>
      <c r="BZ113" s="2">
        <f>SUMIF('November 2027'!$B:$B,'PTO SUMMARY 2027'!BM113,'November 2027'!$AK:$AK)</f>
        <v>0</v>
      </c>
      <c r="CA113" s="1">
        <f t="shared" si="132"/>
        <v>0</v>
      </c>
      <c r="CB113" s="1">
        <v>0</v>
      </c>
      <c r="CC113" s="1">
        <v>0</v>
      </c>
      <c r="CD113" s="3">
        <f t="shared" si="91"/>
        <v>0</v>
      </c>
      <c r="CE113" s="2">
        <f>SUMIF('December 2027'!$B:$B,'PTO SUMMARY 2027'!$B:$B,'December 2027'!$AK:$AK)</f>
        <v>0</v>
      </c>
      <c r="CF113" s="1">
        <f t="shared" si="133"/>
        <v>0</v>
      </c>
      <c r="CG113" s="1">
        <v>0</v>
      </c>
      <c r="CH113" s="1">
        <v>0</v>
      </c>
      <c r="CI113" s="1">
        <v>0</v>
      </c>
      <c r="CJ113" s="3">
        <v>0</v>
      </c>
      <c r="CK113" s="31">
        <v>0</v>
      </c>
      <c r="CL113" s="31">
        <v>0</v>
      </c>
      <c r="CM113" s="31">
        <v>0</v>
      </c>
      <c r="CN113" s="30">
        <f t="shared" si="92"/>
        <v>0</v>
      </c>
    </row>
    <row r="114" spans="1:92">
      <c r="A114" s="8" t="s">
        <v>305</v>
      </c>
      <c r="B114" s="8" t="s">
        <v>306</v>
      </c>
      <c r="C114" s="8" t="s">
        <v>75</v>
      </c>
      <c r="D114" s="9" t="s">
        <v>70</v>
      </c>
      <c r="E114" t="s">
        <v>76</v>
      </c>
      <c r="F114" s="12" t="s">
        <v>96</v>
      </c>
      <c r="G114" s="7">
        <v>1</v>
      </c>
      <c r="H114" s="11">
        <f>((G114*86.67)*2)*(SUMIF('Accrual Rates'!B:B,'PTO SUMMARY 2027'!B114,'Accrual Rates'!G:G))</f>
        <v>13.3333128</v>
      </c>
      <c r="I114" s="33">
        <v>0</v>
      </c>
      <c r="J114" s="1">
        <v>0</v>
      </c>
      <c r="K114" s="1">
        <v>0</v>
      </c>
      <c r="L114" s="1">
        <v>0</v>
      </c>
      <c r="M114" s="32">
        <v>0</v>
      </c>
      <c r="N114" s="2">
        <f t="shared" si="80"/>
        <v>13.3333128</v>
      </c>
      <c r="O114" s="2">
        <f>SUMIF('January 2027'!$B:$B,'PTO SUMMARY 2027'!B114,'January 2027'!$AK:$AK)</f>
        <v>0</v>
      </c>
      <c r="P114" s="1">
        <f t="shared" si="122"/>
        <v>13.3333128</v>
      </c>
      <c r="Q114" s="1">
        <v>0</v>
      </c>
      <c r="R114" s="1">
        <v>0</v>
      </c>
      <c r="S114" s="3">
        <f t="shared" si="81"/>
        <v>13.3333128</v>
      </c>
      <c r="T114" s="2">
        <f>SUMIF('February 2027'!$B:$B,'PTO SUMMARY 2027'!G114,'February 2027'!$AK:$AK)</f>
        <v>0</v>
      </c>
      <c r="U114" s="154">
        <v>0</v>
      </c>
      <c r="V114" s="1">
        <f t="shared" si="123"/>
        <v>26.6666256</v>
      </c>
      <c r="W114" s="1">
        <v>0</v>
      </c>
      <c r="X114" s="1">
        <v>0</v>
      </c>
      <c r="Y114" s="3">
        <f t="shared" si="82"/>
        <v>13.3333128</v>
      </c>
      <c r="Z114" s="2">
        <f>SUMIF('March 2027'!$B:$B,'PTO SUMMARY 2027'!M114,'March 2027'!$AK:$AK)</f>
        <v>0</v>
      </c>
      <c r="AA114" s="1">
        <f t="shared" si="134"/>
        <v>39.999938399999998</v>
      </c>
      <c r="AB114" s="1">
        <v>0</v>
      </c>
      <c r="AC114" s="1">
        <v>0</v>
      </c>
      <c r="AD114" s="3">
        <v>0</v>
      </c>
      <c r="AE114" s="31">
        <f t="shared" si="124"/>
        <v>0</v>
      </c>
      <c r="AF114" s="31">
        <v>0</v>
      </c>
      <c r="AG114" s="30">
        <f t="shared" si="125"/>
        <v>0</v>
      </c>
      <c r="AH114" s="2">
        <f t="shared" si="83"/>
        <v>13.3333128</v>
      </c>
      <c r="AI114" s="2">
        <f>SUMIF('April 2027'!$B:$B,'PTO SUMMARY 2027'!V114,'April 2027'!$AK:$AK)</f>
        <v>0</v>
      </c>
      <c r="AJ114" s="1">
        <f t="shared" si="126"/>
        <v>53.333251199999999</v>
      </c>
      <c r="AK114" s="1">
        <v>0</v>
      </c>
      <c r="AL114" s="1">
        <v>0</v>
      </c>
      <c r="AM114" s="3">
        <f t="shared" si="84"/>
        <v>13.3333128</v>
      </c>
      <c r="AN114" s="2">
        <f>SUMIF('May 2027'!$B:$B,'PTO SUMMARY 2027'!AA114,'May 2027'!$AK:$AK)</f>
        <v>0</v>
      </c>
      <c r="AO114" s="1">
        <f t="shared" si="127"/>
        <v>66.67</v>
      </c>
      <c r="AP114" s="1">
        <v>0</v>
      </c>
      <c r="AQ114" s="1">
        <v>0</v>
      </c>
      <c r="AR114" s="3">
        <f t="shared" si="85"/>
        <v>13.3333128</v>
      </c>
      <c r="AS114" s="2">
        <f>SUMIF('June 2027'!$B:$B,'PTO SUMMARY 2027'!AF114,'June 2027'!$AK:$AK)</f>
        <v>0</v>
      </c>
      <c r="AT114" s="1">
        <f t="shared" si="128"/>
        <v>80.003312800000003</v>
      </c>
      <c r="AU114" s="1">
        <v>0</v>
      </c>
      <c r="AV114" s="1">
        <v>0</v>
      </c>
      <c r="AW114" s="3">
        <v>0</v>
      </c>
      <c r="AX114" s="31">
        <v>0</v>
      </c>
      <c r="AY114" s="31">
        <v>0</v>
      </c>
      <c r="AZ114" s="30">
        <f t="shared" si="73"/>
        <v>0</v>
      </c>
      <c r="BA114" s="3">
        <f t="shared" si="86"/>
        <v>13.3333128</v>
      </c>
      <c r="BB114" s="2">
        <f>SUMIF('July 2027'!$B:$B,'PTO SUMMARY 2027'!AK114,'July 2027'!$AK:$AK)</f>
        <v>0</v>
      </c>
      <c r="BC114" s="1">
        <f t="shared" si="74"/>
        <v>93.336625600000005</v>
      </c>
      <c r="BD114" s="1">
        <v>0</v>
      </c>
      <c r="BE114" s="1">
        <v>0</v>
      </c>
      <c r="BF114" s="3">
        <f t="shared" si="87"/>
        <v>13.3333128</v>
      </c>
      <c r="BG114" s="2">
        <f>SUMIF('August 2027'!$B:$B,'PTO SUMMARY 2027'!AP114,'August 2027'!$AK:$AK)</f>
        <v>0</v>
      </c>
      <c r="BH114" s="1">
        <f t="shared" si="129"/>
        <v>106.66993840000001</v>
      </c>
      <c r="BI114" s="1">
        <v>0</v>
      </c>
      <c r="BJ114" s="1">
        <v>0</v>
      </c>
      <c r="BK114" s="3">
        <f t="shared" si="88"/>
        <v>13.3333128</v>
      </c>
      <c r="BL114" s="2">
        <f>SUMIF('September 2027'!$B:$B,'PTO SUMMARY 2027'!AU114,'September 2027'!$AK:$AK)</f>
        <v>0</v>
      </c>
      <c r="BM114" s="1">
        <f t="shared" si="130"/>
        <v>120.00325120000001</v>
      </c>
      <c r="BN114" s="1">
        <v>0</v>
      </c>
      <c r="BO114" s="1">
        <v>0</v>
      </c>
      <c r="BP114" s="3">
        <v>0</v>
      </c>
      <c r="BQ114" s="31">
        <v>0</v>
      </c>
      <c r="BR114" s="31">
        <v>0</v>
      </c>
      <c r="BS114" s="30">
        <f t="shared" si="65"/>
        <v>0</v>
      </c>
      <c r="BT114" s="3">
        <f t="shared" si="89"/>
        <v>13.3333128</v>
      </c>
      <c r="BU114" s="2">
        <f>SUMIF('October 2027'!$B:$B,'PTO SUMMARY 2027'!BH114,'October 2027'!$AK:$AK)</f>
        <v>0</v>
      </c>
      <c r="BV114" s="1">
        <f t="shared" si="131"/>
        <v>133.33656400000001</v>
      </c>
      <c r="BW114" s="1">
        <v>0</v>
      </c>
      <c r="BX114" s="1">
        <v>0</v>
      </c>
      <c r="BY114" s="3">
        <f t="shared" si="90"/>
        <v>13.3333128</v>
      </c>
      <c r="BZ114" s="2">
        <f>SUMIF('November 2027'!$B:$B,'PTO SUMMARY 2027'!BM114,'November 2027'!$AK:$AK)</f>
        <v>0</v>
      </c>
      <c r="CA114" s="1">
        <f t="shared" si="132"/>
        <v>146.6698768</v>
      </c>
      <c r="CB114" s="1">
        <v>0</v>
      </c>
      <c r="CC114" s="1">
        <v>0</v>
      </c>
      <c r="CD114" s="3">
        <f t="shared" si="91"/>
        <v>13.3333128</v>
      </c>
      <c r="CE114" s="2">
        <f>SUMIF('December 2027'!$B:$B,'PTO SUMMARY 2027'!$B:$B,'December 2027'!$AK:$AK)</f>
        <v>0</v>
      </c>
      <c r="CF114" s="1">
        <f t="shared" si="133"/>
        <v>160.00318959999998</v>
      </c>
      <c r="CG114" s="1">
        <v>0</v>
      </c>
      <c r="CH114" s="1">
        <v>0</v>
      </c>
      <c r="CI114" s="1">
        <v>0</v>
      </c>
      <c r="CJ114" s="3">
        <v>0</v>
      </c>
      <c r="CK114" s="31">
        <v>0</v>
      </c>
      <c r="CL114" s="31">
        <v>0</v>
      </c>
      <c r="CM114" s="31">
        <v>0</v>
      </c>
      <c r="CN114" s="30">
        <f t="shared" si="92"/>
        <v>0</v>
      </c>
    </row>
    <row r="115" spans="1:92">
      <c r="A115" s="8" t="s">
        <v>307</v>
      </c>
      <c r="B115" s="8" t="s">
        <v>308</v>
      </c>
      <c r="C115" s="8" t="s">
        <v>75</v>
      </c>
      <c r="D115" s="9" t="s">
        <v>70</v>
      </c>
      <c r="E115" t="s">
        <v>76</v>
      </c>
      <c r="F115" s="12" t="s">
        <v>96</v>
      </c>
      <c r="G115" s="7">
        <v>0.9</v>
      </c>
      <c r="H115" s="11">
        <f>((G115*86.67)*2)*(SUMIF('Accrual Rates'!B:B,'PTO SUMMARY 2027'!B115,'Accrual Rates'!G:G))</f>
        <v>16.199975051999999</v>
      </c>
      <c r="I115" s="33">
        <v>0</v>
      </c>
      <c r="J115" s="1">
        <v>0</v>
      </c>
      <c r="K115" s="1">
        <v>0</v>
      </c>
      <c r="L115" s="1">
        <v>0</v>
      </c>
      <c r="M115" s="32">
        <v>0</v>
      </c>
      <c r="N115" s="2">
        <f t="shared" si="80"/>
        <v>16.199975051999999</v>
      </c>
      <c r="O115" s="2">
        <f>SUMIF('January 2027'!$B:$B,'PTO SUMMARY 2027'!B115,'January 2027'!$AK:$AK)</f>
        <v>0</v>
      </c>
      <c r="P115" s="1">
        <f t="shared" si="122"/>
        <v>16.199975051999999</v>
      </c>
      <c r="Q115" s="1">
        <v>0</v>
      </c>
      <c r="R115" s="1">
        <v>0</v>
      </c>
      <c r="S115" s="3">
        <f t="shared" si="81"/>
        <v>16.199975051999999</v>
      </c>
      <c r="T115" s="2">
        <f>SUMIF('February 2027'!$B:$B,'PTO SUMMARY 2027'!G115,'February 2027'!$AK:$AK)</f>
        <v>0</v>
      </c>
      <c r="U115" s="154">
        <v>0</v>
      </c>
      <c r="V115" s="1">
        <f t="shared" si="123"/>
        <v>32.399950103999998</v>
      </c>
      <c r="W115" s="1">
        <v>0</v>
      </c>
      <c r="X115" s="1">
        <v>0</v>
      </c>
      <c r="Y115" s="3">
        <f t="shared" si="82"/>
        <v>16.199975051999999</v>
      </c>
      <c r="Z115" s="2">
        <f>SUMIF('March 2027'!$B:$B,'PTO SUMMARY 2027'!M115,'March 2027'!$AK:$AK)</f>
        <v>0</v>
      </c>
      <c r="AA115" s="1">
        <f t="shared" si="134"/>
        <v>48.599925155999998</v>
      </c>
      <c r="AB115" s="1">
        <v>0</v>
      </c>
      <c r="AC115" s="1">
        <v>0</v>
      </c>
      <c r="AD115" s="3">
        <v>0</v>
      </c>
      <c r="AE115" s="31">
        <f t="shared" si="124"/>
        <v>0</v>
      </c>
      <c r="AF115" s="31">
        <v>0</v>
      </c>
      <c r="AG115" s="30">
        <f t="shared" si="125"/>
        <v>0</v>
      </c>
      <c r="AH115" s="2">
        <f t="shared" si="83"/>
        <v>16.199975051999999</v>
      </c>
      <c r="AI115" s="2">
        <f>SUMIF('April 2027'!$B:$B,'PTO SUMMARY 2027'!V115,'April 2027'!$AK:$AK)</f>
        <v>0</v>
      </c>
      <c r="AJ115" s="1">
        <f t="shared" si="126"/>
        <v>64.799900207999997</v>
      </c>
      <c r="AK115" s="1">
        <v>0</v>
      </c>
      <c r="AL115" s="1">
        <v>0</v>
      </c>
      <c r="AM115" s="3">
        <f t="shared" si="84"/>
        <v>16.199975051999999</v>
      </c>
      <c r="AN115" s="2">
        <f>SUMIF('May 2027'!$B:$B,'PTO SUMMARY 2027'!AA115,'May 2027'!$AK:$AK)</f>
        <v>0</v>
      </c>
      <c r="AO115" s="1">
        <f t="shared" si="127"/>
        <v>81</v>
      </c>
      <c r="AP115" s="1">
        <v>0</v>
      </c>
      <c r="AQ115" s="1">
        <v>0</v>
      </c>
      <c r="AR115" s="3">
        <f t="shared" si="85"/>
        <v>16.199975051999999</v>
      </c>
      <c r="AS115" s="2">
        <f>SUMIF('June 2027'!$B:$B,'PTO SUMMARY 2027'!AF115,'June 2027'!$AK:$AK)</f>
        <v>0</v>
      </c>
      <c r="AT115" s="1">
        <f t="shared" si="128"/>
        <v>97.199975051999999</v>
      </c>
      <c r="AU115" s="1">
        <v>0</v>
      </c>
      <c r="AV115" s="1">
        <v>0</v>
      </c>
      <c r="AW115" s="3">
        <v>0</v>
      </c>
      <c r="AX115" s="31">
        <v>0</v>
      </c>
      <c r="AY115" s="31">
        <v>0</v>
      </c>
      <c r="AZ115" s="30">
        <f t="shared" si="73"/>
        <v>0</v>
      </c>
      <c r="BA115" s="3">
        <f t="shared" si="86"/>
        <v>16.199975051999999</v>
      </c>
      <c r="BB115" s="2">
        <f>SUMIF('July 2027'!$B:$B,'PTO SUMMARY 2027'!AK115,'July 2027'!$AK:$AK)</f>
        <v>0</v>
      </c>
      <c r="BC115" s="1">
        <f t="shared" si="74"/>
        <v>113.399950104</v>
      </c>
      <c r="BD115" s="1">
        <v>0</v>
      </c>
      <c r="BE115" s="1">
        <v>0</v>
      </c>
      <c r="BF115" s="3">
        <f t="shared" si="87"/>
        <v>16.199975051999999</v>
      </c>
      <c r="BG115" s="2">
        <f>SUMIF('August 2027'!$B:$B,'PTO SUMMARY 2027'!AP115,'August 2027'!$AK:$AK)</f>
        <v>0</v>
      </c>
      <c r="BH115" s="1">
        <f t="shared" si="129"/>
        <v>129.59992515599998</v>
      </c>
      <c r="BI115" s="1">
        <v>0</v>
      </c>
      <c r="BJ115" s="1">
        <v>0</v>
      </c>
      <c r="BK115" s="3">
        <f t="shared" si="88"/>
        <v>16.199975051999999</v>
      </c>
      <c r="BL115" s="2">
        <f>SUMIF('September 2027'!$B:$B,'PTO SUMMARY 2027'!AU115,'September 2027'!$AK:$AK)</f>
        <v>0</v>
      </c>
      <c r="BM115" s="1">
        <f t="shared" si="130"/>
        <v>145.799900208</v>
      </c>
      <c r="BN115" s="1">
        <v>0</v>
      </c>
      <c r="BO115" s="1">
        <v>0</v>
      </c>
      <c r="BP115" s="3">
        <v>0</v>
      </c>
      <c r="BQ115" s="31">
        <v>0</v>
      </c>
      <c r="BR115" s="31">
        <v>0</v>
      </c>
      <c r="BS115" s="30">
        <f t="shared" si="65"/>
        <v>0</v>
      </c>
      <c r="BT115" s="3">
        <f t="shared" si="89"/>
        <v>16.199975051999999</v>
      </c>
      <c r="BU115" s="2">
        <f>SUMIF('October 2027'!$B:$B,'PTO SUMMARY 2027'!BH115,'October 2027'!$AK:$AK)</f>
        <v>0</v>
      </c>
      <c r="BV115" s="1">
        <f t="shared" si="131"/>
        <v>161.99987526000001</v>
      </c>
      <c r="BW115" s="1">
        <v>0</v>
      </c>
      <c r="BX115" s="1">
        <v>0</v>
      </c>
      <c r="BY115" s="3">
        <f t="shared" si="90"/>
        <v>16.199975051999999</v>
      </c>
      <c r="BZ115" s="2">
        <f>SUMIF('November 2027'!$B:$B,'PTO SUMMARY 2027'!BM115,'November 2027'!$AK:$AK)</f>
        <v>0</v>
      </c>
      <c r="CA115" s="1">
        <f t="shared" si="132"/>
        <v>178.19985031200002</v>
      </c>
      <c r="CB115" s="1">
        <v>0</v>
      </c>
      <c r="CC115" s="1">
        <v>0</v>
      </c>
      <c r="CD115" s="3">
        <f t="shared" si="91"/>
        <v>16.199975051999999</v>
      </c>
      <c r="CE115" s="2">
        <f>SUMIF('December 2027'!$B:$B,'PTO SUMMARY 2027'!$B:$B,'December 2027'!$AK:$AK)</f>
        <v>0</v>
      </c>
      <c r="CF115" s="1">
        <f t="shared" si="133"/>
        <v>194.39982536400004</v>
      </c>
      <c r="CG115" s="1">
        <v>0</v>
      </c>
      <c r="CH115" s="1">
        <v>0</v>
      </c>
      <c r="CI115" s="1">
        <v>0</v>
      </c>
      <c r="CJ115" s="3">
        <v>0</v>
      </c>
      <c r="CK115" s="31">
        <v>0</v>
      </c>
      <c r="CL115" s="31">
        <v>0</v>
      </c>
      <c r="CM115" s="31">
        <v>0</v>
      </c>
      <c r="CN115" s="30">
        <f t="shared" si="92"/>
        <v>0</v>
      </c>
    </row>
    <row r="116" spans="1:92">
      <c r="A116" s="8" t="s">
        <v>309</v>
      </c>
      <c r="B116" s="8" t="s">
        <v>310</v>
      </c>
      <c r="C116" s="8" t="s">
        <v>75</v>
      </c>
      <c r="D116" s="9" t="s">
        <v>70</v>
      </c>
      <c r="E116" t="s">
        <v>76</v>
      </c>
      <c r="F116" s="12" t="s">
        <v>311</v>
      </c>
      <c r="G116" s="7">
        <v>1</v>
      </c>
      <c r="H116" s="11">
        <f>((G116*86.67)*2)*(SUMIF('Accrual Rates'!B:B,'PTO SUMMARY 2027'!B116,'Accrual Rates'!G:G))</f>
        <v>13.333486140000002</v>
      </c>
      <c r="I116" s="33">
        <v>0</v>
      </c>
      <c r="J116" s="1">
        <v>0</v>
      </c>
      <c r="K116" s="1">
        <v>0</v>
      </c>
      <c r="L116" s="1">
        <v>0</v>
      </c>
      <c r="M116" s="32">
        <v>0</v>
      </c>
      <c r="N116" s="2">
        <f t="shared" ref="N116" si="135">H116</f>
        <v>13.333486140000002</v>
      </c>
      <c r="O116" s="2">
        <f>SUMIF('January 2027'!$B:$B,'PTO SUMMARY 2027'!B116,'January 2027'!$AK:$AK)</f>
        <v>0</v>
      </c>
      <c r="P116" s="1">
        <f t="shared" ref="P116" si="136">L116+M116+N116-O116</f>
        <v>13.333486140000002</v>
      </c>
      <c r="Q116" s="1">
        <v>0</v>
      </c>
      <c r="R116" s="1">
        <v>0</v>
      </c>
      <c r="S116" s="3">
        <f t="shared" ref="S116" si="137">H116</f>
        <v>13.333486140000002</v>
      </c>
      <c r="T116" s="2">
        <f>SUMIF('February 2027'!$B:$B,'PTO SUMMARY 2027'!G116,'February 2027'!$AK:$AK)</f>
        <v>0</v>
      </c>
      <c r="U116" s="154">
        <v>0</v>
      </c>
      <c r="V116" s="1">
        <f t="shared" ref="V116" si="138">P116+S116-T116</f>
        <v>26.666972280000003</v>
      </c>
      <c r="W116" s="1">
        <v>0</v>
      </c>
      <c r="X116" s="1">
        <v>0</v>
      </c>
      <c r="Y116" s="3">
        <f t="shared" ref="Y116" si="139">H116</f>
        <v>13.333486140000002</v>
      </c>
      <c r="Z116" s="2">
        <f>SUMIF('March 2027'!$B:$B,'PTO SUMMARY 2027'!M116,'March 2027'!$AK:$AK)</f>
        <v>0</v>
      </c>
      <c r="AA116" s="1">
        <f t="shared" ref="AA116" si="140">V116+Y116-Z116</f>
        <v>40.000458420000001</v>
      </c>
      <c r="AB116" s="1">
        <v>0</v>
      </c>
      <c r="AC116" s="1">
        <v>0</v>
      </c>
      <c r="AD116" s="3">
        <v>0</v>
      </c>
      <c r="AE116" s="31">
        <f t="shared" ref="AE116" si="141">K116-AD116</f>
        <v>0</v>
      </c>
      <c r="AF116" s="31">
        <v>0</v>
      </c>
      <c r="AG116" s="30">
        <f t="shared" ref="AG116" si="142">AE116-AF116</f>
        <v>0</v>
      </c>
      <c r="AH116" s="2">
        <f t="shared" ref="AH116" si="143">H116</f>
        <v>13.333486140000002</v>
      </c>
      <c r="AI116" s="2">
        <f>SUMIF('April 2027'!$B:$B,'PTO SUMMARY 2027'!V116,'April 2027'!$AK:$AK)</f>
        <v>0</v>
      </c>
      <c r="AJ116" s="1">
        <f t="shared" ref="AJ116" si="144">AA116+AH116-AI116</f>
        <v>53.333944560000006</v>
      </c>
      <c r="AK116" s="1">
        <v>0</v>
      </c>
      <c r="AL116" s="1">
        <v>0</v>
      </c>
      <c r="AM116" s="3">
        <f t="shared" ref="AM116" si="145">H116</f>
        <v>13.333486140000002</v>
      </c>
      <c r="AN116" s="2">
        <f>SUMIF('May 2027'!$B:$B,'PTO SUMMARY 2027'!AA116,'May 2027'!$AK:$AK)</f>
        <v>0</v>
      </c>
      <c r="AO116" s="1">
        <f t="shared" ref="AO116" si="146">ROUND((AJ116+AM116-AN116),2)</f>
        <v>66.67</v>
      </c>
      <c r="AP116" s="1">
        <v>0</v>
      </c>
      <c r="AQ116" s="1">
        <v>0</v>
      </c>
      <c r="AR116" s="3">
        <f t="shared" ref="AR116" si="147">H116</f>
        <v>13.333486140000002</v>
      </c>
      <c r="AS116" s="2">
        <f>SUMIF('June 2027'!$B:$B,'PTO SUMMARY 2027'!AF116,'June 2027'!$AK:$AK)</f>
        <v>0</v>
      </c>
      <c r="AT116" s="1">
        <f t="shared" ref="AT116" si="148">AO116+AR116-AS116</f>
        <v>80.003486140000007</v>
      </c>
      <c r="AU116" s="1">
        <v>0</v>
      </c>
      <c r="AV116" s="1">
        <v>0</v>
      </c>
      <c r="AW116" s="3">
        <v>0</v>
      </c>
      <c r="AX116" s="31">
        <v>0</v>
      </c>
      <c r="AY116" s="31">
        <v>0</v>
      </c>
      <c r="AZ116" s="30">
        <f t="shared" ref="AZ116" si="149">AX116-AY116</f>
        <v>0</v>
      </c>
      <c r="BA116" s="3">
        <f t="shared" ref="BA116" si="150">H116</f>
        <v>13.333486140000002</v>
      </c>
      <c r="BB116" s="2">
        <f>SUMIF('July 2027'!$B:$B,'PTO SUMMARY 2027'!AK116,'July 2027'!$AK:$AK)</f>
        <v>0</v>
      </c>
      <c r="BC116" s="1">
        <f t="shared" ref="BC116" si="151">AT116+BA116-BB116</f>
        <v>93.336972280000012</v>
      </c>
      <c r="BD116" s="1">
        <v>0</v>
      </c>
      <c r="BE116" s="1">
        <v>0</v>
      </c>
      <c r="BF116" s="3">
        <f t="shared" ref="BF116" si="152">H116</f>
        <v>13.333486140000002</v>
      </c>
      <c r="BG116" s="2">
        <f>SUMIF('August 2027'!$B:$B,'PTO SUMMARY 2027'!AP116,'August 2027'!$AK:$AK)</f>
        <v>0</v>
      </c>
      <c r="BH116" s="1">
        <f t="shared" ref="BH116" si="153">BC116+BF116-BG116</f>
        <v>106.67045842000002</v>
      </c>
      <c r="BI116" s="1">
        <v>0</v>
      </c>
      <c r="BJ116" s="1">
        <v>0</v>
      </c>
      <c r="BK116" s="3">
        <f t="shared" ref="BK116" si="154">H116</f>
        <v>13.333486140000002</v>
      </c>
      <c r="BL116" s="2">
        <f>SUMIF('September 2027'!$B:$B,'PTO SUMMARY 2027'!AU116,'September 2027'!$AK:$AK)</f>
        <v>0</v>
      </c>
      <c r="BM116" s="1">
        <f t="shared" ref="BM116" si="155">BH116+BK116-BL116</f>
        <v>120.00394456000002</v>
      </c>
      <c r="BN116" s="1">
        <v>0</v>
      </c>
      <c r="BO116" s="1">
        <v>0</v>
      </c>
      <c r="BP116" s="3">
        <v>0</v>
      </c>
      <c r="BQ116" s="31">
        <v>0</v>
      </c>
      <c r="BR116" s="31">
        <v>0</v>
      </c>
      <c r="BS116" s="30">
        <f t="shared" ref="BS116" si="156">BQ116-BR116</f>
        <v>0</v>
      </c>
      <c r="BT116" s="3">
        <f t="shared" ref="BT116" si="157">H116</f>
        <v>13.333486140000002</v>
      </c>
      <c r="BU116" s="2">
        <f>SUMIF('October 2027'!$B:$B,'PTO SUMMARY 2027'!BH116,'October 2027'!$AK:$AK)</f>
        <v>0</v>
      </c>
      <c r="BV116" s="1">
        <f t="shared" ref="BV116" si="158">BM116+BT116-BU116</f>
        <v>133.33743070000003</v>
      </c>
      <c r="BW116" s="1">
        <v>0</v>
      </c>
      <c r="BX116" s="1">
        <v>0</v>
      </c>
      <c r="BY116" s="3">
        <f t="shared" ref="BY116" si="159">H116</f>
        <v>13.333486140000002</v>
      </c>
      <c r="BZ116" s="2">
        <f>SUMIF('November 2027'!$B:$B,'PTO SUMMARY 2027'!BM116,'November 2027'!$AK:$AK)</f>
        <v>0</v>
      </c>
      <c r="CA116" s="1">
        <f t="shared" ref="CA116" si="160">BV116+BY116-BZ116</f>
        <v>146.67091684000002</v>
      </c>
      <c r="CB116" s="1">
        <v>0</v>
      </c>
      <c r="CC116" s="1">
        <v>0</v>
      </c>
      <c r="CD116" s="3">
        <f t="shared" ref="CD116" si="161">H116</f>
        <v>13.333486140000002</v>
      </c>
      <c r="CE116" s="2">
        <f>SUMIF('December 2027'!$B:$B,'PTO SUMMARY 2027'!$B:$B,'December 2027'!$AK:$AK)</f>
        <v>0</v>
      </c>
      <c r="CF116" s="1">
        <f t="shared" ref="CF116" si="162">CA116+CD116-CE116</f>
        <v>160.00440298000001</v>
      </c>
      <c r="CG116" s="1">
        <v>0</v>
      </c>
      <c r="CH116" s="1">
        <v>0</v>
      </c>
      <c r="CI116" s="1">
        <v>0</v>
      </c>
      <c r="CJ116" s="3">
        <v>0</v>
      </c>
      <c r="CK116" s="31">
        <v>0</v>
      </c>
      <c r="CL116" s="31">
        <v>0</v>
      </c>
      <c r="CM116" s="31">
        <v>0</v>
      </c>
      <c r="CN116" s="30">
        <f t="shared" ref="CN116" si="163">CK116+CL116-CM116</f>
        <v>0</v>
      </c>
    </row>
    <row r="117" spans="1:92">
      <c r="A117" s="8" t="s">
        <v>312</v>
      </c>
      <c r="B117" s="8" t="s">
        <v>313</v>
      </c>
      <c r="C117" s="8" t="s">
        <v>75</v>
      </c>
      <c r="D117" s="9" t="s">
        <v>70</v>
      </c>
      <c r="E117" t="s">
        <v>76</v>
      </c>
      <c r="F117" s="12" t="s">
        <v>311</v>
      </c>
      <c r="G117" s="7">
        <v>1</v>
      </c>
      <c r="H117" s="11">
        <f>((G117*86.67)*2)*(SUMIF('Accrual Rates'!B:B,'PTO SUMMARY 2027'!B117,'Accrual Rates'!G:G))</f>
        <v>13.333486140000002</v>
      </c>
      <c r="I117" s="33">
        <v>0</v>
      </c>
      <c r="J117" s="1">
        <v>0</v>
      </c>
      <c r="K117" s="1">
        <v>0</v>
      </c>
      <c r="L117" s="1">
        <v>0</v>
      </c>
      <c r="M117" s="32">
        <v>0</v>
      </c>
      <c r="N117" s="2">
        <f t="shared" ref="N117" si="164">H117</f>
        <v>13.333486140000002</v>
      </c>
      <c r="O117" s="2">
        <f>SUMIF('January 2027'!$B:$B,'PTO SUMMARY 2027'!B117,'January 2027'!$AK:$AK)</f>
        <v>0</v>
      </c>
      <c r="P117" s="1">
        <f t="shared" ref="P117" si="165">L117+M117+N117-O117</f>
        <v>13.333486140000002</v>
      </c>
      <c r="Q117" s="1">
        <v>0</v>
      </c>
      <c r="R117" s="1">
        <v>0</v>
      </c>
      <c r="S117" s="3">
        <f t="shared" ref="S117" si="166">H117</f>
        <v>13.333486140000002</v>
      </c>
      <c r="T117" s="2">
        <f>SUMIF('February 2027'!$B:$B,'PTO SUMMARY 2027'!G117,'February 2027'!$AK:$AK)</f>
        <v>0</v>
      </c>
      <c r="U117" s="154">
        <v>0</v>
      </c>
      <c r="V117" s="1">
        <f t="shared" ref="V117" si="167">P117+S117-T117</f>
        <v>26.666972280000003</v>
      </c>
      <c r="W117" s="1">
        <v>0</v>
      </c>
      <c r="X117" s="1">
        <v>0</v>
      </c>
      <c r="Y117" s="3">
        <f t="shared" ref="Y117" si="168">H117</f>
        <v>13.333486140000002</v>
      </c>
      <c r="Z117" s="2">
        <f>SUMIF('March 2027'!$B:$B,'PTO SUMMARY 2027'!M117,'March 2027'!$AK:$AK)</f>
        <v>0</v>
      </c>
      <c r="AA117" s="1">
        <f t="shared" ref="AA117" si="169">V117+Y117-Z117</f>
        <v>40.000458420000001</v>
      </c>
      <c r="AB117" s="1">
        <v>0</v>
      </c>
      <c r="AC117" s="1">
        <v>0</v>
      </c>
      <c r="AD117" s="3">
        <v>0</v>
      </c>
      <c r="AE117" s="31">
        <f t="shared" ref="AE117" si="170">K117-AD117</f>
        <v>0</v>
      </c>
      <c r="AF117" s="31">
        <v>0</v>
      </c>
      <c r="AG117" s="30">
        <f t="shared" ref="AG117" si="171">AE117-AF117</f>
        <v>0</v>
      </c>
      <c r="AH117" s="2">
        <f t="shared" ref="AH117" si="172">H117</f>
        <v>13.333486140000002</v>
      </c>
      <c r="AI117" s="2">
        <f>SUMIF('April 2027'!$B:$B,'PTO SUMMARY 2027'!V117,'April 2027'!$AK:$AK)</f>
        <v>0</v>
      </c>
      <c r="AJ117" s="1">
        <f t="shared" ref="AJ117" si="173">AA117+AH117-AI117</f>
        <v>53.333944560000006</v>
      </c>
      <c r="AK117" s="1">
        <v>0</v>
      </c>
      <c r="AL117" s="1">
        <v>0</v>
      </c>
      <c r="AM117" s="3">
        <f t="shared" ref="AM117" si="174">H117</f>
        <v>13.333486140000002</v>
      </c>
      <c r="AN117" s="2">
        <f>SUMIF('May 2027'!$B:$B,'PTO SUMMARY 2027'!AA117,'May 2027'!$AK:$AK)</f>
        <v>0</v>
      </c>
      <c r="AO117" s="1">
        <f t="shared" ref="AO117" si="175">ROUND((AJ117+AM117-AN117),2)</f>
        <v>66.67</v>
      </c>
      <c r="AP117" s="1">
        <v>0</v>
      </c>
      <c r="AQ117" s="1">
        <v>0</v>
      </c>
      <c r="AR117" s="3">
        <f t="shared" ref="AR117" si="176">H117</f>
        <v>13.333486140000002</v>
      </c>
      <c r="AS117" s="2">
        <f>SUMIF('June 2027'!$B:$B,'PTO SUMMARY 2027'!AF117,'June 2027'!$AK:$AK)</f>
        <v>0</v>
      </c>
      <c r="AT117" s="1">
        <f t="shared" ref="AT117" si="177">AO117+AR117-AS117</f>
        <v>80.003486140000007</v>
      </c>
      <c r="AU117" s="1">
        <v>0</v>
      </c>
      <c r="AV117" s="1">
        <v>0</v>
      </c>
      <c r="AW117" s="3">
        <v>0</v>
      </c>
      <c r="AX117" s="31">
        <v>0</v>
      </c>
      <c r="AY117" s="31">
        <v>0</v>
      </c>
      <c r="AZ117" s="30">
        <f t="shared" ref="AZ117" si="178">AX117-AY117</f>
        <v>0</v>
      </c>
      <c r="BA117" s="3">
        <f t="shared" ref="BA117" si="179">H117</f>
        <v>13.333486140000002</v>
      </c>
      <c r="BB117" s="2">
        <f>SUMIF('July 2027'!$B:$B,'PTO SUMMARY 2027'!AK117,'July 2027'!$AK:$AK)</f>
        <v>0</v>
      </c>
      <c r="BC117" s="1">
        <f t="shared" ref="BC117" si="180">AT117+BA117-BB117</f>
        <v>93.336972280000012</v>
      </c>
      <c r="BD117" s="1">
        <v>0</v>
      </c>
      <c r="BE117" s="1">
        <v>0</v>
      </c>
      <c r="BF117" s="3">
        <f t="shared" ref="BF117" si="181">H117</f>
        <v>13.333486140000002</v>
      </c>
      <c r="BG117" s="2">
        <f>SUMIF('August 2027'!$B:$B,'PTO SUMMARY 2027'!AP117,'August 2027'!$AK:$AK)</f>
        <v>0</v>
      </c>
      <c r="BH117" s="1">
        <f t="shared" ref="BH117" si="182">BC117+BF117-BG117</f>
        <v>106.67045842000002</v>
      </c>
      <c r="BI117" s="1">
        <v>0</v>
      </c>
      <c r="BJ117" s="1">
        <v>0</v>
      </c>
      <c r="BK117" s="3">
        <f t="shared" ref="BK117" si="183">H117</f>
        <v>13.333486140000002</v>
      </c>
      <c r="BL117" s="2">
        <f>SUMIF('September 2027'!$B:$B,'PTO SUMMARY 2027'!AU117,'September 2027'!$AK:$AK)</f>
        <v>0</v>
      </c>
      <c r="BM117" s="1">
        <f t="shared" ref="BM117" si="184">BH117+BK117-BL117</f>
        <v>120.00394456000002</v>
      </c>
      <c r="BN117" s="1">
        <v>0</v>
      </c>
      <c r="BO117" s="1">
        <v>0</v>
      </c>
      <c r="BP117" s="3">
        <v>0</v>
      </c>
      <c r="BQ117" s="31">
        <v>0</v>
      </c>
      <c r="BR117" s="31">
        <v>0</v>
      </c>
      <c r="BS117" s="30">
        <f t="shared" ref="BS117" si="185">BQ117-BR117</f>
        <v>0</v>
      </c>
      <c r="BT117" s="3">
        <f t="shared" ref="BT117" si="186">H117</f>
        <v>13.333486140000002</v>
      </c>
      <c r="BU117" s="2">
        <f>SUMIF('October 2027'!$B:$B,'PTO SUMMARY 2027'!BH117,'October 2027'!$AK:$AK)</f>
        <v>0</v>
      </c>
      <c r="BV117" s="1">
        <f t="shared" ref="BV117" si="187">BM117+BT117-BU117</f>
        <v>133.33743070000003</v>
      </c>
      <c r="BW117" s="1">
        <v>0</v>
      </c>
      <c r="BX117" s="1">
        <v>0</v>
      </c>
      <c r="BY117" s="3">
        <f t="shared" ref="BY117" si="188">H117</f>
        <v>13.333486140000002</v>
      </c>
      <c r="BZ117" s="2">
        <f>SUMIF('November 2027'!$B:$B,'PTO SUMMARY 2027'!BM117,'November 2027'!$AK:$AK)</f>
        <v>0</v>
      </c>
      <c r="CA117" s="1">
        <f t="shared" ref="CA117" si="189">BV117+BY117-BZ117</f>
        <v>146.67091684000002</v>
      </c>
      <c r="CB117" s="1">
        <v>0</v>
      </c>
      <c r="CC117" s="1">
        <v>0</v>
      </c>
      <c r="CD117" s="3">
        <f t="shared" ref="CD117" si="190">H117</f>
        <v>13.333486140000002</v>
      </c>
      <c r="CE117" s="2">
        <f>SUMIF('December 2027'!$B:$B,'PTO SUMMARY 2027'!$B:$B,'December 2027'!$AK:$AK)</f>
        <v>0</v>
      </c>
      <c r="CF117" s="1">
        <f t="shared" ref="CF117" si="191">CA117+CD117-CE117</f>
        <v>160.00440298000001</v>
      </c>
      <c r="CG117" s="1">
        <v>0</v>
      </c>
      <c r="CH117" s="1">
        <v>0</v>
      </c>
      <c r="CI117" s="1">
        <v>0</v>
      </c>
      <c r="CJ117" s="3">
        <v>0</v>
      </c>
      <c r="CK117" s="31">
        <v>0</v>
      </c>
      <c r="CL117" s="31">
        <v>0</v>
      </c>
      <c r="CM117" s="31">
        <v>0</v>
      </c>
      <c r="CN117" s="30">
        <f t="shared" ref="CN117" si="192">CK117+CL117-CM117</f>
        <v>0</v>
      </c>
    </row>
    <row r="118" spans="1:92">
      <c r="A118" s="35" t="s">
        <v>314</v>
      </c>
      <c r="B118" s="8" t="s">
        <v>315</v>
      </c>
      <c r="C118" s="8" t="s">
        <v>64</v>
      </c>
      <c r="D118" s="9" t="s">
        <v>65</v>
      </c>
      <c r="E118" t="s">
        <v>115</v>
      </c>
      <c r="F118" s="12" t="s">
        <v>136</v>
      </c>
      <c r="G118" s="7">
        <v>1</v>
      </c>
      <c r="H118" s="34">
        <v>0</v>
      </c>
      <c r="I118" s="33">
        <v>0</v>
      </c>
      <c r="J118" s="1">
        <v>0</v>
      </c>
      <c r="K118" s="1">
        <v>0</v>
      </c>
      <c r="L118" s="1">
        <v>0</v>
      </c>
      <c r="M118" s="32">
        <v>0</v>
      </c>
      <c r="N118" s="2">
        <f t="shared" si="80"/>
        <v>0</v>
      </c>
      <c r="O118" s="2">
        <f>SUMIF('January 2027'!$B:$B,'PTO SUMMARY 2027'!B118,'January 2027'!$AK:$AK)</f>
        <v>0</v>
      </c>
      <c r="P118" s="1">
        <f t="shared" si="122"/>
        <v>0</v>
      </c>
      <c r="Q118" s="1">
        <v>0</v>
      </c>
      <c r="R118" s="1">
        <v>0</v>
      </c>
      <c r="S118" s="3">
        <f t="shared" si="81"/>
        <v>0</v>
      </c>
      <c r="T118" s="2">
        <f>SUMIF('February 2027'!$B:$B,'PTO SUMMARY 2027'!G118,'February 2027'!$AK:$AK)</f>
        <v>0</v>
      </c>
      <c r="U118" s="154">
        <v>0</v>
      </c>
      <c r="V118" s="1">
        <f t="shared" si="123"/>
        <v>0</v>
      </c>
      <c r="W118" s="1">
        <v>0</v>
      </c>
      <c r="X118" s="1">
        <v>0</v>
      </c>
      <c r="Y118" s="3">
        <f t="shared" si="82"/>
        <v>0</v>
      </c>
      <c r="Z118" s="2">
        <f>SUMIF('March 2027'!$B:$B,'PTO SUMMARY 2027'!M118,'March 2027'!$AK:$AK)</f>
        <v>0</v>
      </c>
      <c r="AA118" s="1">
        <f t="shared" si="134"/>
        <v>0</v>
      </c>
      <c r="AB118" s="1">
        <v>0</v>
      </c>
      <c r="AC118" s="1">
        <v>0</v>
      </c>
      <c r="AD118" s="3">
        <v>0</v>
      </c>
      <c r="AE118" s="31">
        <f t="shared" si="124"/>
        <v>0</v>
      </c>
      <c r="AF118" s="31">
        <v>0</v>
      </c>
      <c r="AG118" s="30">
        <f t="shared" si="125"/>
        <v>0</v>
      </c>
      <c r="AH118" s="2">
        <f t="shared" si="83"/>
        <v>0</v>
      </c>
      <c r="AI118" s="2">
        <f>SUMIF('April 2027'!$B:$B,'PTO SUMMARY 2027'!V118,'April 2027'!$AK:$AK)</f>
        <v>0</v>
      </c>
      <c r="AJ118" s="1">
        <f t="shared" si="126"/>
        <v>0</v>
      </c>
      <c r="AK118" s="1">
        <v>0</v>
      </c>
      <c r="AL118" s="1">
        <v>0</v>
      </c>
      <c r="AM118" s="3">
        <f t="shared" si="84"/>
        <v>0</v>
      </c>
      <c r="AN118" s="2">
        <f>SUMIF('May 2027'!$B:$B,'PTO SUMMARY 2027'!AA118,'May 2027'!$AK:$AK)</f>
        <v>0</v>
      </c>
      <c r="AO118" s="1">
        <f t="shared" si="127"/>
        <v>0</v>
      </c>
      <c r="AP118" s="1">
        <v>0</v>
      </c>
      <c r="AQ118" s="1">
        <v>0</v>
      </c>
      <c r="AR118" s="3">
        <f t="shared" si="85"/>
        <v>0</v>
      </c>
      <c r="AS118" s="2">
        <f>SUMIF('June 2027'!$B:$B,'PTO SUMMARY 2027'!AF118,'June 2027'!$AK:$AK)</f>
        <v>0</v>
      </c>
      <c r="AT118" s="1">
        <f t="shared" si="128"/>
        <v>0</v>
      </c>
      <c r="AU118" s="1">
        <v>0</v>
      </c>
      <c r="AV118" s="1">
        <v>0</v>
      </c>
      <c r="AW118" s="3">
        <v>0</v>
      </c>
      <c r="AX118" s="31">
        <v>0</v>
      </c>
      <c r="AY118" s="31">
        <v>0</v>
      </c>
      <c r="AZ118" s="30">
        <f t="shared" si="73"/>
        <v>0</v>
      </c>
      <c r="BA118" s="3">
        <f t="shared" si="86"/>
        <v>0</v>
      </c>
      <c r="BB118" s="2">
        <f>SUMIF('July 2027'!$B:$B,'PTO SUMMARY 2027'!AK118,'July 2027'!$AK:$AK)</f>
        <v>0</v>
      </c>
      <c r="BC118" s="1">
        <f t="shared" si="74"/>
        <v>0</v>
      </c>
      <c r="BD118" s="1">
        <v>0</v>
      </c>
      <c r="BE118" s="1">
        <v>0</v>
      </c>
      <c r="BF118" s="3">
        <f t="shared" si="87"/>
        <v>0</v>
      </c>
      <c r="BG118" s="2">
        <f>SUMIF('August 2027'!$B:$B,'PTO SUMMARY 2027'!AP118,'August 2027'!$AK:$AK)</f>
        <v>0</v>
      </c>
      <c r="BH118" s="1">
        <f t="shared" si="129"/>
        <v>0</v>
      </c>
      <c r="BI118" s="1">
        <v>0</v>
      </c>
      <c r="BJ118" s="1">
        <v>0</v>
      </c>
      <c r="BK118" s="3">
        <f t="shared" si="88"/>
        <v>0</v>
      </c>
      <c r="BL118" s="2">
        <f>SUMIF('September 2027'!$B:$B,'PTO SUMMARY 2027'!AU118,'September 2027'!$AK:$AK)</f>
        <v>0</v>
      </c>
      <c r="BM118" s="1">
        <f t="shared" si="130"/>
        <v>0</v>
      </c>
      <c r="BN118" s="1">
        <v>0</v>
      </c>
      <c r="BO118" s="1">
        <v>0</v>
      </c>
      <c r="BP118" s="3">
        <v>0</v>
      </c>
      <c r="BQ118" s="31">
        <v>0</v>
      </c>
      <c r="BR118" s="31">
        <v>0</v>
      </c>
      <c r="BS118" s="30">
        <f t="shared" si="65"/>
        <v>0</v>
      </c>
      <c r="BT118" s="3">
        <f t="shared" si="89"/>
        <v>0</v>
      </c>
      <c r="BU118" s="2">
        <f>SUMIF('October 2027'!$B:$B,'PTO SUMMARY 2027'!BH118,'October 2027'!$AK:$AK)</f>
        <v>0</v>
      </c>
      <c r="BV118" s="1">
        <f t="shared" si="131"/>
        <v>0</v>
      </c>
      <c r="BW118" s="1">
        <v>0</v>
      </c>
      <c r="BX118" s="1">
        <v>0</v>
      </c>
      <c r="BY118" s="3">
        <f t="shared" si="90"/>
        <v>0</v>
      </c>
      <c r="BZ118" s="2">
        <f>SUMIF('November 2027'!$B:$B,'PTO SUMMARY 2027'!BM118,'November 2027'!$AK:$AK)</f>
        <v>0</v>
      </c>
      <c r="CA118" s="1">
        <f t="shared" si="132"/>
        <v>0</v>
      </c>
      <c r="CB118" s="1">
        <v>0</v>
      </c>
      <c r="CC118" s="1">
        <v>0</v>
      </c>
      <c r="CD118" s="3">
        <f t="shared" si="91"/>
        <v>0</v>
      </c>
      <c r="CE118" s="2">
        <f>SUMIF('December 2027'!$B:$B,'PTO SUMMARY 2027'!$B:$B,'December 2027'!$AK:$AK)</f>
        <v>0</v>
      </c>
      <c r="CF118" s="1">
        <f t="shared" si="133"/>
        <v>0</v>
      </c>
      <c r="CG118" s="1">
        <v>0</v>
      </c>
      <c r="CH118" s="1">
        <v>0</v>
      </c>
      <c r="CI118" s="1">
        <v>0</v>
      </c>
      <c r="CJ118" s="3">
        <v>0</v>
      </c>
      <c r="CK118" s="31">
        <v>0</v>
      </c>
      <c r="CL118" s="31">
        <v>0</v>
      </c>
      <c r="CM118" s="31">
        <v>0</v>
      </c>
      <c r="CN118" s="30">
        <f t="shared" si="92"/>
        <v>0</v>
      </c>
    </row>
    <row r="119" spans="1:92">
      <c r="A119" s="8" t="s">
        <v>316</v>
      </c>
      <c r="B119" s="8" t="s">
        <v>317</v>
      </c>
      <c r="C119" s="8" t="s">
        <v>75</v>
      </c>
      <c r="D119" s="9" t="s">
        <v>70</v>
      </c>
      <c r="E119" t="s">
        <v>76</v>
      </c>
      <c r="F119" s="12" t="s">
        <v>80</v>
      </c>
      <c r="G119" s="7">
        <v>1</v>
      </c>
      <c r="H119" s="11">
        <f>((G119*86.67)*2)*(SUMIF('Accrual Rates'!B:B,'PTO SUMMARY 2027'!B119,'Accrual Rates'!G:G))</f>
        <v>13.3333128</v>
      </c>
      <c r="I119" s="33">
        <v>0</v>
      </c>
      <c r="J119" s="1">
        <v>0</v>
      </c>
      <c r="K119" s="1">
        <v>0</v>
      </c>
      <c r="L119" s="1">
        <v>0</v>
      </c>
      <c r="M119" s="32">
        <v>0</v>
      </c>
      <c r="N119" s="2">
        <f t="shared" si="80"/>
        <v>13.3333128</v>
      </c>
      <c r="O119" s="2">
        <f>SUMIF('January 2027'!$B:$B,'PTO SUMMARY 2027'!B119,'January 2027'!$AK:$AK)</f>
        <v>0</v>
      </c>
      <c r="P119" s="1">
        <f t="shared" si="122"/>
        <v>13.3333128</v>
      </c>
      <c r="Q119" s="1">
        <v>0</v>
      </c>
      <c r="R119" s="1">
        <v>0</v>
      </c>
      <c r="S119" s="3">
        <f t="shared" si="81"/>
        <v>13.3333128</v>
      </c>
      <c r="T119" s="2">
        <f>SUMIF('February 2027'!$B:$B,'PTO SUMMARY 2027'!G119,'February 2027'!$AK:$AK)</f>
        <v>0</v>
      </c>
      <c r="U119" s="154">
        <v>0</v>
      </c>
      <c r="V119" s="1">
        <f t="shared" si="123"/>
        <v>26.6666256</v>
      </c>
      <c r="W119" s="1">
        <v>0</v>
      </c>
      <c r="X119" s="1">
        <v>0</v>
      </c>
      <c r="Y119" s="3">
        <f t="shared" si="82"/>
        <v>13.3333128</v>
      </c>
      <c r="Z119" s="2">
        <f>SUMIF('March 2027'!$B:$B,'PTO SUMMARY 2027'!M119,'March 2027'!$AK:$AK)</f>
        <v>0</v>
      </c>
      <c r="AA119" s="1">
        <f t="shared" si="134"/>
        <v>39.999938399999998</v>
      </c>
      <c r="AB119" s="1">
        <v>0</v>
      </c>
      <c r="AC119" s="1">
        <v>0</v>
      </c>
      <c r="AD119" s="3">
        <v>0</v>
      </c>
      <c r="AE119" s="31">
        <f t="shared" si="124"/>
        <v>0</v>
      </c>
      <c r="AF119" s="31">
        <v>0</v>
      </c>
      <c r="AG119" s="30">
        <f t="shared" si="125"/>
        <v>0</v>
      </c>
      <c r="AH119" s="2">
        <f t="shared" si="83"/>
        <v>13.3333128</v>
      </c>
      <c r="AI119" s="2">
        <f>SUMIF('April 2027'!$B:$B,'PTO SUMMARY 2027'!V119,'April 2027'!$AK:$AK)</f>
        <v>0</v>
      </c>
      <c r="AJ119" s="1">
        <f t="shared" si="126"/>
        <v>53.333251199999999</v>
      </c>
      <c r="AK119" s="1">
        <v>0</v>
      </c>
      <c r="AL119" s="1">
        <v>0</v>
      </c>
      <c r="AM119" s="3">
        <f t="shared" si="84"/>
        <v>13.3333128</v>
      </c>
      <c r="AN119" s="2">
        <f>SUMIF('May 2027'!$B:$B,'PTO SUMMARY 2027'!AA119,'May 2027'!$AK:$AK)</f>
        <v>0</v>
      </c>
      <c r="AO119" s="1">
        <f t="shared" si="127"/>
        <v>66.67</v>
      </c>
      <c r="AP119" s="1">
        <v>0</v>
      </c>
      <c r="AQ119" s="1">
        <v>0</v>
      </c>
      <c r="AR119" s="3">
        <f t="shared" si="85"/>
        <v>13.3333128</v>
      </c>
      <c r="AS119" s="2">
        <f>SUMIF('June 2027'!$B:$B,'PTO SUMMARY 2027'!AF119,'June 2027'!$AK:$AK)</f>
        <v>0</v>
      </c>
      <c r="AT119" s="1">
        <f t="shared" si="128"/>
        <v>80.003312800000003</v>
      </c>
      <c r="AU119" s="1">
        <v>0</v>
      </c>
      <c r="AV119" s="1">
        <v>0</v>
      </c>
      <c r="AW119" s="3">
        <v>0</v>
      </c>
      <c r="AX119" s="31">
        <v>0</v>
      </c>
      <c r="AY119" s="31">
        <v>0</v>
      </c>
      <c r="AZ119" s="30">
        <f t="shared" si="73"/>
        <v>0</v>
      </c>
      <c r="BA119" s="3">
        <f t="shared" si="86"/>
        <v>13.3333128</v>
      </c>
      <c r="BB119" s="2">
        <f>SUMIF('July 2027'!$B:$B,'PTO SUMMARY 2027'!AK119,'July 2027'!$AK:$AK)</f>
        <v>0</v>
      </c>
      <c r="BC119" s="1">
        <f t="shared" si="74"/>
        <v>93.336625600000005</v>
      </c>
      <c r="BD119" s="1">
        <v>0</v>
      </c>
      <c r="BE119" s="1">
        <v>0</v>
      </c>
      <c r="BF119" s="3">
        <f t="shared" si="87"/>
        <v>13.3333128</v>
      </c>
      <c r="BG119" s="2">
        <f>SUMIF('August 2027'!$B:$B,'PTO SUMMARY 2027'!AP119,'August 2027'!$AK:$AK)</f>
        <v>0</v>
      </c>
      <c r="BH119" s="1">
        <f t="shared" si="129"/>
        <v>106.66993840000001</v>
      </c>
      <c r="BI119" s="1">
        <v>0</v>
      </c>
      <c r="BJ119" s="1">
        <v>0</v>
      </c>
      <c r="BK119" s="3">
        <f t="shared" si="88"/>
        <v>13.3333128</v>
      </c>
      <c r="BL119" s="2">
        <f>SUMIF('September 2027'!$B:$B,'PTO SUMMARY 2027'!AU119,'September 2027'!$AK:$AK)</f>
        <v>0</v>
      </c>
      <c r="BM119" s="1">
        <f t="shared" si="130"/>
        <v>120.00325120000001</v>
      </c>
      <c r="BN119" s="1">
        <v>0</v>
      </c>
      <c r="BO119" s="1">
        <v>0</v>
      </c>
      <c r="BP119" s="3">
        <v>0</v>
      </c>
      <c r="BQ119" s="31">
        <v>0</v>
      </c>
      <c r="BR119" s="31">
        <v>0</v>
      </c>
      <c r="BS119" s="30">
        <f t="shared" si="65"/>
        <v>0</v>
      </c>
      <c r="BT119" s="3">
        <f t="shared" si="89"/>
        <v>13.3333128</v>
      </c>
      <c r="BU119" s="2">
        <f>SUMIF('October 2027'!$B:$B,'PTO SUMMARY 2027'!BH119,'October 2027'!$AK:$AK)</f>
        <v>0</v>
      </c>
      <c r="BV119" s="1">
        <f t="shared" si="131"/>
        <v>133.33656400000001</v>
      </c>
      <c r="BW119" s="1">
        <v>0</v>
      </c>
      <c r="BX119" s="1">
        <v>0</v>
      </c>
      <c r="BY119" s="3">
        <f t="shared" si="90"/>
        <v>13.3333128</v>
      </c>
      <c r="BZ119" s="2">
        <f>SUMIF('November 2027'!$B:$B,'PTO SUMMARY 2027'!BM119,'November 2027'!$AK:$AK)</f>
        <v>0</v>
      </c>
      <c r="CA119" s="1">
        <f t="shared" si="132"/>
        <v>146.6698768</v>
      </c>
      <c r="CB119" s="1">
        <v>0</v>
      </c>
      <c r="CC119" s="1">
        <v>0</v>
      </c>
      <c r="CD119" s="3">
        <f t="shared" si="91"/>
        <v>13.3333128</v>
      </c>
      <c r="CE119" s="2">
        <f>SUMIF('December 2027'!$B:$B,'PTO SUMMARY 2027'!$B:$B,'December 2027'!$AK:$AK)</f>
        <v>0</v>
      </c>
      <c r="CF119" s="1">
        <f t="shared" si="133"/>
        <v>160.00318959999998</v>
      </c>
      <c r="CG119" s="1">
        <v>0</v>
      </c>
      <c r="CH119" s="1">
        <v>0</v>
      </c>
      <c r="CI119" s="1">
        <v>0</v>
      </c>
      <c r="CJ119" s="3">
        <v>0</v>
      </c>
      <c r="CK119" s="31">
        <v>0</v>
      </c>
      <c r="CL119" s="31">
        <v>0</v>
      </c>
      <c r="CM119" s="31">
        <v>0</v>
      </c>
      <c r="CN119" s="30">
        <f t="shared" si="92"/>
        <v>0</v>
      </c>
    </row>
    <row r="120" spans="1:92">
      <c r="A120" s="35" t="s">
        <v>318</v>
      </c>
      <c r="B120" s="8" t="s">
        <v>319</v>
      </c>
      <c r="C120" s="8" t="s">
        <v>64</v>
      </c>
      <c r="D120" s="9" t="s">
        <v>65</v>
      </c>
      <c r="E120" s="36" t="s">
        <v>66</v>
      </c>
      <c r="F120" s="12" t="s">
        <v>108</v>
      </c>
      <c r="G120" s="7">
        <v>1</v>
      </c>
      <c r="H120" s="34">
        <v>0</v>
      </c>
      <c r="I120" s="33">
        <v>0</v>
      </c>
      <c r="J120" s="1">
        <v>0</v>
      </c>
      <c r="K120" s="1">
        <v>0</v>
      </c>
      <c r="L120" s="1">
        <v>0</v>
      </c>
      <c r="M120" s="32">
        <v>0</v>
      </c>
      <c r="N120" s="2">
        <f t="shared" si="80"/>
        <v>0</v>
      </c>
      <c r="O120" s="2">
        <f>SUMIF('January 2027'!$B:$B,'PTO SUMMARY 2027'!B120,'January 2027'!$AK:$AK)</f>
        <v>0</v>
      </c>
      <c r="P120" s="1">
        <f t="shared" si="122"/>
        <v>0</v>
      </c>
      <c r="Q120" s="1">
        <v>0</v>
      </c>
      <c r="R120" s="1">
        <v>0</v>
      </c>
      <c r="S120" s="3">
        <f t="shared" si="81"/>
        <v>0</v>
      </c>
      <c r="T120" s="2">
        <f>SUMIF('February 2027'!$B:$B,'PTO SUMMARY 2027'!G120,'February 2027'!$AK:$AK)</f>
        <v>0</v>
      </c>
      <c r="U120" s="154">
        <v>0</v>
      </c>
      <c r="V120" s="1">
        <f t="shared" si="123"/>
        <v>0</v>
      </c>
      <c r="W120" s="1">
        <v>0</v>
      </c>
      <c r="X120" s="1">
        <v>0</v>
      </c>
      <c r="Y120" s="3">
        <f t="shared" si="82"/>
        <v>0</v>
      </c>
      <c r="Z120" s="2">
        <f>SUMIF('March 2027'!$B:$B,'PTO SUMMARY 2027'!M120,'March 2027'!$AK:$AK)</f>
        <v>0</v>
      </c>
      <c r="AA120" s="1">
        <f t="shared" si="134"/>
        <v>0</v>
      </c>
      <c r="AB120" s="1">
        <v>0</v>
      </c>
      <c r="AC120" s="1">
        <v>0</v>
      </c>
      <c r="AD120" s="3">
        <v>0</v>
      </c>
      <c r="AE120" s="31">
        <f t="shared" si="124"/>
        <v>0</v>
      </c>
      <c r="AF120" s="31">
        <v>0</v>
      </c>
      <c r="AG120" s="30">
        <f t="shared" si="125"/>
        <v>0</v>
      </c>
      <c r="AH120" s="2">
        <f t="shared" si="83"/>
        <v>0</v>
      </c>
      <c r="AI120" s="2">
        <f>SUMIF('April 2027'!$B:$B,'PTO SUMMARY 2027'!V120,'April 2027'!$AK:$AK)</f>
        <v>0</v>
      </c>
      <c r="AJ120" s="1">
        <f t="shared" si="126"/>
        <v>0</v>
      </c>
      <c r="AK120" s="1">
        <v>0</v>
      </c>
      <c r="AL120" s="1">
        <v>0</v>
      </c>
      <c r="AM120" s="3">
        <f t="shared" si="84"/>
        <v>0</v>
      </c>
      <c r="AN120" s="2">
        <f>SUMIF('May 2027'!$B:$B,'PTO SUMMARY 2027'!AA120,'May 2027'!$AK:$AK)</f>
        <v>0</v>
      </c>
      <c r="AO120" s="1">
        <f t="shared" si="127"/>
        <v>0</v>
      </c>
      <c r="AP120" s="1">
        <v>0</v>
      </c>
      <c r="AQ120" s="1">
        <v>0</v>
      </c>
      <c r="AR120" s="3">
        <f t="shared" si="85"/>
        <v>0</v>
      </c>
      <c r="AS120" s="2">
        <f>SUMIF('June 2027'!$B:$B,'PTO SUMMARY 2027'!AF120,'June 2027'!$AK:$AK)</f>
        <v>0</v>
      </c>
      <c r="AT120" s="1">
        <f t="shared" si="128"/>
        <v>0</v>
      </c>
      <c r="AU120" s="1">
        <v>0</v>
      </c>
      <c r="AV120" s="1">
        <v>0</v>
      </c>
      <c r="AW120" s="3">
        <v>0</v>
      </c>
      <c r="AX120" s="31">
        <v>0</v>
      </c>
      <c r="AY120" s="31">
        <v>0</v>
      </c>
      <c r="AZ120" s="30">
        <f t="shared" si="73"/>
        <v>0</v>
      </c>
      <c r="BA120" s="3">
        <f t="shared" si="86"/>
        <v>0</v>
      </c>
      <c r="BB120" s="2">
        <f>SUMIF('July 2027'!$B:$B,'PTO SUMMARY 2027'!AK120,'July 2027'!$AK:$AK)</f>
        <v>0</v>
      </c>
      <c r="BC120" s="1">
        <f t="shared" si="74"/>
        <v>0</v>
      </c>
      <c r="BD120" s="1">
        <v>0</v>
      </c>
      <c r="BE120" s="1">
        <v>0</v>
      </c>
      <c r="BF120" s="3">
        <f t="shared" si="87"/>
        <v>0</v>
      </c>
      <c r="BG120" s="2">
        <f>SUMIF('August 2027'!$B:$B,'PTO SUMMARY 2027'!AP120,'August 2027'!$AK:$AK)</f>
        <v>0</v>
      </c>
      <c r="BH120" s="1">
        <f t="shared" si="129"/>
        <v>0</v>
      </c>
      <c r="BI120" s="1">
        <v>0</v>
      </c>
      <c r="BJ120" s="1">
        <v>0</v>
      </c>
      <c r="BK120" s="3">
        <f t="shared" si="88"/>
        <v>0</v>
      </c>
      <c r="BL120" s="2">
        <f>SUMIF('September 2027'!$B:$B,'PTO SUMMARY 2027'!AU120,'September 2027'!$AK:$AK)</f>
        <v>0</v>
      </c>
      <c r="BM120" s="1">
        <f t="shared" si="130"/>
        <v>0</v>
      </c>
      <c r="BN120" s="1">
        <v>0</v>
      </c>
      <c r="BO120" s="1">
        <v>0</v>
      </c>
      <c r="BP120" s="3">
        <v>0</v>
      </c>
      <c r="BQ120" s="31">
        <v>0</v>
      </c>
      <c r="BR120" s="31">
        <v>0</v>
      </c>
      <c r="BS120" s="30">
        <f t="shared" si="65"/>
        <v>0</v>
      </c>
      <c r="BT120" s="3">
        <f t="shared" si="89"/>
        <v>0</v>
      </c>
      <c r="BU120" s="2">
        <f>SUMIF('October 2027'!$B:$B,'PTO SUMMARY 2027'!BH120,'October 2027'!$AK:$AK)</f>
        <v>0</v>
      </c>
      <c r="BV120" s="1">
        <f t="shared" si="131"/>
        <v>0</v>
      </c>
      <c r="BW120" s="1">
        <v>0</v>
      </c>
      <c r="BX120" s="1">
        <v>0</v>
      </c>
      <c r="BY120" s="3">
        <f t="shared" si="90"/>
        <v>0</v>
      </c>
      <c r="BZ120" s="2">
        <f>SUMIF('November 2027'!$B:$B,'PTO SUMMARY 2027'!BM120,'November 2027'!$AK:$AK)</f>
        <v>0</v>
      </c>
      <c r="CA120" s="1">
        <f t="shared" si="132"/>
        <v>0</v>
      </c>
      <c r="CB120" s="1">
        <v>0</v>
      </c>
      <c r="CC120" s="1">
        <v>0</v>
      </c>
      <c r="CD120" s="3">
        <f t="shared" si="91"/>
        <v>0</v>
      </c>
      <c r="CE120" s="2">
        <f>SUMIF('December 2027'!$B:$B,'PTO SUMMARY 2027'!$B:$B,'December 2027'!$AK:$AK)</f>
        <v>0</v>
      </c>
      <c r="CF120" s="1">
        <f t="shared" si="133"/>
        <v>0</v>
      </c>
      <c r="CG120" s="1">
        <v>0</v>
      </c>
      <c r="CH120" s="1">
        <v>0</v>
      </c>
      <c r="CI120" s="1">
        <v>0</v>
      </c>
      <c r="CJ120" s="3">
        <v>0</v>
      </c>
      <c r="CK120" s="31">
        <v>0</v>
      </c>
      <c r="CL120" s="31">
        <v>0</v>
      </c>
      <c r="CM120" s="31">
        <v>0</v>
      </c>
      <c r="CN120" s="30">
        <f t="shared" si="92"/>
        <v>0</v>
      </c>
    </row>
    <row r="121" spans="1:92">
      <c r="A121" s="8" t="s">
        <v>320</v>
      </c>
      <c r="B121" s="8" t="s">
        <v>321</v>
      </c>
      <c r="C121" s="8" t="s">
        <v>75</v>
      </c>
      <c r="D121" s="9" t="s">
        <v>70</v>
      </c>
      <c r="E121" t="s">
        <v>76</v>
      </c>
      <c r="F121" s="12" t="s">
        <v>99</v>
      </c>
      <c r="G121" s="7">
        <v>1</v>
      </c>
      <c r="H121" s="11">
        <f>((G121*86.67)*2)*(SUMIF('Accrual Rates'!B:B,'PTO SUMMARY 2027'!B121,'Accrual Rates'!G:G))</f>
        <v>13.3333128</v>
      </c>
      <c r="I121" s="33">
        <v>0</v>
      </c>
      <c r="J121" s="1">
        <v>0</v>
      </c>
      <c r="K121" s="1">
        <v>0</v>
      </c>
      <c r="L121" s="1">
        <v>0</v>
      </c>
      <c r="M121" s="32">
        <v>0</v>
      </c>
      <c r="N121" s="2">
        <f t="shared" si="80"/>
        <v>13.3333128</v>
      </c>
      <c r="O121" s="2">
        <f>SUMIF('January 2027'!$B:$B,'PTO SUMMARY 2027'!B121,'January 2027'!$AK:$AK)</f>
        <v>0</v>
      </c>
      <c r="P121" s="1">
        <f t="shared" si="122"/>
        <v>13.3333128</v>
      </c>
      <c r="Q121" s="1">
        <v>0</v>
      </c>
      <c r="R121" s="1">
        <v>0</v>
      </c>
      <c r="S121" s="3">
        <f t="shared" si="81"/>
        <v>13.3333128</v>
      </c>
      <c r="T121" s="2">
        <f>SUMIF('February 2027'!$B:$B,'PTO SUMMARY 2027'!G121,'February 2027'!$AK:$AK)</f>
        <v>0</v>
      </c>
      <c r="U121" s="154">
        <v>0</v>
      </c>
      <c r="V121" s="1">
        <f t="shared" si="123"/>
        <v>26.6666256</v>
      </c>
      <c r="W121" s="1">
        <v>0</v>
      </c>
      <c r="X121" s="1">
        <v>0</v>
      </c>
      <c r="Y121" s="3">
        <f t="shared" si="82"/>
        <v>13.3333128</v>
      </c>
      <c r="Z121" s="2">
        <f>SUMIF('March 2027'!$B:$B,'PTO SUMMARY 2027'!M121,'March 2027'!$AK:$AK)</f>
        <v>0</v>
      </c>
      <c r="AA121" s="1">
        <f t="shared" si="134"/>
        <v>39.999938399999998</v>
      </c>
      <c r="AB121" s="1">
        <v>0</v>
      </c>
      <c r="AC121" s="1">
        <v>0</v>
      </c>
      <c r="AD121" s="3">
        <v>0</v>
      </c>
      <c r="AE121" s="31">
        <f t="shared" si="124"/>
        <v>0</v>
      </c>
      <c r="AF121" s="31">
        <v>0</v>
      </c>
      <c r="AG121" s="30">
        <f t="shared" si="125"/>
        <v>0</v>
      </c>
      <c r="AH121" s="2">
        <f t="shared" si="83"/>
        <v>13.3333128</v>
      </c>
      <c r="AI121" s="2">
        <f>SUMIF('April 2027'!$B:$B,'PTO SUMMARY 2027'!V121,'April 2027'!$AK:$AK)</f>
        <v>0</v>
      </c>
      <c r="AJ121" s="1">
        <f t="shared" si="126"/>
        <v>53.333251199999999</v>
      </c>
      <c r="AK121" s="1">
        <v>0</v>
      </c>
      <c r="AL121" s="1">
        <v>0</v>
      </c>
      <c r="AM121" s="3">
        <f t="shared" si="84"/>
        <v>13.3333128</v>
      </c>
      <c r="AN121" s="2">
        <f>SUMIF('May 2027'!$B:$B,'PTO SUMMARY 2027'!AA121,'May 2027'!$AK:$AK)</f>
        <v>0</v>
      </c>
      <c r="AO121" s="1">
        <f t="shared" si="127"/>
        <v>66.67</v>
      </c>
      <c r="AP121" s="1">
        <v>0</v>
      </c>
      <c r="AQ121" s="1">
        <v>0</v>
      </c>
      <c r="AR121" s="3">
        <f t="shared" si="85"/>
        <v>13.3333128</v>
      </c>
      <c r="AS121" s="2">
        <f>SUMIF('June 2027'!$B:$B,'PTO SUMMARY 2027'!AF121,'June 2027'!$AK:$AK)</f>
        <v>0</v>
      </c>
      <c r="AT121" s="1">
        <f t="shared" si="128"/>
        <v>80.003312800000003</v>
      </c>
      <c r="AU121" s="1">
        <v>0</v>
      </c>
      <c r="AV121" s="1">
        <v>0</v>
      </c>
      <c r="AW121" s="3">
        <v>0</v>
      </c>
      <c r="AX121" s="31">
        <v>0</v>
      </c>
      <c r="AY121" s="31">
        <v>0</v>
      </c>
      <c r="AZ121" s="30">
        <f t="shared" si="73"/>
        <v>0</v>
      </c>
      <c r="BA121" s="3">
        <f t="shared" si="86"/>
        <v>13.3333128</v>
      </c>
      <c r="BB121" s="2">
        <f>SUMIF('July 2027'!$B:$B,'PTO SUMMARY 2027'!AK121,'July 2027'!$AK:$AK)</f>
        <v>0</v>
      </c>
      <c r="BC121" s="1">
        <f t="shared" si="74"/>
        <v>93.336625600000005</v>
      </c>
      <c r="BD121" s="1">
        <v>0</v>
      </c>
      <c r="BE121" s="1">
        <v>0</v>
      </c>
      <c r="BF121" s="3">
        <f t="shared" si="87"/>
        <v>13.3333128</v>
      </c>
      <c r="BG121" s="2">
        <f>SUMIF('August 2027'!$B:$B,'PTO SUMMARY 2027'!AP121,'August 2027'!$AK:$AK)</f>
        <v>0</v>
      </c>
      <c r="BH121" s="1">
        <f t="shared" si="129"/>
        <v>106.66993840000001</v>
      </c>
      <c r="BI121" s="1">
        <v>0</v>
      </c>
      <c r="BJ121" s="1">
        <v>0</v>
      </c>
      <c r="BK121" s="3">
        <f t="shared" si="88"/>
        <v>13.3333128</v>
      </c>
      <c r="BL121" s="2">
        <f>SUMIF('September 2027'!$B:$B,'PTO SUMMARY 2027'!AU121,'September 2027'!$AK:$AK)</f>
        <v>0</v>
      </c>
      <c r="BM121" s="1">
        <f t="shared" si="130"/>
        <v>120.00325120000001</v>
      </c>
      <c r="BN121" s="1">
        <v>0</v>
      </c>
      <c r="BO121" s="1">
        <v>0</v>
      </c>
      <c r="BP121" s="3">
        <v>0</v>
      </c>
      <c r="BQ121" s="31">
        <v>0</v>
      </c>
      <c r="BR121" s="31">
        <v>0</v>
      </c>
      <c r="BS121" s="30">
        <f t="shared" si="65"/>
        <v>0</v>
      </c>
      <c r="BT121" s="3">
        <f t="shared" si="89"/>
        <v>13.3333128</v>
      </c>
      <c r="BU121" s="2">
        <f>SUMIF('October 2027'!$B:$B,'PTO SUMMARY 2027'!BH121,'October 2027'!$AK:$AK)</f>
        <v>0</v>
      </c>
      <c r="BV121" s="1">
        <f t="shared" si="131"/>
        <v>133.33656400000001</v>
      </c>
      <c r="BW121" s="1">
        <v>0</v>
      </c>
      <c r="BX121" s="1">
        <v>0</v>
      </c>
      <c r="BY121" s="3">
        <f t="shared" si="90"/>
        <v>13.3333128</v>
      </c>
      <c r="BZ121" s="2">
        <f>SUMIF('November 2027'!$B:$B,'PTO SUMMARY 2027'!BM121,'November 2027'!$AK:$AK)</f>
        <v>0</v>
      </c>
      <c r="CA121" s="1">
        <f t="shared" si="132"/>
        <v>146.6698768</v>
      </c>
      <c r="CB121" s="1">
        <v>0</v>
      </c>
      <c r="CC121" s="1">
        <v>0</v>
      </c>
      <c r="CD121" s="3">
        <f t="shared" si="91"/>
        <v>13.3333128</v>
      </c>
      <c r="CE121" s="2">
        <f>SUMIF('December 2027'!$B:$B,'PTO SUMMARY 2027'!$B:$B,'December 2027'!$AK:$AK)</f>
        <v>0</v>
      </c>
      <c r="CF121" s="1">
        <f t="shared" si="133"/>
        <v>160.00318959999998</v>
      </c>
      <c r="CG121" s="1">
        <v>0</v>
      </c>
      <c r="CH121" s="1">
        <v>0</v>
      </c>
      <c r="CI121" s="1">
        <v>0</v>
      </c>
      <c r="CJ121" s="3">
        <v>0</v>
      </c>
      <c r="CK121" s="31">
        <v>0</v>
      </c>
      <c r="CL121" s="31">
        <v>0</v>
      </c>
      <c r="CM121" s="31">
        <v>0</v>
      </c>
      <c r="CN121" s="30">
        <f t="shared" si="92"/>
        <v>0</v>
      </c>
    </row>
    <row r="122" spans="1:92">
      <c r="A122" s="35" t="s">
        <v>322</v>
      </c>
      <c r="B122" s="8" t="s">
        <v>323</v>
      </c>
      <c r="C122" s="8" t="s">
        <v>64</v>
      </c>
      <c r="D122" s="9" t="s">
        <v>65</v>
      </c>
      <c r="E122" t="s">
        <v>115</v>
      </c>
      <c r="F122" s="12" t="s">
        <v>72</v>
      </c>
      <c r="G122" s="7">
        <v>1</v>
      </c>
      <c r="H122" s="34">
        <v>0</v>
      </c>
      <c r="I122" s="33">
        <v>0</v>
      </c>
      <c r="J122" s="1">
        <v>0</v>
      </c>
      <c r="K122" s="1">
        <v>0</v>
      </c>
      <c r="L122" s="1">
        <v>0</v>
      </c>
      <c r="M122" s="32">
        <v>0</v>
      </c>
      <c r="N122" s="2">
        <f t="shared" si="80"/>
        <v>0</v>
      </c>
      <c r="O122" s="2">
        <f>SUMIF('January 2027'!$B:$B,'PTO SUMMARY 2027'!B122,'January 2027'!$AK:$AK)</f>
        <v>0</v>
      </c>
      <c r="P122" s="1">
        <f t="shared" si="122"/>
        <v>0</v>
      </c>
      <c r="Q122" s="1">
        <v>0</v>
      </c>
      <c r="R122" s="1">
        <v>0</v>
      </c>
      <c r="S122" s="3">
        <f t="shared" si="81"/>
        <v>0</v>
      </c>
      <c r="T122" s="2">
        <f>SUMIF('February 2027'!$B:$B,'PTO SUMMARY 2027'!G122,'February 2027'!$AK:$AK)</f>
        <v>0</v>
      </c>
      <c r="U122" s="154">
        <v>0</v>
      </c>
      <c r="V122" s="1">
        <f t="shared" si="123"/>
        <v>0</v>
      </c>
      <c r="W122" s="1">
        <v>0</v>
      </c>
      <c r="X122" s="1">
        <v>0</v>
      </c>
      <c r="Y122" s="3">
        <f t="shared" si="82"/>
        <v>0</v>
      </c>
      <c r="Z122" s="2">
        <f>SUMIF('March 2027'!$B:$B,'PTO SUMMARY 2027'!M122,'March 2027'!$AK:$AK)</f>
        <v>0</v>
      </c>
      <c r="AA122" s="1">
        <f>V122+Y122-Z122-U122</f>
        <v>0</v>
      </c>
      <c r="AB122" s="1">
        <v>0</v>
      </c>
      <c r="AC122" s="1">
        <v>0</v>
      </c>
      <c r="AD122" s="3">
        <v>0</v>
      </c>
      <c r="AE122" s="31">
        <f t="shared" si="124"/>
        <v>0</v>
      </c>
      <c r="AF122" s="31">
        <v>0</v>
      </c>
      <c r="AG122" s="30">
        <f t="shared" si="125"/>
        <v>0</v>
      </c>
      <c r="AH122" s="2">
        <f t="shared" si="83"/>
        <v>0</v>
      </c>
      <c r="AI122" s="2">
        <f>SUMIF('April 2027'!$B:$B,'PTO SUMMARY 2027'!V122,'April 2027'!$AK:$AK)</f>
        <v>0</v>
      </c>
      <c r="AJ122" s="1">
        <f t="shared" si="126"/>
        <v>0</v>
      </c>
      <c r="AK122" s="1">
        <v>0</v>
      </c>
      <c r="AL122" s="1">
        <v>0</v>
      </c>
      <c r="AM122" s="3">
        <f t="shared" si="84"/>
        <v>0</v>
      </c>
      <c r="AN122" s="2">
        <f>SUMIF('May 2027'!$B:$B,'PTO SUMMARY 2027'!AA122,'May 2027'!$AK:$AK)</f>
        <v>0</v>
      </c>
      <c r="AO122" s="1">
        <f t="shared" si="127"/>
        <v>0</v>
      </c>
      <c r="AP122" s="1">
        <v>0</v>
      </c>
      <c r="AQ122" s="1">
        <v>0</v>
      </c>
      <c r="AR122" s="3">
        <f t="shared" si="85"/>
        <v>0</v>
      </c>
      <c r="AS122" s="2">
        <f>SUMIF('June 2027'!$B:$B,'PTO SUMMARY 2027'!AF122,'June 2027'!$AK:$AK)</f>
        <v>0</v>
      </c>
      <c r="AT122" s="1">
        <f t="shared" si="128"/>
        <v>0</v>
      </c>
      <c r="AU122" s="1">
        <v>0</v>
      </c>
      <c r="AV122" s="1">
        <v>0</v>
      </c>
      <c r="AW122" s="3">
        <v>0</v>
      </c>
      <c r="AX122" s="31">
        <v>0</v>
      </c>
      <c r="AY122" s="31">
        <v>0</v>
      </c>
      <c r="AZ122" s="30">
        <f t="shared" si="73"/>
        <v>0</v>
      </c>
      <c r="BA122" s="3">
        <f t="shared" si="86"/>
        <v>0</v>
      </c>
      <c r="BB122" s="2">
        <f>SUMIF('July 2027'!$B:$B,'PTO SUMMARY 2027'!AK122,'July 2027'!$AK:$AK)</f>
        <v>0</v>
      </c>
      <c r="BC122" s="1">
        <f t="shared" si="74"/>
        <v>0</v>
      </c>
      <c r="BD122" s="1">
        <v>0</v>
      </c>
      <c r="BE122" s="1">
        <v>0</v>
      </c>
      <c r="BF122" s="3">
        <f t="shared" si="87"/>
        <v>0</v>
      </c>
      <c r="BG122" s="2">
        <f>SUMIF('August 2027'!$B:$B,'PTO SUMMARY 2027'!AP122,'August 2027'!$AK:$AK)</f>
        <v>0</v>
      </c>
      <c r="BH122" s="1">
        <f t="shared" si="129"/>
        <v>0</v>
      </c>
      <c r="BI122" s="1">
        <v>0</v>
      </c>
      <c r="BJ122" s="1">
        <v>0</v>
      </c>
      <c r="BK122" s="3">
        <f t="shared" si="88"/>
        <v>0</v>
      </c>
      <c r="BL122" s="2">
        <f>SUMIF('September 2027'!$B:$B,'PTO SUMMARY 2027'!AU122,'September 2027'!$AK:$AK)</f>
        <v>0</v>
      </c>
      <c r="BM122" s="1">
        <f t="shared" si="130"/>
        <v>0</v>
      </c>
      <c r="BN122" s="1">
        <v>0</v>
      </c>
      <c r="BO122" s="1">
        <v>0</v>
      </c>
      <c r="BP122" s="3">
        <v>0</v>
      </c>
      <c r="BQ122" s="31">
        <v>0</v>
      </c>
      <c r="BR122" s="31">
        <v>0</v>
      </c>
      <c r="BS122" s="30">
        <f t="shared" si="65"/>
        <v>0</v>
      </c>
      <c r="BT122" s="3">
        <f t="shared" si="89"/>
        <v>0</v>
      </c>
      <c r="BU122" s="2">
        <f>SUMIF('October 2027'!$B:$B,'PTO SUMMARY 2027'!BH122,'October 2027'!$AK:$AK)</f>
        <v>0</v>
      </c>
      <c r="BV122" s="1">
        <f t="shared" si="131"/>
        <v>0</v>
      </c>
      <c r="BW122" s="1">
        <v>0</v>
      </c>
      <c r="BX122" s="1">
        <v>0</v>
      </c>
      <c r="BY122" s="3">
        <f t="shared" si="90"/>
        <v>0</v>
      </c>
      <c r="BZ122" s="2">
        <f>SUMIF('November 2027'!$B:$B,'PTO SUMMARY 2027'!BM122,'November 2027'!$AK:$AK)</f>
        <v>0</v>
      </c>
      <c r="CA122" s="1">
        <f t="shared" si="132"/>
        <v>0</v>
      </c>
      <c r="CB122" s="1">
        <v>0</v>
      </c>
      <c r="CC122" s="1">
        <v>0</v>
      </c>
      <c r="CD122" s="3">
        <f t="shared" si="91"/>
        <v>0</v>
      </c>
      <c r="CE122" s="2">
        <f>SUMIF('December 2027'!$B:$B,'PTO SUMMARY 2027'!$B:$B,'December 2027'!$AK:$AK)</f>
        <v>0</v>
      </c>
      <c r="CF122" s="1">
        <f t="shared" si="133"/>
        <v>0</v>
      </c>
      <c r="CG122" s="1">
        <v>0</v>
      </c>
      <c r="CH122" s="1">
        <v>0</v>
      </c>
      <c r="CI122" s="1">
        <v>0</v>
      </c>
      <c r="CJ122" s="3">
        <v>0</v>
      </c>
      <c r="CK122" s="31">
        <v>0</v>
      </c>
      <c r="CL122" s="31">
        <v>0</v>
      </c>
      <c r="CM122" s="31">
        <v>0</v>
      </c>
      <c r="CN122" s="30">
        <f t="shared" si="92"/>
        <v>0</v>
      </c>
    </row>
    <row r="123" spans="1:92">
      <c r="A123" s="8" t="s">
        <v>324</v>
      </c>
      <c r="B123" s="8" t="s">
        <v>325</v>
      </c>
      <c r="C123" s="8" t="s">
        <v>75</v>
      </c>
      <c r="D123" s="9" t="s">
        <v>70</v>
      </c>
      <c r="E123" t="s">
        <v>76</v>
      </c>
      <c r="F123" s="12" t="s">
        <v>96</v>
      </c>
      <c r="G123" s="7">
        <v>0.5</v>
      </c>
      <c r="H123" s="11">
        <f>((G123*86.67)*2)*(SUMIF('Accrual Rates'!B:B,'PTO SUMMARY 2027'!B123,'Accrual Rates'!G:G))</f>
        <v>8.9999861400000007</v>
      </c>
      <c r="I123" s="33">
        <v>0</v>
      </c>
      <c r="J123" s="1">
        <v>0</v>
      </c>
      <c r="K123" s="1">
        <v>0</v>
      </c>
      <c r="L123" s="1">
        <v>0</v>
      </c>
      <c r="M123" s="32">
        <v>0</v>
      </c>
      <c r="N123" s="2">
        <f t="shared" si="80"/>
        <v>8.9999861400000007</v>
      </c>
      <c r="O123" s="2">
        <f>SUMIF('January 2027'!$B:$B,'PTO SUMMARY 2027'!B123,'January 2027'!$AK:$AK)</f>
        <v>0</v>
      </c>
      <c r="P123" s="1">
        <f t="shared" si="122"/>
        <v>8.9999861400000007</v>
      </c>
      <c r="Q123" s="1">
        <v>0</v>
      </c>
      <c r="R123" s="1">
        <v>0</v>
      </c>
      <c r="S123" s="3">
        <f t="shared" si="81"/>
        <v>8.9999861400000007</v>
      </c>
      <c r="T123" s="2">
        <f>SUMIF('February 2027'!$B:$B,'PTO SUMMARY 2027'!G123,'February 2027'!$AK:$AK)</f>
        <v>0</v>
      </c>
      <c r="U123" s="154">
        <v>0</v>
      </c>
      <c r="V123" s="1">
        <f t="shared" si="123"/>
        <v>17.999972280000001</v>
      </c>
      <c r="W123" s="1">
        <v>0</v>
      </c>
      <c r="X123" s="1">
        <v>0</v>
      </c>
      <c r="Y123" s="3">
        <f t="shared" si="82"/>
        <v>8.9999861400000007</v>
      </c>
      <c r="Z123" s="2">
        <f>SUMIF('March 2027'!$B:$B,'PTO SUMMARY 2027'!M123,'March 2027'!$AK:$AK)</f>
        <v>0</v>
      </c>
      <c r="AA123" s="1">
        <f>V123+Y123-Z123</f>
        <v>26.999958420000002</v>
      </c>
      <c r="AB123" s="1">
        <v>0</v>
      </c>
      <c r="AC123" s="1">
        <v>0</v>
      </c>
      <c r="AD123" s="3">
        <v>0</v>
      </c>
      <c r="AE123" s="31">
        <f t="shared" si="124"/>
        <v>0</v>
      </c>
      <c r="AF123" s="31">
        <v>0</v>
      </c>
      <c r="AG123" s="30">
        <f t="shared" si="125"/>
        <v>0</v>
      </c>
      <c r="AH123" s="2">
        <f t="shared" si="83"/>
        <v>8.9999861400000007</v>
      </c>
      <c r="AI123" s="2">
        <f>SUMIF('April 2027'!$B:$B,'PTO SUMMARY 2027'!V123,'April 2027'!$AK:$AK)</f>
        <v>0</v>
      </c>
      <c r="AJ123" s="1">
        <f t="shared" si="126"/>
        <v>35.999944560000003</v>
      </c>
      <c r="AK123" s="1">
        <v>0</v>
      </c>
      <c r="AL123" s="1">
        <v>0</v>
      </c>
      <c r="AM123" s="3">
        <f t="shared" si="84"/>
        <v>8.9999861400000007</v>
      </c>
      <c r="AN123" s="2">
        <f>SUMIF('May 2027'!$B:$B,'PTO SUMMARY 2027'!AA123,'May 2027'!$AK:$AK)</f>
        <v>0</v>
      </c>
      <c r="AO123" s="1">
        <f t="shared" si="127"/>
        <v>45</v>
      </c>
      <c r="AP123" s="1">
        <v>0</v>
      </c>
      <c r="AQ123" s="1">
        <v>0</v>
      </c>
      <c r="AR123" s="3">
        <f t="shared" si="85"/>
        <v>8.9999861400000007</v>
      </c>
      <c r="AS123" s="2">
        <f>SUMIF('June 2027'!$B:$B,'PTO SUMMARY 2027'!AF123,'June 2027'!$AK:$AK)</f>
        <v>0</v>
      </c>
      <c r="AT123" s="1">
        <f t="shared" si="128"/>
        <v>53.999986140000004</v>
      </c>
      <c r="AU123" s="1">
        <v>0</v>
      </c>
      <c r="AV123" s="1">
        <v>0</v>
      </c>
      <c r="AW123" s="3">
        <v>0</v>
      </c>
      <c r="AX123" s="31">
        <v>0</v>
      </c>
      <c r="AY123" s="31">
        <v>0</v>
      </c>
      <c r="AZ123" s="30">
        <f t="shared" si="73"/>
        <v>0</v>
      </c>
      <c r="BA123" s="3">
        <f t="shared" si="86"/>
        <v>8.9999861400000007</v>
      </c>
      <c r="BB123" s="2">
        <f>SUMIF('July 2027'!$B:$B,'PTO SUMMARY 2027'!AK123,'July 2027'!$AK:$AK)</f>
        <v>0</v>
      </c>
      <c r="BC123" s="1">
        <f t="shared" si="74"/>
        <v>62.999972280000009</v>
      </c>
      <c r="BD123" s="1">
        <v>0</v>
      </c>
      <c r="BE123" s="1">
        <v>0</v>
      </c>
      <c r="BF123" s="3">
        <f t="shared" si="87"/>
        <v>8.9999861400000007</v>
      </c>
      <c r="BG123" s="2">
        <f>SUMIF('August 2027'!$B:$B,'PTO SUMMARY 2027'!AP123,'August 2027'!$AK:$AK)</f>
        <v>0</v>
      </c>
      <c r="BH123" s="1">
        <f t="shared" si="129"/>
        <v>71.999958420000013</v>
      </c>
      <c r="BI123" s="1">
        <v>0</v>
      </c>
      <c r="BJ123" s="1">
        <v>0</v>
      </c>
      <c r="BK123" s="3">
        <f t="shared" si="88"/>
        <v>8.9999861400000007</v>
      </c>
      <c r="BL123" s="2">
        <f>SUMIF('September 2027'!$B:$B,'PTO SUMMARY 2027'!AU123,'September 2027'!$AK:$AK)</f>
        <v>0</v>
      </c>
      <c r="BM123" s="1">
        <f t="shared" si="130"/>
        <v>80.999944560000017</v>
      </c>
      <c r="BN123" s="1">
        <v>0</v>
      </c>
      <c r="BO123" s="1">
        <v>0</v>
      </c>
      <c r="BP123" s="3">
        <v>0</v>
      </c>
      <c r="BQ123" s="31">
        <v>0</v>
      </c>
      <c r="BR123" s="31">
        <v>0</v>
      </c>
      <c r="BS123" s="30">
        <f t="shared" si="65"/>
        <v>0</v>
      </c>
      <c r="BT123" s="3">
        <f t="shared" si="89"/>
        <v>8.9999861400000007</v>
      </c>
      <c r="BU123" s="2">
        <f>SUMIF('October 2027'!$B:$B,'PTO SUMMARY 2027'!BH123,'October 2027'!$AK:$AK)</f>
        <v>0</v>
      </c>
      <c r="BV123" s="1">
        <f t="shared" si="131"/>
        <v>89.999930700000021</v>
      </c>
      <c r="BW123" s="1">
        <v>0</v>
      </c>
      <c r="BX123" s="1">
        <v>0</v>
      </c>
      <c r="BY123" s="3">
        <f t="shared" si="90"/>
        <v>8.9999861400000007</v>
      </c>
      <c r="BZ123" s="2">
        <f>SUMIF('November 2027'!$B:$B,'PTO SUMMARY 2027'!BM123,'November 2027'!$AK:$AK)</f>
        <v>0</v>
      </c>
      <c r="CA123" s="1">
        <f t="shared" si="132"/>
        <v>98.999916840000026</v>
      </c>
      <c r="CB123" s="1">
        <v>0</v>
      </c>
      <c r="CC123" s="1">
        <v>0</v>
      </c>
      <c r="CD123" s="3">
        <f t="shared" si="91"/>
        <v>8.9999861400000007</v>
      </c>
      <c r="CE123" s="2">
        <f>SUMIF('December 2027'!$B:$B,'PTO SUMMARY 2027'!$B:$B,'December 2027'!$AK:$AK)</f>
        <v>0</v>
      </c>
      <c r="CF123" s="1">
        <f t="shared" si="133"/>
        <v>107.99990298000003</v>
      </c>
      <c r="CG123" s="1">
        <v>0</v>
      </c>
      <c r="CH123" s="1">
        <v>0</v>
      </c>
      <c r="CI123" s="1">
        <v>0</v>
      </c>
      <c r="CJ123" s="3">
        <v>0</v>
      </c>
      <c r="CK123" s="31">
        <v>0</v>
      </c>
      <c r="CL123" s="31">
        <v>0</v>
      </c>
      <c r="CM123" s="31">
        <v>0</v>
      </c>
      <c r="CN123" s="30">
        <f t="shared" si="92"/>
        <v>0</v>
      </c>
    </row>
    <row r="124" spans="1:92">
      <c r="A124" s="35" t="s">
        <v>326</v>
      </c>
      <c r="B124" s="8" t="s">
        <v>327</v>
      </c>
      <c r="C124" s="8" t="s">
        <v>64</v>
      </c>
      <c r="D124" s="9" t="s">
        <v>65</v>
      </c>
      <c r="E124" t="s">
        <v>115</v>
      </c>
      <c r="F124" s="12" t="s">
        <v>136</v>
      </c>
      <c r="G124" s="7">
        <v>1</v>
      </c>
      <c r="H124" s="34">
        <v>0</v>
      </c>
      <c r="I124" s="33">
        <v>0</v>
      </c>
      <c r="J124" s="1">
        <v>0</v>
      </c>
      <c r="K124" s="1">
        <v>0</v>
      </c>
      <c r="L124" s="1">
        <v>0</v>
      </c>
      <c r="M124" s="32">
        <v>0</v>
      </c>
      <c r="N124" s="2">
        <f t="shared" si="80"/>
        <v>0</v>
      </c>
      <c r="O124" s="2">
        <f>SUMIF('January 2027'!$B:$B,'PTO SUMMARY 2027'!B124,'January 2027'!$AK:$AK)</f>
        <v>0</v>
      </c>
      <c r="P124" s="1">
        <f t="shared" si="122"/>
        <v>0</v>
      </c>
      <c r="Q124" s="1">
        <v>0</v>
      </c>
      <c r="R124" s="1">
        <v>0</v>
      </c>
      <c r="S124" s="3">
        <f t="shared" si="81"/>
        <v>0</v>
      </c>
      <c r="T124" s="2">
        <f>SUMIF('February 2027'!$B:$B,'PTO SUMMARY 2027'!G124,'February 2027'!$AK:$AK)</f>
        <v>0</v>
      </c>
      <c r="U124" s="154">
        <v>0</v>
      </c>
      <c r="V124" s="1">
        <f t="shared" si="123"/>
        <v>0</v>
      </c>
      <c r="W124" s="1">
        <v>0</v>
      </c>
      <c r="X124" s="1">
        <v>0</v>
      </c>
      <c r="Y124" s="3">
        <f t="shared" si="82"/>
        <v>0</v>
      </c>
      <c r="Z124" s="2">
        <f>SUMIF('March 2027'!$B:$B,'PTO SUMMARY 2027'!M124,'March 2027'!$AK:$AK)</f>
        <v>0</v>
      </c>
      <c r="AA124" s="1">
        <f>V124+Y124-Z124</f>
        <v>0</v>
      </c>
      <c r="AB124" s="1">
        <v>0</v>
      </c>
      <c r="AC124" s="1">
        <v>0</v>
      </c>
      <c r="AD124" s="3">
        <v>0</v>
      </c>
      <c r="AE124" s="31">
        <f t="shared" si="124"/>
        <v>0</v>
      </c>
      <c r="AF124" s="31">
        <v>0</v>
      </c>
      <c r="AG124" s="30">
        <f t="shared" si="125"/>
        <v>0</v>
      </c>
      <c r="AH124" s="2">
        <f t="shared" si="83"/>
        <v>0</v>
      </c>
      <c r="AI124" s="2">
        <f>SUMIF('April 2027'!$B:$B,'PTO SUMMARY 2027'!V124,'April 2027'!$AK:$AK)</f>
        <v>0</v>
      </c>
      <c r="AJ124" s="1">
        <f t="shared" si="126"/>
        <v>0</v>
      </c>
      <c r="AK124" s="1">
        <v>0</v>
      </c>
      <c r="AL124" s="1">
        <v>0</v>
      </c>
      <c r="AM124" s="3">
        <f t="shared" si="84"/>
        <v>0</v>
      </c>
      <c r="AN124" s="2">
        <f>SUMIF('May 2027'!$B:$B,'PTO SUMMARY 2027'!AA124,'May 2027'!$AK:$AK)</f>
        <v>0</v>
      </c>
      <c r="AO124" s="1">
        <f t="shared" si="127"/>
        <v>0</v>
      </c>
      <c r="AP124" s="1">
        <v>0</v>
      </c>
      <c r="AQ124" s="1">
        <v>0</v>
      </c>
      <c r="AR124" s="3">
        <f t="shared" si="85"/>
        <v>0</v>
      </c>
      <c r="AS124" s="2">
        <f>SUMIF('June 2027'!$B:$B,'PTO SUMMARY 2027'!AF124,'June 2027'!$AK:$AK)</f>
        <v>0</v>
      </c>
      <c r="AT124" s="1">
        <f t="shared" si="128"/>
        <v>0</v>
      </c>
      <c r="AU124" s="1">
        <v>0</v>
      </c>
      <c r="AV124" s="1">
        <v>0</v>
      </c>
      <c r="AW124" s="3">
        <v>0</v>
      </c>
      <c r="AX124" s="31">
        <v>0</v>
      </c>
      <c r="AY124" s="31">
        <v>0</v>
      </c>
      <c r="AZ124" s="30">
        <f t="shared" si="73"/>
        <v>0</v>
      </c>
      <c r="BA124" s="3">
        <f t="shared" si="86"/>
        <v>0</v>
      </c>
      <c r="BB124" s="2">
        <f>SUMIF('July 2027'!$B:$B,'PTO SUMMARY 2027'!AK124,'July 2027'!$AK:$AK)</f>
        <v>0</v>
      </c>
      <c r="BC124" s="1">
        <f t="shared" si="74"/>
        <v>0</v>
      </c>
      <c r="BD124" s="1">
        <v>0</v>
      </c>
      <c r="BE124" s="1">
        <v>0</v>
      </c>
      <c r="BF124" s="3">
        <f t="shared" si="87"/>
        <v>0</v>
      </c>
      <c r="BG124" s="2">
        <f>SUMIF('August 2027'!$B:$B,'PTO SUMMARY 2027'!AP124,'August 2027'!$AK:$AK)</f>
        <v>0</v>
      </c>
      <c r="BH124" s="1">
        <f t="shared" si="129"/>
        <v>0</v>
      </c>
      <c r="BI124" s="1">
        <v>0</v>
      </c>
      <c r="BJ124" s="1">
        <v>0</v>
      </c>
      <c r="BK124" s="3">
        <f t="shared" si="88"/>
        <v>0</v>
      </c>
      <c r="BL124" s="2">
        <f>SUMIF('September 2027'!$B:$B,'PTO SUMMARY 2027'!AU124,'September 2027'!$AK:$AK)</f>
        <v>0</v>
      </c>
      <c r="BM124" s="1">
        <f t="shared" si="130"/>
        <v>0</v>
      </c>
      <c r="BN124" s="1">
        <v>0</v>
      </c>
      <c r="BO124" s="1">
        <v>0</v>
      </c>
      <c r="BP124" s="3">
        <v>0</v>
      </c>
      <c r="BQ124" s="31">
        <v>0</v>
      </c>
      <c r="BR124" s="31">
        <v>0</v>
      </c>
      <c r="BS124" s="30">
        <f t="shared" si="65"/>
        <v>0</v>
      </c>
      <c r="BT124" s="3">
        <f t="shared" si="89"/>
        <v>0</v>
      </c>
      <c r="BU124" s="2">
        <f>SUMIF('October 2027'!$B:$B,'PTO SUMMARY 2027'!BH124,'October 2027'!$AK:$AK)</f>
        <v>0</v>
      </c>
      <c r="BV124" s="1">
        <f t="shared" si="131"/>
        <v>0</v>
      </c>
      <c r="BW124" s="1">
        <v>0</v>
      </c>
      <c r="BX124" s="1">
        <v>0</v>
      </c>
      <c r="BY124" s="3">
        <f t="shared" si="90"/>
        <v>0</v>
      </c>
      <c r="BZ124" s="2">
        <f>SUMIF('November 2027'!$B:$B,'PTO SUMMARY 2027'!BM124,'November 2027'!$AK:$AK)</f>
        <v>0</v>
      </c>
      <c r="CA124" s="1">
        <f t="shared" si="132"/>
        <v>0</v>
      </c>
      <c r="CB124" s="1">
        <v>0</v>
      </c>
      <c r="CC124" s="1">
        <v>0</v>
      </c>
      <c r="CD124" s="3">
        <f t="shared" si="91"/>
        <v>0</v>
      </c>
      <c r="CE124" s="2">
        <f>SUMIF('December 2027'!$B:$B,'PTO SUMMARY 2027'!$B:$B,'December 2027'!$AK:$AK)</f>
        <v>0</v>
      </c>
      <c r="CF124" s="1">
        <f t="shared" si="133"/>
        <v>0</v>
      </c>
      <c r="CG124" s="1">
        <v>0</v>
      </c>
      <c r="CH124" s="1">
        <v>0</v>
      </c>
      <c r="CI124" s="1">
        <v>0</v>
      </c>
      <c r="CJ124" s="3">
        <v>0</v>
      </c>
      <c r="CK124" s="31">
        <v>0</v>
      </c>
      <c r="CL124" s="31">
        <v>0</v>
      </c>
      <c r="CM124" s="31">
        <v>0</v>
      </c>
      <c r="CN124" s="30">
        <f t="shared" si="92"/>
        <v>0</v>
      </c>
    </row>
    <row r="125" spans="1:92" s="22" customFormat="1">
      <c r="A125" s="28"/>
      <c r="B125" s="28"/>
      <c r="C125" s="28"/>
      <c r="D125" s="29"/>
      <c r="E125" s="29"/>
      <c r="F125" s="28"/>
      <c r="G125" s="27"/>
      <c r="H125" s="26"/>
      <c r="I125" s="17"/>
      <c r="J125" s="17"/>
      <c r="K125" s="17"/>
      <c r="L125" s="16">
        <f>SUM(L3:L124)</f>
        <v>0</v>
      </c>
      <c r="M125" s="16">
        <f>SUM(M3:M124)</f>
        <v>0</v>
      </c>
      <c r="N125" s="25"/>
      <c r="O125" s="24">
        <f>SUM(O3:O124)</f>
        <v>259.10000000000002</v>
      </c>
      <c r="P125" s="23"/>
      <c r="Q125" s="23"/>
      <c r="R125" s="23"/>
      <c r="S125" s="25"/>
      <c r="T125" s="24">
        <f>SUM(T3:T124)</f>
        <v>0</v>
      </c>
      <c r="U125" s="24">
        <f>SUM(U3:U124)</f>
        <v>0</v>
      </c>
      <c r="V125" s="23"/>
      <c r="W125" s="23"/>
      <c r="X125" s="23"/>
      <c r="Y125" s="25"/>
      <c r="Z125" s="24">
        <f>SUM(Z3:Z124)</f>
        <v>0</v>
      </c>
      <c r="AA125" s="23"/>
      <c r="AB125" s="23"/>
      <c r="AC125" s="23"/>
      <c r="AD125" s="25">
        <f>SUM(AD3:AD124)</f>
        <v>0</v>
      </c>
      <c r="AE125" s="24"/>
      <c r="AF125" s="24"/>
      <c r="AG125" s="24"/>
      <c r="AH125" s="24"/>
      <c r="AI125" s="24">
        <f>SUM(AI3:AI124)</f>
        <v>0</v>
      </c>
      <c r="AJ125" s="23"/>
      <c r="AK125" s="23"/>
      <c r="AL125" s="23"/>
      <c r="AM125" s="25"/>
      <c r="AN125" s="24">
        <f>SUM(AN3:AN124)</f>
        <v>0</v>
      </c>
      <c r="AO125" s="23"/>
      <c r="AP125" s="23"/>
      <c r="AQ125" s="23"/>
      <c r="AR125" s="25"/>
      <c r="AS125" s="24">
        <f>SUM(AS3:AS124)</f>
        <v>0</v>
      </c>
      <c r="AT125" s="23"/>
      <c r="AU125" s="23"/>
      <c r="AV125" s="23" t="e">
        <f ca="1">SUM(AV3:AV129)</f>
        <v>#REF!</v>
      </c>
      <c r="AW125" s="25">
        <f>SUM(AW3:AW124)</f>
        <v>11</v>
      </c>
      <c r="AX125" s="24"/>
      <c r="AY125" s="24"/>
      <c r="AZ125" s="24"/>
      <c r="BA125" s="25"/>
      <c r="BB125" s="24">
        <f>SUM(BB3:BB124)</f>
        <v>0</v>
      </c>
      <c r="BC125" s="23"/>
      <c r="BD125" s="23"/>
      <c r="BE125" s="23" t="e">
        <f ca="1">SUM(BE3:BE129)</f>
        <v>#REF!</v>
      </c>
      <c r="BF125" s="25"/>
      <c r="BG125" s="24">
        <f>SUM(BG3:BG124)</f>
        <v>0</v>
      </c>
      <c r="BH125" s="23"/>
      <c r="BI125" s="23"/>
      <c r="BJ125" s="23" t="e">
        <f ca="1">SUM(BJ3:BJ129)</f>
        <v>#REF!</v>
      </c>
      <c r="BK125" s="25"/>
      <c r="BL125" s="24">
        <f>SUM(BL3:BL124)</f>
        <v>0</v>
      </c>
      <c r="BM125" s="23"/>
      <c r="BN125" s="23"/>
      <c r="BO125" s="23" t="e">
        <f ca="1">SUM(BO3:BO129)</f>
        <v>#REF!</v>
      </c>
      <c r="BP125" s="25">
        <f>SUM(BP3:BP124)</f>
        <v>11</v>
      </c>
      <c r="BQ125" s="24"/>
      <c r="BR125" s="24"/>
      <c r="BS125" s="24"/>
      <c r="BT125" s="25"/>
      <c r="BU125" s="24">
        <f>SUM(BU3:BU124)</f>
        <v>0</v>
      </c>
      <c r="BV125" s="23"/>
      <c r="BW125" s="23"/>
      <c r="BX125" s="23" t="e">
        <f ca="1">SUM(BX3:BX129)</f>
        <v>#REF!</v>
      </c>
      <c r="BY125" s="25"/>
      <c r="BZ125" s="24">
        <f>SUM(BZ3:BZ124)</f>
        <v>0</v>
      </c>
      <c r="CA125" s="23"/>
      <c r="CB125" s="23"/>
      <c r="CC125" s="23" t="e">
        <f ca="1">SUM(CC3:CC129)</f>
        <v>#REF!</v>
      </c>
      <c r="CD125" s="25"/>
      <c r="CE125" s="24">
        <f>SUM(CE3:CE124)</f>
        <v>0</v>
      </c>
      <c r="CF125" s="23" t="e">
        <f ca="1">SUM(CF49:CF129)</f>
        <v>#REF!</v>
      </c>
      <c r="CG125" s="23">
        <f ca="1">SUM(CG3:CG129)</f>
        <v>0</v>
      </c>
      <c r="CH125" s="23"/>
      <c r="CI125" s="23" t="e">
        <f ca="1">SUM(CI3:CI129)</f>
        <v>#REF!</v>
      </c>
      <c r="CJ125" s="25">
        <f>SUM(CJ3:CJ124)</f>
        <v>11</v>
      </c>
      <c r="CK125" s="24"/>
      <c r="CL125" s="24"/>
      <c r="CM125" s="24"/>
      <c r="CN125" s="24"/>
    </row>
    <row r="129" spans="1:92" s="13" customFormat="1">
      <c r="A129" s="20" t="s">
        <v>328</v>
      </c>
      <c r="B129" s="20"/>
      <c r="C129" s="20"/>
      <c r="D129" s="21"/>
      <c r="E129" s="21"/>
      <c r="F129" s="20"/>
      <c r="G129" s="19"/>
      <c r="H129" s="18"/>
      <c r="I129" s="18"/>
      <c r="J129" s="18"/>
      <c r="K129" s="18"/>
      <c r="L129" s="14"/>
      <c r="M129" s="14"/>
      <c r="N129" s="15"/>
      <c r="O129" s="14"/>
      <c r="P129" s="14"/>
      <c r="Q129" s="14"/>
      <c r="R129" s="14"/>
      <c r="S129" s="15"/>
      <c r="T129" s="14"/>
      <c r="U129" s="155"/>
      <c r="V129" s="14"/>
      <c r="W129" s="14"/>
      <c r="X129" s="14"/>
      <c r="Y129" s="161"/>
      <c r="Z129" s="14"/>
      <c r="AA129" s="14"/>
      <c r="AB129" s="14"/>
      <c r="AC129" s="14"/>
      <c r="AD129" s="15"/>
      <c r="AE129" s="14"/>
      <c r="AF129" s="14"/>
      <c r="AG129" s="14"/>
      <c r="AH129" s="14"/>
      <c r="AI129" s="14"/>
      <c r="AJ129" s="14"/>
      <c r="AK129" s="14"/>
      <c r="AL129" s="14"/>
      <c r="AM129" s="15"/>
      <c r="AN129" s="14"/>
      <c r="AO129" s="14"/>
      <c r="AP129" s="14"/>
      <c r="AQ129" s="14"/>
      <c r="AR129" s="15"/>
      <c r="AS129" s="14"/>
      <c r="AT129" s="14"/>
      <c r="AU129" s="14"/>
      <c r="AV129" s="14"/>
      <c r="AW129" s="15"/>
      <c r="AX129" s="14"/>
      <c r="AY129" s="14"/>
      <c r="AZ129" s="14"/>
      <c r="BA129" s="15"/>
      <c r="BB129" s="14"/>
      <c r="BC129" s="14"/>
      <c r="BD129" s="14"/>
      <c r="BE129" s="14"/>
      <c r="BF129" s="15"/>
      <c r="BG129" s="14"/>
      <c r="BH129" s="14"/>
      <c r="BI129" s="14"/>
      <c r="BJ129" s="14"/>
      <c r="BK129" s="15"/>
      <c r="BL129" s="14"/>
      <c r="BM129" s="14"/>
      <c r="BN129" s="14"/>
      <c r="BO129" s="14"/>
      <c r="BP129" s="15"/>
      <c r="BQ129" s="14"/>
      <c r="BR129" s="14"/>
      <c r="BS129" s="14"/>
      <c r="BT129" s="15"/>
      <c r="BU129" s="14"/>
      <c r="BV129" s="14"/>
      <c r="BW129" s="14"/>
      <c r="BX129" s="14"/>
      <c r="BY129" s="15"/>
      <c r="BZ129" s="14"/>
      <c r="CA129" s="14"/>
      <c r="CB129" s="14"/>
      <c r="CC129" s="14"/>
      <c r="CD129" s="15"/>
      <c r="CE129" s="14"/>
      <c r="CF129" s="14"/>
      <c r="CG129" s="14"/>
      <c r="CH129" s="14"/>
      <c r="CI129" s="14"/>
      <c r="CJ129" s="15"/>
      <c r="CK129" s="14"/>
      <c r="CL129" s="14"/>
      <c r="CM129" s="14"/>
      <c r="CN129" s="14"/>
    </row>
    <row r="133" spans="1:92" ht="17.850000000000001">
      <c r="A133" s="10"/>
    </row>
    <row r="134" spans="1:92">
      <c r="A134"/>
    </row>
    <row r="135" spans="1:92" ht="17.850000000000001">
      <c r="A135" s="10"/>
    </row>
    <row r="136" spans="1:92">
      <c r="A136"/>
    </row>
    <row r="137" spans="1:92">
      <c r="A137"/>
    </row>
    <row r="138" spans="1:92" ht="17.850000000000001">
      <c r="A138" s="10"/>
    </row>
    <row r="139" spans="1:92" ht="17.850000000000001">
      <c r="A139" s="10"/>
    </row>
    <row r="140" spans="1:92" ht="17.850000000000001">
      <c r="A140" s="10"/>
    </row>
    <row r="141" spans="1:92" ht="17.850000000000001">
      <c r="A141" s="10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WEhcCDwpkM9gKFy4rHUGs9WE9ehtYzj766dFQ7UGIBaUn9ZZJ+biW7rXRCcXJXztsUrNaMyhN8SqLqLUtWQICA==" saltValue="uU42Bv8mcQESCD2YZcdmgw==" spinCount="100000" sqref="V1:XFD95 A1:T95 U2:U95 A96:XFD1048576" name="Page" securityDescriptor="O:WDG:WDD:(A;;CC;;;S-1-5-21-4266775999-1434241158-117269649-15173)"/>
  </protectedRanges>
  <autoFilter ref="A2:CN125" xr:uid="{00000000-0001-0000-0000-000000000000}">
    <sortState xmlns:xlrd2="http://schemas.microsoft.com/office/spreadsheetml/2017/richdata2" ref="A3:CN125">
      <sortCondition ref="A2:A125"/>
    </sortState>
  </autoFilter>
  <mergeCells count="16">
    <mergeCell ref="CJ1:CN1"/>
    <mergeCell ref="N1:R1"/>
    <mergeCell ref="AH1:AL1"/>
    <mergeCell ref="AM1:AQ1"/>
    <mergeCell ref="AD1:AG1"/>
    <mergeCell ref="S1:X1"/>
    <mergeCell ref="Y1:AC1"/>
    <mergeCell ref="BY1:CC1"/>
    <mergeCell ref="CD1:CI1"/>
    <mergeCell ref="AR1:AV1"/>
    <mergeCell ref="BA1:BE1"/>
    <mergeCell ref="BF1:BJ1"/>
    <mergeCell ref="BK1:BO1"/>
    <mergeCell ref="BT1:BX1"/>
    <mergeCell ref="BP1:BS1"/>
    <mergeCell ref="AW1:AZ1"/>
  </mergeCells>
  <conditionalFormatting sqref="AE129 O1:Q1048576 AI1:AK1048576 AN1:AP1048576 AS1:AU1048576 BB1:BD1048576 BG1:BI1048576 BL1:BN1048576 BU1:BW1048576 BZ1:CB1048576 CE1:CG1048576 T2:W1048576 Z2:AB1048576">
    <cfRule type="cellIs" dxfId="134" priority="30" operator="lessThan">
      <formula>0</formula>
    </cfRule>
  </conditionalFormatting>
  <conditionalFormatting sqref="R3:R1048576 X3:X1048576">
    <cfRule type="cellIs" dxfId="133" priority="39" operator="lessThan">
      <formula>-0.05</formula>
    </cfRule>
    <cfRule type="cellIs" dxfId="132" priority="40" operator="greaterThan">
      <formula>0.05</formula>
    </cfRule>
  </conditionalFormatting>
  <conditionalFormatting sqref="Y3">
    <cfRule type="cellIs" dxfId="131" priority="8" operator="lessThan">
      <formula>0</formula>
    </cfRule>
  </conditionalFormatting>
  <conditionalFormatting sqref="AC3:AC124 AG3:AG124 AL3:AL124 AQ3:AQ124 AV3:AV124 AZ3:AZ124 BS3:BS124 CN3:CN124">
    <cfRule type="cellIs" dxfId="130" priority="37" operator="lessThan">
      <formula>-0.03</formula>
    </cfRule>
    <cfRule type="cellIs" dxfId="129" priority="38" operator="greaterThan">
      <formula>0.03</formula>
    </cfRule>
  </conditionalFormatting>
  <conditionalFormatting sqref="AE125:AF125">
    <cfRule type="cellIs" dxfId="128" priority="29" operator="lessThan">
      <formula>0</formula>
    </cfRule>
  </conditionalFormatting>
  <conditionalFormatting sqref="AX129">
    <cfRule type="cellIs" dxfId="127" priority="6" operator="lessThan">
      <formula>0</formula>
    </cfRule>
  </conditionalFormatting>
  <conditionalFormatting sqref="AX125:AY125">
    <cfRule type="cellIs" dxfId="126" priority="5" operator="lessThan">
      <formula>0</formula>
    </cfRule>
  </conditionalFormatting>
  <conditionalFormatting sqref="BE3:BE124 BJ3:BJ124 BO3:BO124 BX3:BX124 CC3:CC124 CI3:CI124">
    <cfRule type="cellIs" dxfId="125" priority="35" operator="lessThan">
      <formula>-0.02</formula>
    </cfRule>
    <cfRule type="cellIs" dxfId="124" priority="36" operator="greaterThan">
      <formula>0.02</formula>
    </cfRule>
  </conditionalFormatting>
  <conditionalFormatting sqref="BQ129">
    <cfRule type="cellIs" dxfId="123" priority="12" operator="lessThan">
      <formula>0</formula>
    </cfRule>
  </conditionalFormatting>
  <conditionalFormatting sqref="BQ125:BR125">
    <cfRule type="cellIs" dxfId="122" priority="11" operator="lessThan">
      <formula>0</formula>
    </cfRule>
  </conditionalFormatting>
  <conditionalFormatting sqref="CH2">
    <cfRule type="cellIs" dxfId="121" priority="9" operator="lessThan">
      <formula>0</formula>
    </cfRule>
  </conditionalFormatting>
  <conditionalFormatting sqref="CK129:CL129">
    <cfRule type="cellIs" dxfId="120" priority="2" operator="lessThan">
      <formula>0</formula>
    </cfRule>
  </conditionalFormatting>
  <conditionalFormatting sqref="CK125:CM125">
    <cfRule type="cellIs" dxfId="119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CI2 CI125" evalErro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B0B8-228A-4B61-AC5B-9DE58F6768B6}">
  <dimension ref="A1:AS339"/>
  <sheetViews>
    <sheetView zoomScale="80" zoomScaleNormal="80" workbookViewId="0">
      <pane xSplit="1" ySplit="2" topLeftCell="B8" activePane="bottomRight" state="frozen"/>
      <selection pane="bottomRight" activeCell="AD22" sqref="AD22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10" width="5.5703125" style="68" bestFit="1" customWidth="1"/>
    <col min="11" max="11" width="5.5703125" style="64" bestFit="1" customWidth="1"/>
    <col min="12" max="12" width="5.5703125" style="64" customWidth="1"/>
    <col min="13" max="15" width="5.5703125" style="64" bestFit="1" customWidth="1"/>
    <col min="16" max="16" width="5.5703125" style="68" bestFit="1" customWidth="1"/>
    <col min="17" max="17" width="6.140625" style="68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8" bestFit="1" customWidth="1"/>
    <col min="24" max="24" width="5.5703125" style="68" bestFit="1" customWidth="1"/>
    <col min="25" max="26" width="5.5703125" style="64" bestFit="1" customWidth="1"/>
    <col min="27" max="27" width="6.7109375" style="64" bestFit="1" customWidth="1"/>
    <col min="28" max="28" width="5.140625" style="64" bestFit="1" customWidth="1"/>
    <col min="29" max="29" width="5" style="65" bestFit="1" customWidth="1"/>
    <col min="30" max="30" width="6.7109375" style="68" bestFit="1" customWidth="1"/>
    <col min="31" max="31" width="5.5703125" style="68" bestFit="1" customWidth="1"/>
    <col min="32" max="33" width="4.5703125" style="64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333</v>
      </c>
      <c r="G1" s="116" t="s">
        <v>334</v>
      </c>
      <c r="H1" s="116" t="s">
        <v>335</v>
      </c>
      <c r="I1" s="120" t="s">
        <v>336</v>
      </c>
      <c r="J1" s="120" t="s">
        <v>337</v>
      </c>
      <c r="K1" s="116" t="s">
        <v>338</v>
      </c>
      <c r="L1" s="116" t="s">
        <v>339</v>
      </c>
      <c r="M1" s="116" t="s">
        <v>333</v>
      </c>
      <c r="N1" s="116" t="s">
        <v>334</v>
      </c>
      <c r="O1" s="116" t="s">
        <v>335</v>
      </c>
      <c r="P1" s="120" t="s">
        <v>336</v>
      </c>
      <c r="Q1" s="120" t="s">
        <v>337</v>
      </c>
      <c r="R1" s="116" t="s">
        <v>338</v>
      </c>
      <c r="S1" s="116" t="s">
        <v>339</v>
      </c>
      <c r="T1" s="116" t="s">
        <v>333</v>
      </c>
      <c r="U1" s="116" t="s">
        <v>334</v>
      </c>
      <c r="V1" s="116" t="s">
        <v>335</v>
      </c>
      <c r="W1" s="120" t="s">
        <v>336</v>
      </c>
      <c r="X1" s="120" t="s">
        <v>337</v>
      </c>
      <c r="Y1" s="116" t="s">
        <v>338</v>
      </c>
      <c r="Z1" s="116" t="s">
        <v>339</v>
      </c>
      <c r="AA1" s="116" t="s">
        <v>333</v>
      </c>
      <c r="AB1" s="116" t="s">
        <v>334</v>
      </c>
      <c r="AC1" s="79" t="s">
        <v>335</v>
      </c>
      <c r="AD1" s="120" t="s">
        <v>336</v>
      </c>
      <c r="AE1" s="120" t="s">
        <v>337</v>
      </c>
      <c r="AF1" s="116" t="s">
        <v>338</v>
      </c>
      <c r="AG1" s="116" t="s">
        <v>339</v>
      </c>
      <c r="AH1" s="116" t="s">
        <v>333</v>
      </c>
      <c r="AI1" s="116" t="s">
        <v>334</v>
      </c>
      <c r="AJ1" s="116" t="s">
        <v>335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46722</v>
      </c>
      <c r="G2" s="112">
        <v>46723</v>
      </c>
      <c r="H2" s="112">
        <v>46724</v>
      </c>
      <c r="I2" s="129">
        <v>46725</v>
      </c>
      <c r="J2" s="129">
        <v>46726</v>
      </c>
      <c r="K2" s="112">
        <v>46727</v>
      </c>
      <c r="L2" s="112">
        <v>46728</v>
      </c>
      <c r="M2" s="112">
        <v>46729</v>
      </c>
      <c r="N2" s="112">
        <v>46730</v>
      </c>
      <c r="O2" s="112">
        <v>46731</v>
      </c>
      <c r="P2" s="129">
        <v>46732</v>
      </c>
      <c r="Q2" s="129">
        <v>46733</v>
      </c>
      <c r="R2" s="112">
        <v>46734</v>
      </c>
      <c r="S2" s="112">
        <v>46735</v>
      </c>
      <c r="T2" s="112">
        <v>46736</v>
      </c>
      <c r="U2" s="112">
        <v>46737</v>
      </c>
      <c r="V2" s="112">
        <v>46738</v>
      </c>
      <c r="W2" s="129">
        <v>46739</v>
      </c>
      <c r="X2" s="129">
        <v>46740</v>
      </c>
      <c r="Y2" s="112">
        <v>46741</v>
      </c>
      <c r="Z2" s="112">
        <v>46742</v>
      </c>
      <c r="AA2" s="112">
        <v>46743</v>
      </c>
      <c r="AB2" s="112">
        <v>46744</v>
      </c>
      <c r="AC2" s="113">
        <v>46745</v>
      </c>
      <c r="AD2" s="129">
        <v>46746</v>
      </c>
      <c r="AE2" s="129">
        <v>46747</v>
      </c>
      <c r="AF2" s="112">
        <v>46748</v>
      </c>
      <c r="AG2" s="112">
        <v>46749</v>
      </c>
      <c r="AH2" s="112">
        <v>46750</v>
      </c>
      <c r="AI2" s="112">
        <v>46751</v>
      </c>
      <c r="AJ2" s="112">
        <v>46752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120"/>
      <c r="J4" s="120"/>
      <c r="K4" s="70"/>
      <c r="L4" s="70"/>
      <c r="M4" s="70"/>
      <c r="N4" s="70"/>
      <c r="O4" s="70"/>
      <c r="P4" s="120"/>
      <c r="Q4" s="120"/>
      <c r="R4" s="70"/>
      <c r="S4" s="70"/>
      <c r="T4" s="70"/>
      <c r="U4" s="70"/>
      <c r="V4" s="70"/>
      <c r="W4" s="120"/>
      <c r="X4" s="120"/>
      <c r="Y4" s="70"/>
      <c r="Z4" s="70"/>
      <c r="AA4" s="70"/>
      <c r="AB4" s="70"/>
      <c r="AC4" s="79"/>
      <c r="AD4" s="120"/>
      <c r="AE4" s="120"/>
      <c r="AF4" s="70"/>
      <c r="AG4" s="7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120"/>
      <c r="J5" s="120"/>
      <c r="K5" s="70"/>
      <c r="L5" s="70"/>
      <c r="M5" s="70"/>
      <c r="N5" s="70"/>
      <c r="O5" s="70"/>
      <c r="P5" s="120"/>
      <c r="Q5" s="120"/>
      <c r="R5" s="70"/>
      <c r="S5" s="70"/>
      <c r="T5" s="70"/>
      <c r="U5" s="70"/>
      <c r="V5" s="70"/>
      <c r="W5" s="120"/>
      <c r="X5" s="120"/>
      <c r="Y5" s="70"/>
      <c r="Z5" s="70"/>
      <c r="AA5" s="70"/>
      <c r="AB5" s="70"/>
      <c r="AC5" s="79"/>
      <c r="AD5" s="120"/>
      <c r="AE5" s="120"/>
      <c r="AF5" s="70"/>
      <c r="AG5" s="7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70"/>
      <c r="I6" s="120"/>
      <c r="J6" s="120"/>
      <c r="K6" s="70"/>
      <c r="L6" s="70"/>
      <c r="M6" s="70"/>
      <c r="N6" s="70"/>
      <c r="O6" s="70"/>
      <c r="P6" s="120"/>
      <c r="Q6" s="120"/>
      <c r="R6" s="70"/>
      <c r="S6" s="70"/>
      <c r="T6" s="70"/>
      <c r="U6" s="70"/>
      <c r="V6" s="70"/>
      <c r="W6" s="120"/>
      <c r="X6" s="120"/>
      <c r="Y6" s="70"/>
      <c r="Z6" s="70"/>
      <c r="AA6" s="70"/>
      <c r="AB6" s="70"/>
      <c r="AC6" s="79"/>
      <c r="AD6" s="120"/>
      <c r="AE6" s="120"/>
      <c r="AF6" s="70"/>
      <c r="AG6" s="70"/>
      <c r="AH6" s="7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120"/>
      <c r="J7" s="120"/>
      <c r="K7" s="70"/>
      <c r="L7" s="70"/>
      <c r="M7" s="70"/>
      <c r="N7" s="70"/>
      <c r="O7" s="70"/>
      <c r="P7" s="120"/>
      <c r="Q7" s="120"/>
      <c r="R7" s="70"/>
      <c r="S7" s="70"/>
      <c r="T7" s="70"/>
      <c r="U7" s="70"/>
      <c r="V7" s="70"/>
      <c r="W7" s="120"/>
      <c r="X7" s="120"/>
      <c r="Y7" s="70"/>
      <c r="Z7" s="70"/>
      <c r="AA7" s="70"/>
      <c r="AB7" s="70"/>
      <c r="AC7" s="79"/>
      <c r="AD7" s="120"/>
      <c r="AE7" s="120"/>
      <c r="AF7" s="70"/>
      <c r="AG7" s="70"/>
      <c r="AH7" s="7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28"/>
      <c r="J8" s="128"/>
      <c r="K8" s="108"/>
      <c r="L8" s="108"/>
      <c r="M8" s="108"/>
      <c r="N8" s="108"/>
      <c r="O8" s="108"/>
      <c r="P8" s="128"/>
      <c r="Q8" s="128"/>
      <c r="R8" s="108"/>
      <c r="S8" s="108"/>
      <c r="T8" s="108"/>
      <c r="U8" s="70"/>
      <c r="V8" s="108"/>
      <c r="W8" s="120"/>
      <c r="X8" s="120"/>
      <c r="Y8" s="108"/>
      <c r="Z8" s="108"/>
      <c r="AA8" s="108"/>
      <c r="AB8" s="108"/>
      <c r="AC8" s="109"/>
      <c r="AD8" s="120"/>
      <c r="AE8" s="120"/>
      <c r="AF8" s="70"/>
      <c r="AG8" s="7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120"/>
      <c r="J9" s="120"/>
      <c r="K9" s="70"/>
      <c r="L9" s="70"/>
      <c r="M9" s="70"/>
      <c r="N9" s="70"/>
      <c r="O9" s="70"/>
      <c r="P9" s="120"/>
      <c r="Q9" s="120"/>
      <c r="R9" s="70"/>
      <c r="S9" s="70"/>
      <c r="T9" s="70"/>
      <c r="U9" s="70"/>
      <c r="V9" s="70"/>
      <c r="W9" s="120"/>
      <c r="X9" s="120"/>
      <c r="Y9" s="70"/>
      <c r="Z9" s="70"/>
      <c r="AA9" s="70"/>
      <c r="AB9" s="70"/>
      <c r="AC9" s="79"/>
      <c r="AD9" s="120"/>
      <c r="AE9" s="120"/>
      <c r="AF9" s="70"/>
      <c r="AG9" s="7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120"/>
      <c r="J10" s="120"/>
      <c r="K10" s="70"/>
      <c r="L10" s="70"/>
      <c r="M10" s="70"/>
      <c r="N10" s="70"/>
      <c r="O10" s="70"/>
      <c r="P10" s="120"/>
      <c r="Q10" s="120"/>
      <c r="R10" s="70"/>
      <c r="S10" s="70"/>
      <c r="T10" s="70"/>
      <c r="U10" s="70"/>
      <c r="V10" s="70"/>
      <c r="W10" s="120"/>
      <c r="X10" s="120"/>
      <c r="Y10" s="70"/>
      <c r="Z10" s="70"/>
      <c r="AA10" s="70"/>
      <c r="AB10" s="70"/>
      <c r="AC10" s="79"/>
      <c r="AD10" s="120"/>
      <c r="AE10" s="120"/>
      <c r="AF10" s="70"/>
      <c r="AG10" s="7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120"/>
      <c r="J11" s="120"/>
      <c r="K11" s="70"/>
      <c r="L11" s="70"/>
      <c r="M11" s="70"/>
      <c r="N11" s="70"/>
      <c r="O11" s="70"/>
      <c r="P11" s="120"/>
      <c r="Q11" s="120"/>
      <c r="R11" s="70"/>
      <c r="S11" s="70"/>
      <c r="T11" s="70"/>
      <c r="U11" s="70"/>
      <c r="V11" s="70"/>
      <c r="W11" s="120"/>
      <c r="X11" s="120"/>
      <c r="Y11" s="70"/>
      <c r="Z11" s="70"/>
      <c r="AA11" s="70"/>
      <c r="AB11" s="70"/>
      <c r="AC11" s="79"/>
      <c r="AD11" s="120"/>
      <c r="AE11" s="120"/>
      <c r="AF11" s="70"/>
      <c r="AG11" s="7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120"/>
      <c r="J12" s="120"/>
      <c r="K12" s="70"/>
      <c r="L12" s="70"/>
      <c r="M12" s="70"/>
      <c r="N12" s="70"/>
      <c r="O12" s="70"/>
      <c r="P12" s="120"/>
      <c r="Q12" s="120"/>
      <c r="R12" s="70"/>
      <c r="S12" s="70"/>
      <c r="T12" s="70"/>
      <c r="U12" s="70"/>
      <c r="V12" s="70"/>
      <c r="W12" s="120"/>
      <c r="X12" s="120"/>
      <c r="Y12" s="70"/>
      <c r="Z12" s="70"/>
      <c r="AA12" s="70"/>
      <c r="AB12" s="70"/>
      <c r="AC12" s="79"/>
      <c r="AD12" s="120"/>
      <c r="AE12" s="120"/>
      <c r="AF12" s="70"/>
      <c r="AG12" s="7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120"/>
      <c r="J13" s="120"/>
      <c r="K13" s="70"/>
      <c r="L13" s="70"/>
      <c r="M13" s="70"/>
      <c r="N13" s="70"/>
      <c r="O13" s="70"/>
      <c r="P13" s="120"/>
      <c r="Q13" s="120"/>
      <c r="R13" s="70"/>
      <c r="S13" s="70"/>
      <c r="T13" s="70"/>
      <c r="U13" s="70"/>
      <c r="V13" s="70"/>
      <c r="W13" s="120"/>
      <c r="X13" s="120"/>
      <c r="Y13" s="70"/>
      <c r="Z13" s="70"/>
      <c r="AA13" s="70"/>
      <c r="AB13" s="70"/>
      <c r="AC13" s="79"/>
      <c r="AD13" s="120"/>
      <c r="AE13" s="120"/>
      <c r="AF13" s="70"/>
      <c r="AG13" s="7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120"/>
      <c r="J14" s="120"/>
      <c r="K14" s="70"/>
      <c r="L14" s="70"/>
      <c r="M14" s="70"/>
      <c r="N14" s="70"/>
      <c r="O14" s="70"/>
      <c r="P14" s="120"/>
      <c r="Q14" s="120"/>
      <c r="R14" s="70"/>
      <c r="S14" s="70"/>
      <c r="T14" s="70"/>
      <c r="U14" s="70"/>
      <c r="V14" s="70"/>
      <c r="W14" s="120"/>
      <c r="X14" s="120"/>
      <c r="Y14" s="70"/>
      <c r="Z14" s="70"/>
      <c r="AA14" s="70"/>
      <c r="AB14" s="70"/>
      <c r="AC14" s="79"/>
      <c r="AD14" s="120"/>
      <c r="AE14" s="120"/>
      <c r="AF14" s="70"/>
      <c r="AG14" s="7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120"/>
      <c r="J15" s="120"/>
      <c r="K15" s="70"/>
      <c r="L15" s="70"/>
      <c r="M15" s="70"/>
      <c r="N15" s="70"/>
      <c r="O15" s="70"/>
      <c r="P15" s="120"/>
      <c r="Q15" s="120"/>
      <c r="R15" s="70"/>
      <c r="S15" s="70"/>
      <c r="T15" s="70"/>
      <c r="U15" s="70"/>
      <c r="V15" s="70"/>
      <c r="W15" s="120"/>
      <c r="X15" s="120"/>
      <c r="Y15" s="70"/>
      <c r="Z15" s="70"/>
      <c r="AA15" s="70"/>
      <c r="AB15" s="70"/>
      <c r="AC15" s="79"/>
      <c r="AD15" s="120"/>
      <c r="AE15" s="120"/>
      <c r="AF15" s="70"/>
      <c r="AG15" s="7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120"/>
      <c r="J16" s="120"/>
      <c r="K16" s="70"/>
      <c r="L16" s="70"/>
      <c r="M16" s="70"/>
      <c r="N16" s="70"/>
      <c r="O16" s="70"/>
      <c r="P16" s="120"/>
      <c r="Q16" s="120"/>
      <c r="R16" s="70"/>
      <c r="S16" s="70"/>
      <c r="T16" s="70"/>
      <c r="U16" s="70"/>
      <c r="V16" s="70"/>
      <c r="W16" s="120"/>
      <c r="X16" s="120"/>
      <c r="Y16" s="70"/>
      <c r="Z16" s="70"/>
      <c r="AA16" s="70"/>
      <c r="AB16" s="70"/>
      <c r="AC16" s="79"/>
      <c r="AD16" s="120"/>
      <c r="AE16" s="120"/>
      <c r="AF16" s="70"/>
      <c r="AG16" s="7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120"/>
      <c r="J17" s="120"/>
      <c r="K17" s="70"/>
      <c r="L17" s="70"/>
      <c r="M17" s="70"/>
      <c r="N17" s="70"/>
      <c r="O17" s="70"/>
      <c r="P17" s="120"/>
      <c r="Q17" s="120"/>
      <c r="R17" s="70"/>
      <c r="S17" s="70"/>
      <c r="T17" s="70"/>
      <c r="U17" s="70"/>
      <c r="V17" s="70"/>
      <c r="W17" s="120"/>
      <c r="X17" s="120"/>
      <c r="Y17" s="70"/>
      <c r="Z17" s="70"/>
      <c r="AA17" s="70"/>
      <c r="AB17" s="70"/>
      <c r="AC17" s="79"/>
      <c r="AD17" s="120"/>
      <c r="AE17" s="120"/>
      <c r="AF17" s="70"/>
      <c r="AG17" s="7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120"/>
      <c r="J18" s="120"/>
      <c r="K18" s="70"/>
      <c r="L18" s="70"/>
      <c r="M18" s="70"/>
      <c r="N18" s="70"/>
      <c r="O18" s="70"/>
      <c r="P18" s="120"/>
      <c r="Q18" s="120"/>
      <c r="R18" s="70"/>
      <c r="S18" s="70"/>
      <c r="T18" s="70"/>
      <c r="U18" s="70"/>
      <c r="V18" s="70"/>
      <c r="W18" s="120"/>
      <c r="X18" s="120"/>
      <c r="Y18" s="70"/>
      <c r="Z18" s="70"/>
      <c r="AA18" s="70"/>
      <c r="AB18" s="70"/>
      <c r="AC18" s="79"/>
      <c r="AD18" s="120"/>
      <c r="AE18" s="120"/>
      <c r="AF18" s="70"/>
      <c r="AG18" s="7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120"/>
      <c r="J19" s="120"/>
      <c r="K19" s="70"/>
      <c r="L19" s="70"/>
      <c r="M19" s="70"/>
      <c r="N19" s="70"/>
      <c r="O19" s="70"/>
      <c r="P19" s="120"/>
      <c r="Q19" s="120"/>
      <c r="R19" s="70"/>
      <c r="S19" s="70"/>
      <c r="T19" s="70"/>
      <c r="U19" s="70"/>
      <c r="V19" s="70"/>
      <c r="W19" s="120"/>
      <c r="X19" s="120"/>
      <c r="Y19" s="70"/>
      <c r="Z19" s="70"/>
      <c r="AA19" s="70"/>
      <c r="AB19" s="70"/>
      <c r="AC19" s="79"/>
      <c r="AD19" s="120"/>
      <c r="AE19" s="120"/>
      <c r="AF19" s="70"/>
      <c r="AG19" s="7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120"/>
      <c r="J20" s="120"/>
      <c r="K20" s="70"/>
      <c r="L20" s="70"/>
      <c r="M20" s="70"/>
      <c r="N20" s="70"/>
      <c r="O20" s="70"/>
      <c r="P20" s="120"/>
      <c r="Q20" s="120"/>
      <c r="R20" s="70"/>
      <c r="S20" s="70"/>
      <c r="T20" s="70"/>
      <c r="U20" s="70"/>
      <c r="V20" s="70"/>
      <c r="W20" s="120"/>
      <c r="X20" s="120"/>
      <c r="Y20" s="70"/>
      <c r="Z20" s="70"/>
      <c r="AA20" s="70"/>
      <c r="AB20" s="70"/>
      <c r="AC20" s="79"/>
      <c r="AD20" s="120"/>
      <c r="AE20" s="120"/>
      <c r="AF20" s="70"/>
      <c r="AG20" s="7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120"/>
      <c r="J21" s="120"/>
      <c r="K21" s="70"/>
      <c r="L21" s="70"/>
      <c r="M21" s="70"/>
      <c r="N21" s="70"/>
      <c r="O21" s="70"/>
      <c r="P21" s="120"/>
      <c r="Q21" s="120"/>
      <c r="R21" s="70"/>
      <c r="S21" s="70"/>
      <c r="T21" s="70"/>
      <c r="U21" s="70"/>
      <c r="V21" s="70"/>
      <c r="W21" s="120"/>
      <c r="X21" s="120"/>
      <c r="Y21" s="70"/>
      <c r="Z21" s="70"/>
      <c r="AA21" s="70"/>
      <c r="AB21" s="70"/>
      <c r="AC21" s="79"/>
      <c r="AD21" s="120"/>
      <c r="AE21" s="120"/>
      <c r="AF21" s="70"/>
      <c r="AG21" s="7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120"/>
      <c r="J22" s="120"/>
      <c r="K22" s="70"/>
      <c r="L22" s="70"/>
      <c r="M22" s="70"/>
      <c r="N22" s="70"/>
      <c r="O22" s="70"/>
      <c r="P22" s="120"/>
      <c r="Q22" s="120"/>
      <c r="R22" s="70"/>
      <c r="S22" s="70"/>
      <c r="T22" s="70"/>
      <c r="U22" s="70"/>
      <c r="V22" s="70"/>
      <c r="W22" s="120"/>
      <c r="X22" s="120"/>
      <c r="Y22" s="70"/>
      <c r="Z22" s="70"/>
      <c r="AA22" s="70"/>
      <c r="AB22" s="70"/>
      <c r="AC22" s="79"/>
      <c r="AD22" s="120"/>
      <c r="AE22" s="120"/>
      <c r="AF22" s="70"/>
      <c r="AG22" s="7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120"/>
      <c r="J23" s="120"/>
      <c r="K23" s="70"/>
      <c r="L23" s="70"/>
      <c r="M23" s="70"/>
      <c r="N23" s="70"/>
      <c r="O23" s="70"/>
      <c r="P23" s="120"/>
      <c r="Q23" s="120"/>
      <c r="R23" s="70"/>
      <c r="S23" s="70"/>
      <c r="T23" s="70"/>
      <c r="U23" s="70"/>
      <c r="V23" s="70"/>
      <c r="W23" s="120"/>
      <c r="X23" s="120"/>
      <c r="Y23" s="70"/>
      <c r="Z23" s="70"/>
      <c r="AA23" s="70"/>
      <c r="AB23" s="70"/>
      <c r="AC23" s="79"/>
      <c r="AD23" s="120"/>
      <c r="AE23" s="120"/>
      <c r="AF23" s="70"/>
      <c r="AG23" s="7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120"/>
      <c r="J24" s="120"/>
      <c r="K24" s="70"/>
      <c r="L24" s="70"/>
      <c r="M24" s="70"/>
      <c r="N24" s="70"/>
      <c r="O24" s="70"/>
      <c r="P24" s="120"/>
      <c r="Q24" s="120"/>
      <c r="R24" s="70"/>
      <c r="S24" s="70"/>
      <c r="T24" s="70"/>
      <c r="U24" s="70"/>
      <c r="V24" s="70"/>
      <c r="W24" s="120"/>
      <c r="X24" s="120"/>
      <c r="Y24" s="70"/>
      <c r="Z24" s="70"/>
      <c r="AA24" s="70"/>
      <c r="AB24" s="70"/>
      <c r="AC24" s="79"/>
      <c r="AD24" s="120"/>
      <c r="AE24" s="120"/>
      <c r="AF24" s="70"/>
      <c r="AG24" s="7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120"/>
      <c r="J25" s="120"/>
      <c r="K25" s="70"/>
      <c r="L25" s="70"/>
      <c r="M25" s="70"/>
      <c r="N25" s="70"/>
      <c r="O25" s="70"/>
      <c r="P25" s="120"/>
      <c r="Q25" s="120"/>
      <c r="R25" s="70"/>
      <c r="S25" s="70"/>
      <c r="T25" s="70"/>
      <c r="U25" s="70"/>
      <c r="V25" s="70"/>
      <c r="W25" s="120"/>
      <c r="X25" s="120"/>
      <c r="Y25" s="70"/>
      <c r="Z25" s="70"/>
      <c r="AA25" s="70"/>
      <c r="AB25" s="70"/>
      <c r="AC25" s="79"/>
      <c r="AD25" s="120"/>
      <c r="AE25" s="120"/>
      <c r="AF25" s="70"/>
      <c r="AG25" s="7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120"/>
      <c r="J26" s="120"/>
      <c r="K26" s="70"/>
      <c r="L26" s="70"/>
      <c r="M26" s="70"/>
      <c r="N26" s="70"/>
      <c r="O26" s="70"/>
      <c r="P26" s="120"/>
      <c r="Q26" s="120"/>
      <c r="R26" s="70"/>
      <c r="S26" s="70"/>
      <c r="T26" s="70"/>
      <c r="U26" s="70"/>
      <c r="V26" s="70"/>
      <c r="W26" s="120"/>
      <c r="X26" s="120"/>
      <c r="Y26" s="70"/>
      <c r="Z26" s="70"/>
      <c r="AA26" s="70"/>
      <c r="AB26" s="70"/>
      <c r="AC26" s="79"/>
      <c r="AD26" s="120"/>
      <c r="AE26" s="120"/>
      <c r="AF26" s="70"/>
      <c r="AG26" s="7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120"/>
      <c r="J27" s="120"/>
      <c r="K27" s="70"/>
      <c r="L27" s="70"/>
      <c r="M27" s="70"/>
      <c r="N27" s="70"/>
      <c r="O27" s="70"/>
      <c r="P27" s="120"/>
      <c r="Q27" s="120"/>
      <c r="R27" s="70"/>
      <c r="S27" s="70"/>
      <c r="T27" s="70"/>
      <c r="U27" s="70"/>
      <c r="V27" s="70"/>
      <c r="W27" s="120"/>
      <c r="X27" s="120"/>
      <c r="Y27" s="70"/>
      <c r="Z27" s="70"/>
      <c r="AA27" s="70"/>
      <c r="AB27" s="70"/>
      <c r="AC27" s="79"/>
      <c r="AD27" s="120"/>
      <c r="AE27" s="120"/>
      <c r="AF27" s="70"/>
      <c r="AG27" s="7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120"/>
      <c r="J28" s="120"/>
      <c r="K28" s="70"/>
      <c r="L28" s="70"/>
      <c r="M28" s="70"/>
      <c r="N28" s="70"/>
      <c r="O28" s="70"/>
      <c r="P28" s="120"/>
      <c r="Q28" s="120"/>
      <c r="R28" s="70"/>
      <c r="S28" s="70"/>
      <c r="T28" s="70"/>
      <c r="U28" s="70"/>
      <c r="V28" s="70"/>
      <c r="W28" s="120"/>
      <c r="X28" s="120"/>
      <c r="Y28" s="70"/>
      <c r="Z28" s="70"/>
      <c r="AA28" s="70"/>
      <c r="AB28" s="70"/>
      <c r="AC28" s="79"/>
      <c r="AD28" s="120"/>
      <c r="AE28" s="120"/>
      <c r="AF28" s="70"/>
      <c r="AG28" s="7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120"/>
      <c r="J29" s="120"/>
      <c r="K29" s="70"/>
      <c r="L29" s="70"/>
      <c r="M29" s="70"/>
      <c r="N29" s="70"/>
      <c r="O29" s="70"/>
      <c r="P29" s="120"/>
      <c r="Q29" s="120"/>
      <c r="R29" s="70"/>
      <c r="S29" s="70"/>
      <c r="T29" s="70"/>
      <c r="U29" s="70"/>
      <c r="V29" s="70"/>
      <c r="W29" s="120"/>
      <c r="X29" s="120"/>
      <c r="Y29" s="70"/>
      <c r="Z29" s="70"/>
      <c r="AA29" s="70"/>
      <c r="AB29" s="70"/>
      <c r="AC29" s="79"/>
      <c r="AD29" s="120"/>
      <c r="AE29" s="120"/>
      <c r="AF29" s="70"/>
      <c r="AG29" s="7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120"/>
      <c r="J30" s="120"/>
      <c r="K30" s="70"/>
      <c r="L30" s="70"/>
      <c r="M30" s="70"/>
      <c r="N30" s="70"/>
      <c r="O30" s="70"/>
      <c r="P30" s="120"/>
      <c r="Q30" s="120"/>
      <c r="R30" s="70"/>
      <c r="S30" s="70"/>
      <c r="T30" s="70"/>
      <c r="U30" s="70"/>
      <c r="V30" s="70"/>
      <c r="W30" s="120"/>
      <c r="X30" s="120"/>
      <c r="Y30" s="70"/>
      <c r="Z30" s="70"/>
      <c r="AA30" s="70"/>
      <c r="AB30" s="70"/>
      <c r="AC30" s="79"/>
      <c r="AD30" s="120"/>
      <c r="AE30" s="120"/>
      <c r="AF30" s="70"/>
      <c r="AG30" s="7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120"/>
      <c r="J31" s="120"/>
      <c r="K31" s="70"/>
      <c r="L31" s="70"/>
      <c r="M31" s="70"/>
      <c r="N31" s="70"/>
      <c r="O31" s="70"/>
      <c r="P31" s="120"/>
      <c r="Q31" s="120"/>
      <c r="R31" s="70"/>
      <c r="S31" s="70"/>
      <c r="T31" s="70"/>
      <c r="U31" s="70"/>
      <c r="V31" s="70"/>
      <c r="W31" s="120"/>
      <c r="X31" s="120"/>
      <c r="Y31" s="70"/>
      <c r="Z31" s="70"/>
      <c r="AA31" s="70"/>
      <c r="AB31" s="70"/>
      <c r="AC31" s="79"/>
      <c r="AD31" s="120"/>
      <c r="AE31" s="120"/>
      <c r="AF31" s="70"/>
      <c r="AG31" s="7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120"/>
      <c r="J32" s="120"/>
      <c r="K32" s="108"/>
      <c r="L32" s="108"/>
      <c r="M32" s="108"/>
      <c r="N32" s="108"/>
      <c r="O32" s="108"/>
      <c r="P32" s="120"/>
      <c r="Q32" s="120"/>
      <c r="R32" s="70"/>
      <c r="S32" s="108"/>
      <c r="T32" s="108"/>
      <c r="U32" s="108"/>
      <c r="V32" s="108"/>
      <c r="W32" s="128"/>
      <c r="X32" s="128"/>
      <c r="Y32" s="108"/>
      <c r="Z32" s="108"/>
      <c r="AA32" s="108"/>
      <c r="AB32" s="108"/>
      <c r="AC32" s="109"/>
      <c r="AD32" s="128"/>
      <c r="AE32" s="128"/>
      <c r="AF32" s="108"/>
      <c r="AG32" s="10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120"/>
      <c r="J33" s="120"/>
      <c r="K33" s="70"/>
      <c r="L33" s="70"/>
      <c r="M33" s="70"/>
      <c r="N33" s="70"/>
      <c r="O33" s="70"/>
      <c r="P33" s="120"/>
      <c r="Q33" s="120"/>
      <c r="R33" s="70"/>
      <c r="S33" s="70"/>
      <c r="T33" s="70"/>
      <c r="U33" s="70"/>
      <c r="V33" s="70"/>
      <c r="W33" s="120"/>
      <c r="X33" s="120"/>
      <c r="Y33" s="70"/>
      <c r="Z33" s="70"/>
      <c r="AA33" s="70"/>
      <c r="AB33" s="70"/>
      <c r="AC33" s="79"/>
      <c r="AD33" s="120"/>
      <c r="AE33" s="120"/>
      <c r="AF33" s="70"/>
      <c r="AG33" s="70"/>
      <c r="AH33" s="7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120"/>
      <c r="J34" s="120"/>
      <c r="K34" s="70"/>
      <c r="L34" s="70"/>
      <c r="M34" s="70"/>
      <c r="N34" s="70"/>
      <c r="O34" s="70"/>
      <c r="P34" s="120"/>
      <c r="Q34" s="120"/>
      <c r="R34" s="70"/>
      <c r="S34" s="70"/>
      <c r="T34" s="70"/>
      <c r="U34" s="70"/>
      <c r="V34" s="70"/>
      <c r="W34" s="120"/>
      <c r="X34" s="120"/>
      <c r="Y34" s="70"/>
      <c r="Z34" s="70"/>
      <c r="AA34" s="70"/>
      <c r="AB34" s="70"/>
      <c r="AC34" s="79"/>
      <c r="AD34" s="120"/>
      <c r="AE34" s="120"/>
      <c r="AF34" s="70"/>
      <c r="AG34" s="70"/>
      <c r="AH34" s="7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120"/>
      <c r="J35" s="120"/>
      <c r="K35" s="70"/>
      <c r="L35" s="70"/>
      <c r="M35" s="70"/>
      <c r="N35" s="70"/>
      <c r="O35" s="70"/>
      <c r="P35" s="120"/>
      <c r="Q35" s="120"/>
      <c r="R35" s="70"/>
      <c r="S35" s="70"/>
      <c r="T35" s="70"/>
      <c r="U35" s="70"/>
      <c r="V35" s="70"/>
      <c r="W35" s="120"/>
      <c r="X35" s="120"/>
      <c r="Y35" s="70"/>
      <c r="Z35" s="70"/>
      <c r="AA35" s="70"/>
      <c r="AB35" s="70"/>
      <c r="AC35" s="79"/>
      <c r="AD35" s="120"/>
      <c r="AE35" s="120"/>
      <c r="AF35" s="70"/>
      <c r="AG35" s="7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120"/>
      <c r="J36" s="120"/>
      <c r="K36" s="70"/>
      <c r="L36" s="70"/>
      <c r="M36" s="70"/>
      <c r="N36" s="70"/>
      <c r="O36" s="70"/>
      <c r="P36" s="120"/>
      <c r="Q36" s="120"/>
      <c r="R36" s="70"/>
      <c r="S36" s="70"/>
      <c r="T36" s="70"/>
      <c r="U36" s="70"/>
      <c r="V36" s="70"/>
      <c r="W36" s="120"/>
      <c r="X36" s="120"/>
      <c r="Y36" s="70"/>
      <c r="Z36" s="70"/>
      <c r="AA36" s="70"/>
      <c r="AB36" s="70"/>
      <c r="AC36" s="79"/>
      <c r="AD36" s="120"/>
      <c r="AE36" s="120"/>
      <c r="AF36" s="70"/>
      <c r="AG36" s="7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8"/>
      <c r="J37" s="68"/>
      <c r="K37" s="64"/>
      <c r="L37" s="64"/>
      <c r="M37" s="64"/>
      <c r="N37" s="64"/>
      <c r="O37" s="64"/>
      <c r="P37" s="68"/>
      <c r="Q37" s="68"/>
      <c r="R37" s="64"/>
      <c r="S37" s="64"/>
      <c r="T37" s="64"/>
      <c r="U37" s="64"/>
      <c r="V37" s="64"/>
      <c r="W37" s="68"/>
      <c r="X37" s="68"/>
      <c r="Y37" s="64"/>
      <c r="Z37" s="64"/>
      <c r="AA37" s="64"/>
      <c r="AB37" s="64"/>
      <c r="AC37" s="65"/>
      <c r="AD37" s="68"/>
      <c r="AE37" s="68"/>
      <c r="AF37" s="64"/>
      <c r="AG37" s="64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8"/>
      <c r="J38" s="68"/>
      <c r="K38" s="64"/>
      <c r="L38" s="64"/>
      <c r="M38" s="64"/>
      <c r="N38" s="64"/>
      <c r="O38" s="64"/>
      <c r="P38" s="68"/>
      <c r="Q38" s="68"/>
      <c r="R38" s="64"/>
      <c r="S38" s="64"/>
      <c r="T38" s="64"/>
      <c r="U38" s="64"/>
      <c r="V38" s="64"/>
      <c r="W38" s="68"/>
      <c r="X38" s="68"/>
      <c r="Y38" s="64"/>
      <c r="Z38" s="64"/>
      <c r="AA38" s="64"/>
      <c r="AB38" s="64"/>
      <c r="AC38" s="65"/>
      <c r="AD38" s="68"/>
      <c r="AE38" s="68"/>
      <c r="AF38" s="64"/>
      <c r="AG38" s="64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120"/>
      <c r="J39" s="120"/>
      <c r="K39" s="70"/>
      <c r="L39" s="70"/>
      <c r="M39" s="70"/>
      <c r="N39" s="70"/>
      <c r="O39" s="70"/>
      <c r="P39" s="120"/>
      <c r="Q39" s="120"/>
      <c r="R39" s="70"/>
      <c r="S39" s="70"/>
      <c r="T39" s="70"/>
      <c r="U39" s="70"/>
      <c r="V39" s="70"/>
      <c r="W39" s="120"/>
      <c r="X39" s="120"/>
      <c r="Y39" s="70"/>
      <c r="Z39" s="70"/>
      <c r="AA39" s="70"/>
      <c r="AB39" s="70"/>
      <c r="AC39" s="79"/>
      <c r="AD39" s="120"/>
      <c r="AE39" s="120"/>
      <c r="AF39" s="70"/>
      <c r="AG39" s="70"/>
      <c r="AH39" s="7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124"/>
      <c r="J40" s="124"/>
      <c r="K40" s="92"/>
      <c r="L40" s="92"/>
      <c r="M40" s="92"/>
      <c r="N40" s="92"/>
      <c r="O40" s="92"/>
      <c r="P40" s="124"/>
      <c r="Q40" s="124"/>
      <c r="R40" s="92"/>
      <c r="S40" s="92"/>
      <c r="T40" s="92"/>
      <c r="U40" s="92"/>
      <c r="V40" s="92"/>
      <c r="W40" s="124"/>
      <c r="X40" s="124"/>
      <c r="Y40" s="92"/>
      <c r="Z40" s="92"/>
      <c r="AA40" s="92"/>
      <c r="AB40" s="92"/>
      <c r="AC40" s="93"/>
      <c r="AD40" s="124"/>
      <c r="AE40" s="124"/>
      <c r="AF40" s="92"/>
      <c r="AG40" s="92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127"/>
      <c r="J42" s="127"/>
      <c r="K42" s="62"/>
      <c r="L42" s="64"/>
      <c r="M42" s="64"/>
      <c r="N42" s="62"/>
      <c r="O42" s="62"/>
      <c r="P42" s="127"/>
      <c r="Q42" s="127"/>
      <c r="R42" s="62"/>
      <c r="S42" s="64"/>
      <c r="T42" s="64"/>
      <c r="U42" s="62"/>
      <c r="V42" s="62"/>
      <c r="W42" s="127"/>
      <c r="X42" s="127"/>
      <c r="Y42" s="62"/>
      <c r="Z42" s="64"/>
      <c r="AA42" s="64"/>
      <c r="AB42" s="62"/>
      <c r="AC42" s="104"/>
      <c r="AD42" s="127"/>
      <c r="AE42" s="127"/>
      <c r="AF42" s="62"/>
      <c r="AG42" s="64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127"/>
      <c r="J43" s="127"/>
      <c r="K43" s="62"/>
      <c r="N43" s="62"/>
      <c r="O43" s="62"/>
      <c r="P43" s="127"/>
      <c r="Q43" s="127"/>
      <c r="R43" s="62"/>
      <c r="U43" s="62"/>
      <c r="V43" s="62"/>
      <c r="W43" s="127"/>
      <c r="X43" s="127"/>
      <c r="Y43" s="62"/>
      <c r="AB43" s="62"/>
      <c r="AC43" s="104"/>
      <c r="AD43" s="127"/>
      <c r="AE43" s="127"/>
      <c r="AF43" s="62"/>
      <c r="AH43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127"/>
      <c r="J44" s="127"/>
      <c r="K44" s="62"/>
      <c r="L44" s="64"/>
      <c r="M44" s="64"/>
      <c r="N44" s="62"/>
      <c r="O44" s="62"/>
      <c r="P44" s="127"/>
      <c r="Q44" s="127"/>
      <c r="R44" s="62"/>
      <c r="S44" s="64"/>
      <c r="T44" s="64"/>
      <c r="U44" s="62"/>
      <c r="V44" s="62"/>
      <c r="W44" s="127"/>
      <c r="X44" s="127"/>
      <c r="Y44" s="62"/>
      <c r="Z44" s="64"/>
      <c r="AA44" s="64"/>
      <c r="AB44" s="62"/>
      <c r="AC44" s="104"/>
      <c r="AD44" s="127"/>
      <c r="AE44" s="127"/>
      <c r="AF44" s="62"/>
      <c r="AG44" s="64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127"/>
      <c r="J45" s="127"/>
      <c r="K45" s="62"/>
      <c r="L45" s="64"/>
      <c r="M45" s="64"/>
      <c r="N45" s="62"/>
      <c r="O45" s="62"/>
      <c r="P45" s="127"/>
      <c r="Q45" s="127"/>
      <c r="R45" s="62"/>
      <c r="S45" s="64"/>
      <c r="T45" s="64"/>
      <c r="U45" s="62"/>
      <c r="V45" s="62"/>
      <c r="W45" s="127"/>
      <c r="X45" s="127"/>
      <c r="Y45" s="62"/>
      <c r="Z45" s="64"/>
      <c r="AA45" s="64"/>
      <c r="AB45" s="62"/>
      <c r="AC45" s="104"/>
      <c r="AD45" s="127"/>
      <c r="AE45" s="127"/>
      <c r="AF45" s="62"/>
      <c r="AG45" s="64"/>
      <c r="AH4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127"/>
      <c r="J46" s="127"/>
      <c r="K46" s="62"/>
      <c r="L46" s="64"/>
      <c r="M46" s="64"/>
      <c r="N46" s="62"/>
      <c r="O46" s="62"/>
      <c r="P46" s="127"/>
      <c r="Q46" s="127"/>
      <c r="R46" s="62"/>
      <c r="S46" s="64"/>
      <c r="T46" s="64"/>
      <c r="U46" s="62"/>
      <c r="V46" s="62"/>
      <c r="W46" s="127"/>
      <c r="X46" s="127"/>
      <c r="Y46" s="62"/>
      <c r="Z46" s="64"/>
      <c r="AA46" s="64"/>
      <c r="AB46" s="62"/>
      <c r="AC46" s="104"/>
      <c r="AD46" s="127"/>
      <c r="AE46" s="127"/>
      <c r="AF46" s="62"/>
      <c r="AG46" s="64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127"/>
      <c r="J47" s="127"/>
      <c r="K47" s="62"/>
      <c r="L47" s="64"/>
      <c r="M47" s="64"/>
      <c r="N47" s="62"/>
      <c r="O47" s="62"/>
      <c r="P47" s="127"/>
      <c r="Q47" s="127"/>
      <c r="R47" s="62"/>
      <c r="S47" s="64"/>
      <c r="T47" s="64"/>
      <c r="U47" s="62"/>
      <c r="V47" s="62"/>
      <c r="W47" s="127"/>
      <c r="X47" s="127"/>
      <c r="Y47" s="62"/>
      <c r="Z47" s="64"/>
      <c r="AA47" s="64"/>
      <c r="AB47" s="62"/>
      <c r="AC47" s="104"/>
      <c r="AD47" s="127"/>
      <c r="AE47" s="127"/>
      <c r="AF47" s="62"/>
      <c r="AG47" s="64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127"/>
      <c r="J48" s="127"/>
      <c r="K48" s="62"/>
      <c r="L48" s="64"/>
      <c r="M48" s="64"/>
      <c r="N48" s="62"/>
      <c r="O48" s="62"/>
      <c r="P48" s="127"/>
      <c r="Q48" s="127"/>
      <c r="R48" s="62"/>
      <c r="S48" s="64"/>
      <c r="T48" s="64"/>
      <c r="U48" s="62"/>
      <c r="V48" s="62"/>
      <c r="W48" s="127"/>
      <c r="X48" s="127"/>
      <c r="Y48" s="62"/>
      <c r="Z48" s="64"/>
      <c r="AA48" s="64"/>
      <c r="AB48" s="62"/>
      <c r="AC48" s="104"/>
      <c r="AD48" s="127"/>
      <c r="AE48" s="127"/>
      <c r="AF48" s="62"/>
      <c r="AG48" s="64"/>
      <c r="AH48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127"/>
      <c r="J49" s="127"/>
      <c r="K49" s="62"/>
      <c r="L49" s="64"/>
      <c r="M49" s="64"/>
      <c r="N49" s="62"/>
      <c r="O49" s="62"/>
      <c r="P49" s="127"/>
      <c r="Q49" s="127"/>
      <c r="R49" s="62"/>
      <c r="S49" s="64"/>
      <c r="T49" s="64"/>
      <c r="U49" s="62"/>
      <c r="V49" s="62"/>
      <c r="W49" s="127"/>
      <c r="X49" s="127"/>
      <c r="Y49" s="62"/>
      <c r="Z49" s="64"/>
      <c r="AA49" s="64"/>
      <c r="AB49" s="62"/>
      <c r="AC49" s="104"/>
      <c r="AD49" s="127"/>
      <c r="AE49" s="127"/>
      <c r="AF49" s="62"/>
      <c r="AG49" s="64"/>
      <c r="AH49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127"/>
      <c r="J50" s="127"/>
      <c r="K50" s="62"/>
      <c r="L50" s="64"/>
      <c r="M50" s="64"/>
      <c r="N50" s="62"/>
      <c r="O50" s="62"/>
      <c r="P50" s="127"/>
      <c r="Q50" s="127"/>
      <c r="R50" s="62"/>
      <c r="S50" s="64"/>
      <c r="T50" s="64"/>
      <c r="U50" s="62"/>
      <c r="V50" s="62"/>
      <c r="W50" s="127"/>
      <c r="X50" s="127"/>
      <c r="Y50" s="62"/>
      <c r="Z50" s="64"/>
      <c r="AA50" s="64"/>
      <c r="AB50" s="62"/>
      <c r="AC50" s="104"/>
      <c r="AD50" s="127"/>
      <c r="AE50" s="127"/>
      <c r="AF50" s="62"/>
      <c r="AG50" s="64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127"/>
      <c r="J51" s="127"/>
      <c r="K51" s="62"/>
      <c r="L51" s="64"/>
      <c r="M51" s="64"/>
      <c r="N51" s="62"/>
      <c r="O51" s="62"/>
      <c r="P51" s="127"/>
      <c r="Q51" s="127"/>
      <c r="R51" s="62"/>
      <c r="S51" s="64"/>
      <c r="T51" s="64"/>
      <c r="U51" s="62"/>
      <c r="V51" s="62"/>
      <c r="W51" s="127"/>
      <c r="X51" s="127"/>
      <c r="Y51" s="62"/>
      <c r="Z51" s="64"/>
      <c r="AA51" s="64"/>
      <c r="AB51" s="62"/>
      <c r="AC51" s="104"/>
      <c r="AD51" s="127"/>
      <c r="AE51" s="127"/>
      <c r="AF51" s="62"/>
      <c r="AG51" s="64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127"/>
      <c r="J52" s="127"/>
      <c r="K52" s="62"/>
      <c r="L52" s="64"/>
      <c r="M52" s="64"/>
      <c r="N52" s="62"/>
      <c r="O52" s="62"/>
      <c r="P52" s="127"/>
      <c r="Q52" s="127"/>
      <c r="R52" s="62"/>
      <c r="S52" s="64"/>
      <c r="T52" s="64"/>
      <c r="U52" s="62"/>
      <c r="V52" s="62"/>
      <c r="W52" s="127"/>
      <c r="X52" s="127"/>
      <c r="Y52" s="62"/>
      <c r="Z52" s="64"/>
      <c r="AA52" s="64"/>
      <c r="AB52" s="62"/>
      <c r="AC52" s="104"/>
      <c r="AD52" s="127"/>
      <c r="AE52" s="127"/>
      <c r="AF52" s="62"/>
      <c r="AG52" s="64"/>
      <c r="AH52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127"/>
      <c r="J53" s="127"/>
      <c r="K53" s="62"/>
      <c r="L53" s="64"/>
      <c r="M53" s="64"/>
      <c r="N53" s="62"/>
      <c r="O53" s="62"/>
      <c r="P53" s="127"/>
      <c r="Q53" s="127"/>
      <c r="R53" s="62"/>
      <c r="S53" s="64"/>
      <c r="T53" s="64"/>
      <c r="U53" s="62"/>
      <c r="V53" s="62"/>
      <c r="W53" s="127"/>
      <c r="X53" s="127"/>
      <c r="Y53" s="62"/>
      <c r="Z53" s="64"/>
      <c r="AA53" s="64"/>
      <c r="AB53" s="62"/>
      <c r="AC53" s="104"/>
      <c r="AD53" s="127"/>
      <c r="AE53" s="127"/>
      <c r="AF53" s="62"/>
      <c r="AG53" s="64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127"/>
      <c r="J54" s="127"/>
      <c r="K54" s="62"/>
      <c r="L54" s="64"/>
      <c r="M54" s="64"/>
      <c r="N54" s="62"/>
      <c r="O54" s="62"/>
      <c r="P54" s="127"/>
      <c r="Q54" s="127"/>
      <c r="R54" s="62"/>
      <c r="S54" s="64"/>
      <c r="T54" s="64"/>
      <c r="U54" s="62"/>
      <c r="V54" s="62"/>
      <c r="W54" s="127"/>
      <c r="X54" s="127"/>
      <c r="Y54" s="62"/>
      <c r="Z54" s="64"/>
      <c r="AA54" s="64"/>
      <c r="AB54" s="62"/>
      <c r="AC54" s="104"/>
      <c r="AD54" s="127"/>
      <c r="AE54" s="127"/>
      <c r="AF54" s="62"/>
      <c r="AG54" s="64"/>
      <c r="AH54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62"/>
      <c r="I55" s="127"/>
      <c r="J55" s="127"/>
      <c r="K55" s="62"/>
      <c r="L55" s="64"/>
      <c r="M55" s="64"/>
      <c r="N55" s="62"/>
      <c r="O55" s="62"/>
      <c r="P55" s="127"/>
      <c r="Q55" s="127"/>
      <c r="R55" s="62"/>
      <c r="S55" s="64"/>
      <c r="T55" s="64"/>
      <c r="U55" s="62"/>
      <c r="V55" s="62"/>
      <c r="W55" s="127"/>
      <c r="X55" s="127"/>
      <c r="Y55" s="62"/>
      <c r="Z55" s="64"/>
      <c r="AA55" s="64"/>
      <c r="AB55" s="62"/>
      <c r="AC55" s="104"/>
      <c r="AD55" s="127"/>
      <c r="AE55" s="127"/>
      <c r="AF55" s="62"/>
      <c r="AG55" s="64"/>
      <c r="AH5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62"/>
      <c r="I56" s="127"/>
      <c r="J56" s="127"/>
      <c r="K56" s="62"/>
      <c r="L56" s="64"/>
      <c r="M56" s="64"/>
      <c r="N56" s="62"/>
      <c r="O56" s="62"/>
      <c r="P56" s="127"/>
      <c r="Q56" s="127"/>
      <c r="R56" s="62"/>
      <c r="S56" s="64"/>
      <c r="T56" s="64"/>
      <c r="U56" s="62"/>
      <c r="V56" s="62"/>
      <c r="W56" s="127"/>
      <c r="X56" s="127"/>
      <c r="Y56" s="62"/>
      <c r="Z56" s="64"/>
      <c r="AA56" s="64"/>
      <c r="AB56" s="62"/>
      <c r="AC56" s="104"/>
      <c r="AD56" s="127"/>
      <c r="AE56" s="127"/>
      <c r="AF56" s="62"/>
      <c r="AG56" s="64"/>
      <c r="AH56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127"/>
      <c r="J57" s="127"/>
      <c r="K57" s="62"/>
      <c r="L57" s="64"/>
      <c r="M57" s="64"/>
      <c r="N57" s="62"/>
      <c r="O57" s="62"/>
      <c r="P57" s="127"/>
      <c r="Q57" s="127"/>
      <c r="R57" s="62"/>
      <c r="S57" s="64"/>
      <c r="T57" s="64"/>
      <c r="U57" s="62"/>
      <c r="V57" s="62"/>
      <c r="W57" s="127"/>
      <c r="X57" s="127"/>
      <c r="Y57" s="62"/>
      <c r="Z57" s="64"/>
      <c r="AA57" s="64"/>
      <c r="AB57" s="62"/>
      <c r="AC57" s="104"/>
      <c r="AD57" s="127"/>
      <c r="AE57" s="127"/>
      <c r="AF57" s="62"/>
      <c r="AG57" s="64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62"/>
      <c r="I58" s="127"/>
      <c r="J58" s="127"/>
      <c r="K58" s="62"/>
      <c r="L58" s="64"/>
      <c r="M58" s="64"/>
      <c r="N58" s="62"/>
      <c r="O58" s="62"/>
      <c r="P58" s="127"/>
      <c r="Q58" s="127"/>
      <c r="R58" s="62"/>
      <c r="S58" s="64"/>
      <c r="T58" s="64"/>
      <c r="U58" s="62"/>
      <c r="V58" s="62"/>
      <c r="W58" s="127"/>
      <c r="X58" s="127"/>
      <c r="Y58" s="62"/>
      <c r="Z58" s="64"/>
      <c r="AA58" s="64"/>
      <c r="AB58" s="62"/>
      <c r="AC58" s="104"/>
      <c r="AD58" s="127"/>
      <c r="AE58" s="127"/>
      <c r="AF58" s="62"/>
      <c r="AG58" s="64"/>
      <c r="AH58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120"/>
      <c r="J59" s="120"/>
      <c r="M59" s="70"/>
      <c r="N59" s="70"/>
      <c r="O59" s="70"/>
      <c r="P59" s="120"/>
      <c r="Q59" s="120"/>
      <c r="T59" s="70"/>
      <c r="U59" s="70"/>
      <c r="V59" s="70"/>
      <c r="W59" s="120"/>
      <c r="X59" s="120"/>
      <c r="AA59" s="70"/>
      <c r="AB59" s="70"/>
      <c r="AC59" s="79"/>
      <c r="AD59" s="120"/>
      <c r="AE59" s="12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121"/>
      <c r="J60" s="121"/>
      <c r="K60" s="92"/>
      <c r="L60" s="92"/>
      <c r="M60" s="73"/>
      <c r="N60" s="73"/>
      <c r="O60" s="73"/>
      <c r="P60" s="121"/>
      <c r="Q60" s="121"/>
      <c r="R60" s="92"/>
      <c r="S60" s="92"/>
      <c r="T60" s="73"/>
      <c r="U60" s="73"/>
      <c r="V60" s="73"/>
      <c r="W60" s="121"/>
      <c r="X60" s="121"/>
      <c r="Y60" s="92"/>
      <c r="Z60" s="92"/>
      <c r="AA60" s="73"/>
      <c r="AB60" s="73"/>
      <c r="AC60" s="74"/>
      <c r="AD60" s="121"/>
      <c r="AE60" s="121"/>
      <c r="AF60" s="92"/>
      <c r="AG60" s="92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120"/>
      <c r="J61" s="120"/>
      <c r="M61" s="70"/>
      <c r="N61" s="70"/>
      <c r="O61" s="70"/>
      <c r="P61" s="120"/>
      <c r="Q61" s="120"/>
      <c r="T61" s="70"/>
      <c r="U61" s="70"/>
      <c r="V61" s="70"/>
      <c r="W61" s="120"/>
      <c r="X61" s="120"/>
      <c r="AA61" s="70"/>
      <c r="AB61" s="70"/>
      <c r="AC61" s="79"/>
      <c r="AD61" s="120"/>
      <c r="AE61" s="12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70"/>
      <c r="N74" s="70"/>
      <c r="O74" s="70"/>
      <c r="P74" s="120"/>
      <c r="R74" s="70"/>
      <c r="S74" s="70"/>
      <c r="T74" s="70"/>
      <c r="U74" s="70"/>
      <c r="V74" s="70"/>
      <c r="W74" s="120"/>
      <c r="X74" s="120"/>
      <c r="Y74" s="70"/>
      <c r="Z74" s="70"/>
      <c r="AA74" s="70"/>
      <c r="AB74" s="70"/>
      <c r="AC74" s="79"/>
      <c r="AD74" s="120"/>
      <c r="AE74" s="120"/>
      <c r="AF74" s="70"/>
      <c r="AG74" s="7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26"/>
      <c r="J76" s="126"/>
      <c r="K76" s="100"/>
      <c r="L76" s="92"/>
      <c r="M76" s="92"/>
      <c r="N76" s="100"/>
      <c r="O76" s="100"/>
      <c r="P76" s="126"/>
      <c r="Q76" s="126"/>
      <c r="R76" s="100"/>
      <c r="S76" s="92"/>
      <c r="T76" s="92"/>
      <c r="U76" s="100"/>
      <c r="V76" s="100"/>
      <c r="W76" s="126"/>
      <c r="X76" s="126"/>
      <c r="Y76" s="100"/>
      <c r="Z76" s="92"/>
      <c r="AA76" s="92"/>
      <c r="AB76" s="100"/>
      <c r="AC76" s="99"/>
      <c r="AD76" s="126"/>
      <c r="AE76" s="126"/>
      <c r="AF76" s="100"/>
      <c r="AG76" s="92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12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12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79"/>
      <c r="AD83" s="120"/>
      <c r="AF83" s="70"/>
      <c r="AG83" s="7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12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124"/>
      <c r="J87" s="124"/>
      <c r="K87" s="92"/>
      <c r="L87" s="92"/>
      <c r="M87" s="92"/>
      <c r="N87" s="92"/>
      <c r="O87" s="92"/>
      <c r="P87" s="124"/>
      <c r="Q87" s="124"/>
      <c r="R87" s="92"/>
      <c r="S87" s="92"/>
      <c r="T87" s="92"/>
      <c r="U87" s="92"/>
      <c r="V87" s="73"/>
      <c r="W87" s="124"/>
      <c r="X87" s="124"/>
      <c r="Y87" s="73"/>
      <c r="Z87" s="92"/>
      <c r="AA87" s="92"/>
      <c r="AB87" s="92"/>
      <c r="AC87" s="93"/>
      <c r="AD87" s="124"/>
      <c r="AE87" s="124"/>
      <c r="AF87" s="92"/>
      <c r="AG87" s="92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8"/>
      <c r="J88" s="68"/>
      <c r="K88" s="64"/>
      <c r="L88" s="64"/>
      <c r="M88" s="64"/>
      <c r="N88" s="64"/>
      <c r="O88" s="64"/>
      <c r="P88" s="68"/>
      <c r="Q88" s="68"/>
      <c r="R88" s="64"/>
      <c r="S88" s="64"/>
      <c r="T88" s="64"/>
      <c r="U88" s="64"/>
      <c r="V88" s="64"/>
      <c r="W88" s="125"/>
      <c r="X88" s="125"/>
      <c r="Y88" s="64"/>
      <c r="Z88" s="64"/>
      <c r="AA88"/>
      <c r="AB88" s="64"/>
      <c r="AC88" s="65"/>
      <c r="AD88" s="68"/>
      <c r="AE88" s="68"/>
      <c r="AF88" s="64"/>
      <c r="AG88" s="64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120"/>
      <c r="J89" s="120"/>
      <c r="K89" s="70"/>
      <c r="L89" s="70"/>
      <c r="M89" s="70"/>
      <c r="N89" s="70"/>
      <c r="O89" s="64"/>
      <c r="P89" s="120"/>
      <c r="Q89" s="120"/>
      <c r="R89" s="70"/>
      <c r="S89" s="70"/>
      <c r="T89" s="70"/>
      <c r="U89" s="64"/>
      <c r="V89" s="64"/>
      <c r="W89" s="68"/>
      <c r="X89" s="68"/>
      <c r="Y89" s="70"/>
      <c r="Z89" s="70"/>
      <c r="AA89" s="70"/>
      <c r="AB89" s="70"/>
      <c r="AC89" s="65"/>
      <c r="AD89" s="120"/>
      <c r="AE89" s="68"/>
      <c r="AF89" s="70"/>
      <c r="AG89" s="7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120"/>
      <c r="J90" s="120"/>
      <c r="K90" s="70"/>
      <c r="L90" s="70"/>
      <c r="M90" s="70"/>
      <c r="N90" s="70"/>
      <c r="O90" s="70"/>
      <c r="P90" s="120"/>
      <c r="Q90" s="120"/>
      <c r="R90" s="70"/>
      <c r="S90" s="70"/>
      <c r="T90" s="70"/>
      <c r="U90" s="70"/>
      <c r="V90" s="70"/>
      <c r="W90" s="120"/>
      <c r="X90" s="120"/>
      <c r="Y90" s="70"/>
      <c r="Z90" s="70"/>
      <c r="AA90" s="70"/>
      <c r="AB90" s="70"/>
      <c r="AC90" s="79"/>
      <c r="AD90" s="120"/>
      <c r="AE90" s="120"/>
      <c r="AF90" s="70"/>
      <c r="AG90" s="7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120"/>
      <c r="J91" s="120"/>
      <c r="K91" s="70"/>
      <c r="L91" s="70"/>
      <c r="M91" s="70"/>
      <c r="N91" s="70"/>
      <c r="O91" s="70"/>
      <c r="P91" s="120"/>
      <c r="Q91" s="120"/>
      <c r="R91" s="70"/>
      <c r="S91" s="70"/>
      <c r="T91" s="70"/>
      <c r="U91" s="70"/>
      <c r="V91" s="70"/>
      <c r="W91" s="120"/>
      <c r="X91" s="120"/>
      <c r="Y91" s="70"/>
      <c r="Z91" s="70"/>
      <c r="AA91" s="70"/>
      <c r="AB91" s="70"/>
      <c r="AC91" s="79"/>
      <c r="AD91" s="120"/>
      <c r="AE91" s="120"/>
      <c r="AF91" s="70"/>
      <c r="AG91" s="7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120"/>
      <c r="J92" s="120"/>
      <c r="K92" s="70"/>
      <c r="L92" s="70"/>
      <c r="M92" s="70"/>
      <c r="N92" s="70"/>
      <c r="O92" s="70"/>
      <c r="P92" s="120"/>
      <c r="Q92" s="120"/>
      <c r="R92" s="70"/>
      <c r="S92" s="70"/>
      <c r="T92" s="70"/>
      <c r="U92" s="70"/>
      <c r="V92" s="70"/>
      <c r="W92" s="120"/>
      <c r="X92" s="120"/>
      <c r="Y92" s="70"/>
      <c r="Z92" s="70"/>
      <c r="AA92" s="70"/>
      <c r="AB92" s="70"/>
      <c r="AC92" s="79"/>
      <c r="AD92" s="120"/>
      <c r="AE92" s="120"/>
      <c r="AF92" s="70"/>
      <c r="AG92" s="7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120"/>
      <c r="J93" s="120"/>
      <c r="K93" s="70"/>
      <c r="L93" s="70"/>
      <c r="M93" s="70"/>
      <c r="N93" s="70"/>
      <c r="O93" s="70"/>
      <c r="P93" s="120"/>
      <c r="Q93" s="120"/>
      <c r="R93" s="70"/>
      <c r="S93" s="70"/>
      <c r="T93" s="70"/>
      <c r="U93" s="70"/>
      <c r="V93" s="70"/>
      <c r="W93" s="120"/>
      <c r="X93" s="120"/>
      <c r="Y93" s="70"/>
      <c r="Z93" s="70"/>
      <c r="AA93" s="70"/>
      <c r="AB93" s="70"/>
      <c r="AC93" s="79"/>
      <c r="AD93" s="120"/>
      <c r="AE93" s="120"/>
      <c r="AF93" s="70"/>
      <c r="AG93" s="7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120"/>
      <c r="J94" s="120"/>
      <c r="K94" s="70"/>
      <c r="L94" s="70"/>
      <c r="M94" s="70"/>
      <c r="N94" s="70"/>
      <c r="O94" s="70"/>
      <c r="P94" s="120"/>
      <c r="Q94" s="120"/>
      <c r="R94" s="70"/>
      <c r="S94" s="70"/>
      <c r="T94" s="70"/>
      <c r="U94" s="70"/>
      <c r="V94" s="70"/>
      <c r="W94" s="120"/>
      <c r="X94" s="120"/>
      <c r="Y94" s="70"/>
      <c r="Z94" s="70"/>
      <c r="AA94" s="70"/>
      <c r="AB94" s="70"/>
      <c r="AC94" s="79"/>
      <c r="AD94" s="120"/>
      <c r="AE94" s="120"/>
      <c r="AF94" s="70"/>
      <c r="AG94" s="7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120"/>
      <c r="J95" s="120"/>
      <c r="K95" s="70"/>
      <c r="L95" s="70"/>
      <c r="M95" s="70"/>
      <c r="N95" s="70"/>
      <c r="O95" s="70"/>
      <c r="P95" s="120"/>
      <c r="Q95" s="120"/>
      <c r="R95" s="70"/>
      <c r="S95" s="70"/>
      <c r="T95" s="70"/>
      <c r="U95" s="70"/>
      <c r="V95" s="70"/>
      <c r="W95" s="120"/>
      <c r="X95" s="120"/>
      <c r="Y95" s="70"/>
      <c r="Z95" s="70"/>
      <c r="AA95" s="70"/>
      <c r="AB95" s="70"/>
      <c r="AC95" s="79"/>
      <c r="AD95" s="120"/>
      <c r="AE95" s="120"/>
      <c r="AF95" s="70"/>
      <c r="AG95" s="7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8"/>
      <c r="J105" s="68"/>
      <c r="K105" s="64"/>
      <c r="L105" s="64"/>
      <c r="M105" s="64"/>
      <c r="N105" s="64"/>
      <c r="O105" s="64"/>
      <c r="P105" s="68"/>
      <c r="Q105" s="68"/>
      <c r="R105" s="64"/>
      <c r="S105" s="64"/>
      <c r="T105" s="64"/>
      <c r="U105" s="64"/>
      <c r="V105" s="64"/>
      <c r="W105" s="68"/>
      <c r="X105" s="68"/>
      <c r="Y105" s="64"/>
      <c r="Z105" s="64"/>
      <c r="AA105" s="64"/>
      <c r="AB105" s="64"/>
      <c r="AC105" s="65"/>
      <c r="AD105" s="68"/>
      <c r="AE105" s="68"/>
      <c r="AF105" s="64"/>
      <c r="AG105" s="64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8"/>
      <c r="J106" s="68"/>
      <c r="K106" s="64"/>
      <c r="L106" s="64"/>
      <c r="M106" s="64"/>
      <c r="N106" s="64"/>
      <c r="O106" s="64"/>
      <c r="P106" s="68"/>
      <c r="Q106" s="68"/>
      <c r="R106" s="64"/>
      <c r="S106" s="64"/>
      <c r="T106" s="64"/>
      <c r="U106" s="64"/>
      <c r="V106" s="64"/>
      <c r="W106" s="68"/>
      <c r="X106" s="68"/>
      <c r="Y106" s="64"/>
      <c r="Z106" s="64"/>
      <c r="AA106" s="64"/>
      <c r="AB106" s="64"/>
      <c r="AC106" s="65"/>
      <c r="AD106" s="68"/>
      <c r="AE106" s="68"/>
      <c r="AF106" s="64"/>
      <c r="AG106" s="64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8"/>
      <c r="J107" s="68"/>
      <c r="K107" s="64"/>
      <c r="L107" s="64"/>
      <c r="M107" s="64"/>
      <c r="N107" s="64"/>
      <c r="O107" s="64"/>
      <c r="P107" s="68"/>
      <c r="Q107" s="68"/>
      <c r="R107" s="64"/>
      <c r="S107" s="64"/>
      <c r="T107" s="64"/>
      <c r="U107" s="64"/>
      <c r="V107" s="64"/>
      <c r="W107" s="68"/>
      <c r="X107" s="68"/>
      <c r="Y107" s="64"/>
      <c r="Z107" s="64"/>
      <c r="AA107" s="64"/>
      <c r="AB107" s="64"/>
      <c r="AC107" s="65"/>
      <c r="AD107" s="68"/>
      <c r="AE107" s="68"/>
      <c r="AF107" s="64"/>
      <c r="AG107" s="64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8"/>
      <c r="J108" s="68"/>
      <c r="K108" s="64"/>
      <c r="L108" s="64"/>
      <c r="M108" s="64"/>
      <c r="N108" s="64"/>
      <c r="O108" s="64"/>
      <c r="P108" s="68"/>
      <c r="Q108" s="68"/>
      <c r="R108" s="64"/>
      <c r="S108" s="64"/>
      <c r="T108" s="64"/>
      <c r="U108" s="64"/>
      <c r="V108" s="64"/>
      <c r="W108" s="68"/>
      <c r="X108" s="68"/>
      <c r="Y108" s="64"/>
      <c r="Z108" s="64"/>
      <c r="AA108" s="64"/>
      <c r="AB108" s="64"/>
      <c r="AC108" s="65"/>
      <c r="AD108" s="68"/>
      <c r="AE108" s="68"/>
      <c r="AF108" s="64"/>
      <c r="AG108" s="64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8"/>
      <c r="J109" s="68"/>
      <c r="K109" s="64"/>
      <c r="L109" s="64"/>
      <c r="M109" s="64"/>
      <c r="N109" s="64"/>
      <c r="O109" s="64"/>
      <c r="P109" s="68"/>
      <c r="Q109" s="68"/>
      <c r="R109" s="64"/>
      <c r="S109" s="64"/>
      <c r="T109" s="64"/>
      <c r="U109" s="64"/>
      <c r="V109" s="64"/>
      <c r="W109" s="68"/>
      <c r="X109" s="68"/>
      <c r="Y109" s="64"/>
      <c r="Z109" s="64"/>
      <c r="AA109" s="64"/>
      <c r="AB109" s="64"/>
      <c r="AC109" s="65"/>
      <c r="AD109" s="68"/>
      <c r="AE109" s="68"/>
      <c r="AF109" s="64"/>
      <c r="AG109" s="64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8"/>
      <c r="J110" s="68"/>
      <c r="K110" s="64"/>
      <c r="L110" s="64"/>
      <c r="M110" s="64"/>
      <c r="N110" s="64"/>
      <c r="O110" s="64"/>
      <c r="P110" s="68"/>
      <c r="Q110" s="68"/>
      <c r="R110" s="64"/>
      <c r="S110" s="64"/>
      <c r="T110" s="64"/>
      <c r="U110" s="64"/>
      <c r="V110" s="64"/>
      <c r="W110" s="68"/>
      <c r="X110" s="68"/>
      <c r="Y110" s="64"/>
      <c r="Z110" s="64"/>
      <c r="AA110" s="64"/>
      <c r="AB110" s="64"/>
      <c r="AC110" s="65"/>
      <c r="AD110" s="68"/>
      <c r="AE110" s="68"/>
      <c r="AF110" s="64"/>
      <c r="AG110" s="64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8"/>
      <c r="J111" s="68"/>
      <c r="K111" s="64"/>
      <c r="L111" s="64"/>
      <c r="M111" s="64"/>
      <c r="N111" s="64"/>
      <c r="O111" s="64"/>
      <c r="P111" s="68"/>
      <c r="Q111" s="68"/>
      <c r="R111" s="64"/>
      <c r="S111" s="64"/>
      <c r="T111" s="64"/>
      <c r="U111" s="64"/>
      <c r="V111" s="64"/>
      <c r="W111" s="68"/>
      <c r="X111" s="68"/>
      <c r="Y111" s="64"/>
      <c r="Z111" s="64"/>
      <c r="AA111" s="64"/>
      <c r="AB111" s="64"/>
      <c r="AC111" s="65"/>
      <c r="AD111" s="68"/>
      <c r="AE111" s="68"/>
      <c r="AF111" s="64"/>
      <c r="AG111" s="64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8"/>
      <c r="J112" s="68"/>
      <c r="K112" s="64"/>
      <c r="L112" s="64"/>
      <c r="M112" s="64"/>
      <c r="N112" s="64"/>
      <c r="O112" s="64"/>
      <c r="P112" s="68"/>
      <c r="Q112" s="68"/>
      <c r="R112" s="64"/>
      <c r="S112" s="64"/>
      <c r="T112" s="64"/>
      <c r="U112" s="64"/>
      <c r="V112" s="64"/>
      <c r="W112" s="68"/>
      <c r="X112" s="68"/>
      <c r="Y112" s="64"/>
      <c r="Z112" s="64"/>
      <c r="AA112" s="64"/>
      <c r="AB112" s="64"/>
      <c r="AC112" s="65"/>
      <c r="AD112" s="68"/>
      <c r="AE112" s="68"/>
      <c r="AF112" s="64"/>
      <c r="AG112" s="64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8"/>
      <c r="J113" s="68"/>
      <c r="K113" s="64"/>
      <c r="L113" s="64"/>
      <c r="M113" s="64"/>
      <c r="N113" s="64"/>
      <c r="O113" s="64"/>
      <c r="P113" s="68"/>
      <c r="Q113" s="68"/>
      <c r="R113" s="64"/>
      <c r="S113" s="64"/>
      <c r="T113" s="64"/>
      <c r="U113" s="64"/>
      <c r="V113" s="64"/>
      <c r="W113" s="68"/>
      <c r="X113" s="68"/>
      <c r="Y113" s="64"/>
      <c r="Z113" s="64"/>
      <c r="AA113" s="64"/>
      <c r="AB113" s="64"/>
      <c r="AC113" s="65"/>
      <c r="AD113" s="68"/>
      <c r="AE113" s="68"/>
      <c r="AF113" s="64"/>
      <c r="AG113" s="64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8"/>
      <c r="J114" s="68"/>
      <c r="K114" s="64"/>
      <c r="L114" s="64"/>
      <c r="M114" s="64"/>
      <c r="N114" s="64"/>
      <c r="O114" s="64"/>
      <c r="P114" s="68"/>
      <c r="Q114" s="68"/>
      <c r="R114" s="64"/>
      <c r="S114" s="64"/>
      <c r="T114" s="64"/>
      <c r="U114" s="64"/>
      <c r="V114" s="64"/>
      <c r="W114" s="68"/>
      <c r="X114" s="68"/>
      <c r="Y114" s="64"/>
      <c r="Z114" s="64"/>
      <c r="AA114" s="64"/>
      <c r="AB114" s="64"/>
      <c r="AC114" s="65"/>
      <c r="AD114" s="68"/>
      <c r="AE114" s="68"/>
      <c r="AF114" s="64"/>
      <c r="AG114" s="64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8"/>
      <c r="J115" s="68"/>
      <c r="K115" s="64"/>
      <c r="L115" s="64"/>
      <c r="M115" s="64"/>
      <c r="N115" s="64"/>
      <c r="O115" s="64"/>
      <c r="P115" s="68"/>
      <c r="Q115" s="68"/>
      <c r="R115" s="64"/>
      <c r="S115" s="64"/>
      <c r="T115" s="64"/>
      <c r="U115" s="64"/>
      <c r="V115" s="64"/>
      <c r="W115" s="68"/>
      <c r="X115" s="68"/>
      <c r="Y115" s="64"/>
      <c r="Z115" s="64"/>
      <c r="AA115" s="64"/>
      <c r="AB115" s="64"/>
      <c r="AC115" s="65"/>
      <c r="AD115" s="68"/>
      <c r="AE115" s="68"/>
      <c r="AF115" s="64"/>
      <c r="AG115" s="64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8"/>
      <c r="J116" s="68"/>
      <c r="K116" s="64"/>
      <c r="L116" s="64"/>
      <c r="M116" s="64"/>
      <c r="N116" s="64"/>
      <c r="O116" s="64"/>
      <c r="P116" s="68"/>
      <c r="Q116" s="68"/>
      <c r="R116" s="64"/>
      <c r="S116" s="64"/>
      <c r="T116" s="64"/>
      <c r="U116" s="64"/>
      <c r="V116" s="64"/>
      <c r="W116" s="68"/>
      <c r="X116" s="68"/>
      <c r="Y116" s="64"/>
      <c r="Z116" s="64"/>
      <c r="AA116" s="64"/>
      <c r="AB116" s="64"/>
      <c r="AC116" s="65"/>
      <c r="AD116" s="68"/>
      <c r="AE116" s="68"/>
      <c r="AF116" s="64"/>
      <c r="AG116" s="64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124"/>
      <c r="J117" s="124"/>
      <c r="K117" s="92"/>
      <c r="L117" s="92"/>
      <c r="M117" s="92"/>
      <c r="N117" s="92"/>
      <c r="O117" s="92"/>
      <c r="P117" s="124"/>
      <c r="Q117" s="124"/>
      <c r="R117" s="92"/>
      <c r="S117" s="92"/>
      <c r="T117" s="92"/>
      <c r="U117" s="92"/>
      <c r="V117" s="92"/>
      <c r="W117" s="124"/>
      <c r="X117" s="124"/>
      <c r="Y117" s="92"/>
      <c r="Z117" s="92"/>
      <c r="AA117" s="92"/>
      <c r="AB117" s="92"/>
      <c r="AC117" s="93"/>
      <c r="AD117" s="124"/>
      <c r="AE117" s="124"/>
      <c r="AF117" s="92"/>
      <c r="AG117" s="92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79"/>
      <c r="AD118" s="120"/>
      <c r="AF118" s="70"/>
      <c r="AG118" s="7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23"/>
      <c r="S119" s="156"/>
      <c r="AE119" s="12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8"/>
      <c r="J122" s="68"/>
      <c r="K122" s="64"/>
      <c r="L122" s="64"/>
      <c r="M122" s="64"/>
      <c r="N122" s="64"/>
      <c r="O122" s="64"/>
      <c r="P122" s="68"/>
      <c r="Q122" s="122"/>
      <c r="R122" s="70"/>
      <c r="S122" s="64"/>
      <c r="T122" s="64"/>
      <c r="U122" s="70"/>
      <c r="V122" s="64"/>
      <c r="W122" s="68"/>
      <c r="X122" s="68"/>
      <c r="Y122" s="64"/>
      <c r="Z122" s="64"/>
      <c r="AA122" s="64"/>
      <c r="AB122" s="64"/>
      <c r="AC122" s="118"/>
      <c r="AD122" s="68"/>
      <c r="AE122" s="68"/>
      <c r="AF122" s="64"/>
      <c r="AG122" s="64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120"/>
      <c r="S125" s="70"/>
      <c r="W125" s="12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8"/>
      <c r="J126" s="68"/>
      <c r="K126" s="64"/>
      <c r="L126" s="64"/>
      <c r="M126" s="70"/>
      <c r="N126" s="64"/>
      <c r="O126" s="64"/>
      <c r="P126" s="68"/>
      <c r="Q126" s="120"/>
      <c r="R126" s="64"/>
      <c r="S126" s="70"/>
      <c r="T126" s="64"/>
      <c r="U126" s="64"/>
      <c r="V126" s="64"/>
      <c r="W126" s="120"/>
      <c r="X126" s="68"/>
      <c r="Y126" s="64"/>
      <c r="Z126" s="64"/>
      <c r="AA126" s="64"/>
      <c r="AB126" s="64"/>
      <c r="AC126" s="65"/>
      <c r="AD126" s="68"/>
      <c r="AE126" s="68"/>
      <c r="AF126" s="64"/>
      <c r="AG126" s="64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120"/>
      <c r="J128" s="120"/>
      <c r="M128" s="70"/>
      <c r="N128" s="70"/>
      <c r="O128" s="70"/>
      <c r="P128" s="120"/>
      <c r="Q128" s="120"/>
      <c r="R128" s="70"/>
      <c r="S128" s="70"/>
      <c r="T128" s="70"/>
      <c r="V128" s="70"/>
      <c r="W128" s="120"/>
      <c r="X128" s="120"/>
      <c r="Z128" s="70"/>
      <c r="AA128" s="70"/>
      <c r="AB128" s="70"/>
      <c r="AC128" s="79"/>
      <c r="AD128" s="120"/>
      <c r="AE128" s="120"/>
      <c r="AF128" s="70"/>
      <c r="AG128" s="7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120"/>
      <c r="J134" s="120"/>
      <c r="M134" s="70"/>
      <c r="N134" s="70"/>
      <c r="O134" s="70"/>
      <c r="P134" s="120"/>
      <c r="Q134" s="120"/>
      <c r="R134" s="70"/>
      <c r="T134" s="70"/>
      <c r="U134" s="70"/>
      <c r="V134" s="70"/>
      <c r="Y134" s="70"/>
      <c r="Z134" s="70"/>
      <c r="AA134" s="70"/>
      <c r="AB134" s="70"/>
      <c r="AC134" s="79"/>
      <c r="AD134" s="12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9"/>
      <c r="AD135" s="120"/>
      <c r="AF135" s="7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121"/>
      <c r="J136" s="121"/>
      <c r="K136" s="73"/>
      <c r="L136" s="73"/>
      <c r="M136" s="73"/>
      <c r="N136" s="73"/>
      <c r="O136" s="73"/>
      <c r="P136" s="121"/>
      <c r="Q136" s="121"/>
      <c r="R136" s="73"/>
      <c r="S136" s="73"/>
      <c r="T136" s="73"/>
      <c r="U136" s="73"/>
      <c r="V136" s="73"/>
      <c r="W136" s="121"/>
      <c r="X136" s="121"/>
      <c r="Y136" s="73"/>
      <c r="Z136" s="73"/>
      <c r="AA136" s="73"/>
      <c r="AB136" s="73"/>
      <c r="AC136" s="74"/>
      <c r="AD136" s="121"/>
      <c r="AE136" s="121"/>
      <c r="AF136" s="73"/>
      <c r="AG136" s="73"/>
      <c r="AH136" s="73"/>
      <c r="AI136" s="73"/>
      <c r="AJ136" s="73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120"/>
      <c r="J137" s="120"/>
      <c r="K137" s="70"/>
      <c r="L137" s="70"/>
      <c r="M137" s="70"/>
      <c r="N137" s="70"/>
      <c r="O137" s="70"/>
      <c r="P137" s="120"/>
      <c r="Q137" s="120"/>
      <c r="R137" s="70"/>
      <c r="S137" s="70"/>
      <c r="T137" s="70"/>
      <c r="U137" s="70"/>
      <c r="V137" s="70"/>
      <c r="W137" s="120"/>
      <c r="X137" s="120"/>
      <c r="Y137" s="70"/>
      <c r="Z137" s="70"/>
      <c r="AA137" s="70"/>
      <c r="AB137" s="70"/>
      <c r="AC137" s="79"/>
      <c r="AD137" s="68"/>
      <c r="AE137" s="68"/>
      <c r="AF137" s="64"/>
      <c r="AG137" s="64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8"/>
      <c r="J138" s="68"/>
      <c r="K138" s="64"/>
      <c r="L138" s="64"/>
      <c r="M138" s="64"/>
      <c r="N138" s="64"/>
      <c r="O138" s="64"/>
      <c r="P138" s="68"/>
      <c r="Q138" s="68"/>
      <c r="R138" s="64"/>
      <c r="S138" s="64"/>
      <c r="T138" s="64"/>
      <c r="U138" s="64"/>
      <c r="V138" s="64"/>
      <c r="W138" s="68"/>
      <c r="X138" s="68"/>
      <c r="Y138" s="64"/>
      <c r="Z138" s="64"/>
      <c r="AA138" s="64"/>
      <c r="AB138" s="64"/>
      <c r="AC138" s="65"/>
      <c r="AD138" s="68"/>
      <c r="AE138" s="68"/>
      <c r="AF138" s="64"/>
      <c r="AG138" s="64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K146" s="64"/>
      <c r="L146" s="64"/>
      <c r="M146" s="64"/>
      <c r="N146" s="64"/>
      <c r="O146" s="64"/>
      <c r="R146" s="64"/>
      <c r="S146" s="64"/>
      <c r="T146" s="64"/>
      <c r="U146" s="64"/>
      <c r="V146" s="64"/>
      <c r="Y146" s="64"/>
      <c r="Z146" s="64"/>
      <c r="AA146" s="64"/>
      <c r="AB146" s="64"/>
      <c r="AC146" s="65"/>
      <c r="AF146" s="64"/>
      <c r="AG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K147" s="64"/>
      <c r="L147" s="64"/>
      <c r="M147" s="64"/>
      <c r="N147" s="64"/>
      <c r="O147" s="64"/>
      <c r="R147" s="64"/>
      <c r="S147" s="64"/>
      <c r="T147" s="64"/>
      <c r="U147" s="64"/>
      <c r="V147" s="64"/>
      <c r="Y147" s="64"/>
      <c r="Z147" s="64"/>
      <c r="AA147" s="64"/>
      <c r="AB147" s="64"/>
      <c r="AC147" s="65"/>
      <c r="AF147" s="64"/>
      <c r="AG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K148" s="64"/>
      <c r="L148" s="64"/>
      <c r="M148" s="64"/>
      <c r="N148" s="64"/>
      <c r="O148" s="64"/>
      <c r="R148" s="64"/>
      <c r="S148" s="64"/>
      <c r="T148" s="64"/>
      <c r="U148" s="64"/>
      <c r="V148" s="64"/>
      <c r="Y148" s="64"/>
      <c r="Z148" s="64"/>
      <c r="AA148" s="64"/>
      <c r="AB148" s="64"/>
      <c r="AC148" s="65"/>
      <c r="AF148" s="64"/>
      <c r="AG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K149" s="64"/>
      <c r="L149" s="64"/>
      <c r="M149" s="64"/>
      <c r="N149" s="64"/>
      <c r="O149" s="64"/>
      <c r="R149" s="64"/>
      <c r="S149" s="64"/>
      <c r="T149" s="64"/>
      <c r="U149" s="64"/>
      <c r="V149" s="64"/>
      <c r="Y149" s="64"/>
      <c r="Z149" s="64"/>
      <c r="AA149" s="64"/>
      <c r="AB149" s="64"/>
      <c r="AC149" s="65"/>
      <c r="AF149" s="64"/>
      <c r="AG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K150" s="64"/>
      <c r="L150" s="64"/>
      <c r="M150" s="64"/>
      <c r="N150" s="64"/>
      <c r="O150" s="64"/>
      <c r="R150" s="64"/>
      <c r="S150" s="64"/>
      <c r="T150" s="64"/>
      <c r="U150" s="64"/>
      <c r="V150" s="64"/>
      <c r="Y150" s="64"/>
      <c r="Z150" s="64"/>
      <c r="AA150" s="64"/>
      <c r="AB150" s="64"/>
      <c r="AC150" s="65"/>
      <c r="AF150" s="64"/>
      <c r="AG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K151" s="64"/>
      <c r="L151" s="64"/>
      <c r="M151" s="64"/>
      <c r="N151" s="64"/>
      <c r="O151" s="64"/>
      <c r="R151" s="64"/>
      <c r="S151" s="64"/>
      <c r="T151" s="64"/>
      <c r="U151" s="64"/>
      <c r="V151" s="64"/>
      <c r="Y151" s="64"/>
      <c r="Z151" s="64"/>
      <c r="AA151" s="64"/>
      <c r="AB151" s="64"/>
      <c r="AC151" s="65"/>
      <c r="AF151" s="64"/>
      <c r="AG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K152" s="64"/>
      <c r="L152" s="64"/>
      <c r="M152" s="64"/>
      <c r="N152" s="64"/>
      <c r="O152" s="64"/>
      <c r="R152" s="64"/>
      <c r="S152" s="64"/>
      <c r="T152" s="64"/>
      <c r="U152" s="64"/>
      <c r="V152" s="64"/>
      <c r="Y152" s="64"/>
      <c r="Z152" s="64"/>
      <c r="AA152" s="64"/>
      <c r="AB152" s="64"/>
      <c r="AC152" s="65"/>
      <c r="AF152" s="64"/>
      <c r="AG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K153" s="64"/>
      <c r="L153" s="64"/>
      <c r="M153" s="64"/>
      <c r="N153" s="64"/>
      <c r="O153" s="64"/>
      <c r="R153" s="64"/>
      <c r="S153" s="64"/>
      <c r="T153" s="64"/>
      <c r="U153" s="64"/>
      <c r="V153" s="64"/>
      <c r="Y153" s="64"/>
      <c r="Z153" s="64"/>
      <c r="AA153" s="64"/>
      <c r="AB153" s="64"/>
      <c r="AC153" s="65"/>
      <c r="AF153" s="64"/>
      <c r="AG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K154" s="64"/>
      <c r="L154" s="64"/>
      <c r="M154" s="64"/>
      <c r="N154" s="64"/>
      <c r="O154" s="64"/>
      <c r="R154" s="64"/>
      <c r="S154" s="64"/>
      <c r="T154" s="64"/>
      <c r="U154" s="64"/>
      <c r="V154" s="64"/>
      <c r="Y154" s="64"/>
      <c r="Z154" s="64"/>
      <c r="AA154" s="64"/>
      <c r="AB154" s="64"/>
      <c r="AC154" s="65"/>
      <c r="AF154" s="64"/>
      <c r="AG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K155" s="64"/>
      <c r="L155" s="64"/>
      <c r="M155" s="64"/>
      <c r="N155" s="64"/>
      <c r="O155" s="64"/>
      <c r="R155" s="64"/>
      <c r="S155" s="64"/>
      <c r="T155" s="64"/>
      <c r="U155" s="64"/>
      <c r="V155" s="64"/>
      <c r="Y155" s="64"/>
      <c r="Z155" s="64"/>
      <c r="AA155" s="64"/>
      <c r="AB155" s="64"/>
      <c r="AC155" s="65"/>
      <c r="AF155" s="64"/>
      <c r="AG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K156" s="64"/>
      <c r="L156" s="64"/>
      <c r="M156" s="64"/>
      <c r="N156" s="64"/>
      <c r="O156" s="64"/>
      <c r="R156" s="64"/>
      <c r="S156" s="64"/>
      <c r="T156" s="64"/>
      <c r="U156" s="64"/>
      <c r="V156" s="64"/>
      <c r="Y156" s="64"/>
      <c r="Z156" s="64"/>
      <c r="AA156" s="64"/>
      <c r="AB156" s="64"/>
      <c r="AC156" s="65"/>
      <c r="AF156" s="64"/>
      <c r="AG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K157" s="64"/>
      <c r="L157" s="64"/>
      <c r="M157" s="64"/>
      <c r="N157" s="64"/>
      <c r="O157" s="64"/>
      <c r="R157" s="64"/>
      <c r="S157" s="64"/>
      <c r="T157" s="64"/>
      <c r="U157" s="64"/>
      <c r="V157" s="64"/>
      <c r="Y157" s="64"/>
      <c r="Z157" s="64"/>
      <c r="AA157" s="64"/>
      <c r="AB157" s="64"/>
      <c r="AC157" s="65"/>
      <c r="AF157" s="64"/>
      <c r="AG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K158" s="64"/>
      <c r="L158" s="64"/>
      <c r="M158" s="64"/>
      <c r="N158" s="64"/>
      <c r="O158" s="64"/>
      <c r="R158" s="64"/>
      <c r="S158" s="64"/>
      <c r="T158" s="64"/>
      <c r="U158" s="64"/>
      <c r="V158" s="64"/>
      <c r="Y158" s="64"/>
      <c r="Z158" s="64"/>
      <c r="AA158" s="64"/>
      <c r="AB158" s="64"/>
      <c r="AC158" s="65"/>
      <c r="AF158" s="64"/>
      <c r="AG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K159" s="64"/>
      <c r="L159" s="64"/>
      <c r="M159" s="64"/>
      <c r="N159" s="64"/>
      <c r="O159" s="64"/>
      <c r="R159" s="64"/>
      <c r="S159" s="64"/>
      <c r="T159" s="64"/>
      <c r="U159" s="64"/>
      <c r="V159" s="64"/>
      <c r="Y159" s="64"/>
      <c r="Z159" s="64"/>
      <c r="AA159" s="64"/>
      <c r="AB159" s="64"/>
      <c r="AC159" s="65"/>
      <c r="AF159" s="64"/>
      <c r="AG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K160" s="64"/>
      <c r="L160" s="64"/>
      <c r="M160" s="64"/>
      <c r="N160" s="64"/>
      <c r="O160" s="64"/>
      <c r="R160" s="64"/>
      <c r="S160" s="64"/>
      <c r="T160" s="64"/>
      <c r="U160" s="64"/>
      <c r="V160" s="64"/>
      <c r="Y160" s="64"/>
      <c r="Z160" s="64"/>
      <c r="AA160" s="64"/>
      <c r="AB160" s="64"/>
      <c r="AC160" s="65"/>
      <c r="AF160" s="64"/>
      <c r="AG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K161" s="64"/>
      <c r="L161" s="64"/>
      <c r="M161" s="64"/>
      <c r="N161" s="64"/>
      <c r="O161" s="64"/>
      <c r="R161" s="64"/>
      <c r="S161" s="64"/>
      <c r="T161" s="64"/>
      <c r="U161" s="64"/>
      <c r="V161" s="64"/>
      <c r="Y161" s="64"/>
      <c r="Z161" s="64"/>
      <c r="AA161" s="64"/>
      <c r="AB161" s="64"/>
      <c r="AC161" s="65"/>
      <c r="AF161" s="64"/>
      <c r="AG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K162" s="64"/>
      <c r="L162" s="64"/>
      <c r="M162" s="64"/>
      <c r="N162" s="64"/>
      <c r="O162" s="64"/>
      <c r="R162" s="64"/>
      <c r="S162" s="64"/>
      <c r="T162" s="64"/>
      <c r="U162" s="64"/>
      <c r="V162" s="64"/>
      <c r="Y162" s="64"/>
      <c r="Z162" s="64"/>
      <c r="AA162" s="64"/>
      <c r="AB162" s="64"/>
      <c r="AC162" s="65"/>
      <c r="AF162" s="64"/>
      <c r="AG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K163" s="64"/>
      <c r="L163" s="64"/>
      <c r="M163" s="64"/>
      <c r="N163" s="64"/>
      <c r="O163" s="64"/>
      <c r="R163" s="64"/>
      <c r="S163" s="64"/>
      <c r="T163" s="64"/>
      <c r="U163" s="64"/>
      <c r="V163" s="64"/>
      <c r="Y163" s="64"/>
      <c r="Z163" s="64"/>
      <c r="AA163" s="64"/>
      <c r="AB163" s="64"/>
      <c r="AC163" s="65"/>
      <c r="AF163" s="64"/>
      <c r="AG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K164" s="64"/>
      <c r="L164" s="64"/>
      <c r="M164" s="64"/>
      <c r="N164" s="64"/>
      <c r="O164" s="64"/>
      <c r="R164" s="64"/>
      <c r="S164" s="64"/>
      <c r="T164" s="64"/>
      <c r="U164" s="64"/>
      <c r="V164" s="64"/>
      <c r="Y164" s="64"/>
      <c r="Z164" s="64"/>
      <c r="AA164" s="64"/>
      <c r="AB164" s="64"/>
      <c r="AC164" s="65"/>
      <c r="AF164" s="64"/>
      <c r="AG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K165" s="64"/>
      <c r="L165" s="64"/>
      <c r="M165" s="64"/>
      <c r="N165" s="64"/>
      <c r="O165" s="64"/>
      <c r="R165" s="64"/>
      <c r="S165" s="64"/>
      <c r="T165" s="64"/>
      <c r="U165" s="64"/>
      <c r="V165" s="64"/>
      <c r="Y165" s="64"/>
      <c r="Z165" s="64"/>
      <c r="AA165" s="64"/>
      <c r="AB165" s="64"/>
      <c r="AC165" s="65"/>
      <c r="AF165" s="64"/>
      <c r="AG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K166" s="64"/>
      <c r="L166" s="64"/>
      <c r="M166" s="64"/>
      <c r="N166" s="64"/>
      <c r="O166" s="64"/>
      <c r="R166" s="64"/>
      <c r="S166" s="64"/>
      <c r="T166" s="64"/>
      <c r="U166" s="64"/>
      <c r="V166" s="64"/>
      <c r="Y166" s="64"/>
      <c r="Z166" s="64"/>
      <c r="AA166" s="64"/>
      <c r="AB166" s="64"/>
      <c r="AC166" s="65"/>
      <c r="AF166" s="64"/>
      <c r="AG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K167" s="64"/>
      <c r="L167" s="64"/>
      <c r="M167" s="64"/>
      <c r="N167" s="64"/>
      <c r="O167" s="64"/>
      <c r="R167" s="64"/>
      <c r="S167" s="64"/>
      <c r="T167" s="64"/>
      <c r="U167" s="64"/>
      <c r="V167" s="64"/>
      <c r="Y167" s="64"/>
      <c r="Z167" s="64"/>
      <c r="AA167" s="64"/>
      <c r="AB167" s="64"/>
      <c r="AC167" s="65"/>
      <c r="AF167" s="64"/>
      <c r="AG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K168" s="64"/>
      <c r="L168" s="64"/>
      <c r="M168" s="64"/>
      <c r="N168" s="64"/>
      <c r="O168" s="64"/>
      <c r="R168" s="64"/>
      <c r="S168" s="64"/>
      <c r="T168" s="64"/>
      <c r="U168" s="64"/>
      <c r="V168" s="64"/>
      <c r="Y168" s="64"/>
      <c r="Z168" s="64"/>
      <c r="AA168" s="64"/>
      <c r="AB168" s="64"/>
      <c r="AC168" s="65"/>
      <c r="AF168" s="64"/>
      <c r="AG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K169" s="64"/>
      <c r="L169" s="64"/>
      <c r="M169" s="64"/>
      <c r="N169" s="64"/>
      <c r="O169" s="64"/>
      <c r="R169" s="64"/>
      <c r="S169" s="64"/>
      <c r="T169" s="64"/>
      <c r="U169" s="64"/>
      <c r="V169" s="64"/>
      <c r="Y169" s="64"/>
      <c r="Z169" s="64"/>
      <c r="AA169" s="64"/>
      <c r="AB169" s="64"/>
      <c r="AC169" s="65"/>
      <c r="AF169" s="64"/>
      <c r="AG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K170" s="64"/>
      <c r="L170" s="64"/>
      <c r="M170" s="64"/>
      <c r="N170" s="64"/>
      <c r="O170" s="64"/>
      <c r="R170" s="64"/>
      <c r="S170" s="64"/>
      <c r="T170" s="64"/>
      <c r="U170" s="64"/>
      <c r="V170" s="64"/>
      <c r="Y170" s="64"/>
      <c r="Z170" s="64"/>
      <c r="AA170" s="64"/>
      <c r="AB170" s="64"/>
      <c r="AC170" s="65"/>
      <c r="AF170" s="64"/>
      <c r="AG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K171" s="64"/>
      <c r="L171" s="64"/>
      <c r="M171" s="64"/>
      <c r="N171" s="64"/>
      <c r="O171" s="64"/>
      <c r="R171" s="64"/>
      <c r="S171" s="64"/>
      <c r="T171" s="64"/>
      <c r="U171" s="64"/>
      <c r="V171" s="64"/>
      <c r="Y171" s="64"/>
      <c r="Z171" s="64"/>
      <c r="AA171" s="64"/>
      <c r="AB171" s="64"/>
      <c r="AC171" s="65"/>
      <c r="AF171" s="64"/>
      <c r="AG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K172" s="64"/>
      <c r="L172" s="64"/>
      <c r="M172" s="64"/>
      <c r="N172" s="64"/>
      <c r="O172" s="64"/>
      <c r="R172" s="64"/>
      <c r="S172" s="64"/>
      <c r="T172" s="64"/>
      <c r="U172" s="64"/>
      <c r="V172" s="64"/>
      <c r="Y172" s="64"/>
      <c r="Z172" s="64"/>
      <c r="AA172" s="64"/>
      <c r="AB172" s="64"/>
      <c r="AC172" s="65"/>
      <c r="AF172" s="64"/>
      <c r="AG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K173" s="64"/>
      <c r="L173" s="64"/>
      <c r="M173" s="64"/>
      <c r="N173" s="64"/>
      <c r="O173" s="64"/>
      <c r="R173" s="64"/>
      <c r="S173" s="64"/>
      <c r="T173" s="64"/>
      <c r="U173" s="64"/>
      <c r="V173" s="64"/>
      <c r="Y173" s="64"/>
      <c r="Z173" s="64"/>
      <c r="AA173" s="64"/>
      <c r="AB173" s="64"/>
      <c r="AC173" s="65"/>
      <c r="AF173" s="64"/>
      <c r="AG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K174" s="64"/>
      <c r="L174" s="64"/>
      <c r="M174" s="64"/>
      <c r="N174" s="64"/>
      <c r="O174" s="64"/>
      <c r="R174" s="64"/>
      <c r="S174" s="64"/>
      <c r="T174" s="64"/>
      <c r="U174" s="64"/>
      <c r="V174" s="64"/>
      <c r="Y174" s="64"/>
      <c r="Z174" s="64"/>
      <c r="AA174" s="64"/>
      <c r="AB174" s="64"/>
      <c r="AC174" s="65"/>
      <c r="AF174" s="64"/>
      <c r="AG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K175" s="64"/>
      <c r="L175" s="64"/>
      <c r="M175" s="64"/>
      <c r="N175" s="64"/>
      <c r="O175" s="64"/>
      <c r="R175" s="64"/>
      <c r="S175" s="64"/>
      <c r="T175" s="64"/>
      <c r="U175" s="64"/>
      <c r="V175" s="64"/>
      <c r="Y175" s="64"/>
      <c r="Z175" s="64"/>
      <c r="AA175" s="64"/>
      <c r="AB175" s="64"/>
      <c r="AC175" s="65"/>
      <c r="AF175" s="64"/>
      <c r="AG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K176" s="64"/>
      <c r="L176" s="64"/>
      <c r="M176" s="64"/>
      <c r="N176" s="64"/>
      <c r="O176" s="64"/>
      <c r="R176" s="64"/>
      <c r="S176" s="64"/>
      <c r="T176" s="64"/>
      <c r="U176" s="64"/>
      <c r="V176" s="64"/>
      <c r="Y176" s="64"/>
      <c r="Z176" s="64"/>
      <c r="AA176" s="64"/>
      <c r="AB176" s="64"/>
      <c r="AC176" s="65"/>
      <c r="AF176" s="64"/>
      <c r="AG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K177" s="64"/>
      <c r="L177" s="64"/>
      <c r="M177" s="64"/>
      <c r="N177" s="64"/>
      <c r="O177" s="64"/>
      <c r="R177" s="64"/>
      <c r="S177" s="64"/>
      <c r="T177" s="64"/>
      <c r="U177" s="64"/>
      <c r="V177" s="64"/>
      <c r="Y177" s="64"/>
      <c r="Z177" s="64"/>
      <c r="AA177" s="64"/>
      <c r="AB177" s="64"/>
      <c r="AC177" s="65"/>
      <c r="AF177" s="64"/>
      <c r="AG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K178" s="64"/>
      <c r="L178" s="64"/>
      <c r="M178" s="64"/>
      <c r="N178" s="64"/>
      <c r="O178" s="64"/>
      <c r="R178" s="64"/>
      <c r="S178" s="64"/>
      <c r="T178" s="64"/>
      <c r="U178" s="64"/>
      <c r="V178" s="64"/>
      <c r="Y178" s="64"/>
      <c r="Z178" s="64"/>
      <c r="AA178" s="64"/>
      <c r="AB178" s="64"/>
      <c r="AC178" s="65"/>
      <c r="AF178" s="64"/>
      <c r="AG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K179" s="64"/>
      <c r="L179" s="64"/>
      <c r="M179" s="64"/>
      <c r="N179" s="64"/>
      <c r="O179" s="64"/>
      <c r="R179" s="64"/>
      <c r="S179" s="64"/>
      <c r="T179" s="64"/>
      <c r="U179" s="64"/>
      <c r="V179" s="64"/>
      <c r="Y179" s="64"/>
      <c r="Z179" s="64"/>
      <c r="AA179" s="64"/>
      <c r="AB179" s="64"/>
      <c r="AC179" s="65"/>
      <c r="AF179" s="64"/>
      <c r="AG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K180" s="64"/>
      <c r="L180" s="64"/>
      <c r="M180" s="64"/>
      <c r="N180" s="64"/>
      <c r="O180" s="64"/>
      <c r="R180" s="64"/>
      <c r="S180" s="64"/>
      <c r="T180" s="64"/>
      <c r="U180" s="64"/>
      <c r="V180" s="64"/>
      <c r="Y180" s="64"/>
      <c r="Z180" s="64"/>
      <c r="AA180" s="64"/>
      <c r="AB180" s="64"/>
      <c r="AC180" s="65"/>
      <c r="AF180" s="64"/>
      <c r="AG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K181" s="64"/>
      <c r="L181" s="64"/>
      <c r="M181" s="64"/>
      <c r="N181" s="64"/>
      <c r="O181" s="64"/>
      <c r="R181" s="64"/>
      <c r="S181" s="64"/>
      <c r="T181" s="64"/>
      <c r="U181" s="64"/>
      <c r="V181" s="64"/>
      <c r="Y181" s="64"/>
      <c r="Z181" s="64"/>
      <c r="AA181" s="64"/>
      <c r="AB181" s="64"/>
      <c r="AC181" s="65"/>
      <c r="AF181" s="64"/>
      <c r="AG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K182" s="64"/>
      <c r="L182" s="64"/>
      <c r="M182" s="64"/>
      <c r="N182" s="64"/>
      <c r="O182" s="64"/>
      <c r="R182" s="64"/>
      <c r="S182" s="64"/>
      <c r="T182" s="64"/>
      <c r="U182" s="64"/>
      <c r="V182" s="64"/>
      <c r="Y182" s="64"/>
      <c r="Z182" s="64"/>
      <c r="AA182" s="64"/>
      <c r="AB182" s="64"/>
      <c r="AC182" s="65"/>
      <c r="AF182" s="64"/>
      <c r="AG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K183" s="64"/>
      <c r="L183" s="64"/>
      <c r="M183" s="64"/>
      <c r="N183" s="64"/>
      <c r="O183" s="64"/>
      <c r="R183" s="64"/>
      <c r="S183" s="64"/>
      <c r="T183" s="64"/>
      <c r="U183" s="64"/>
      <c r="V183" s="64"/>
      <c r="Y183" s="64"/>
      <c r="Z183" s="64"/>
      <c r="AA183" s="64"/>
      <c r="AB183" s="64"/>
      <c r="AC183" s="65"/>
      <c r="AF183" s="64"/>
      <c r="AG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K184" s="64"/>
      <c r="L184" s="64"/>
      <c r="M184" s="64"/>
      <c r="N184" s="64"/>
      <c r="O184" s="64"/>
      <c r="R184" s="64"/>
      <c r="S184" s="64"/>
      <c r="T184" s="64"/>
      <c r="U184" s="64"/>
      <c r="V184" s="64"/>
      <c r="Y184" s="64"/>
      <c r="Z184" s="64"/>
      <c r="AA184" s="64"/>
      <c r="AB184" s="64"/>
      <c r="AC184" s="65"/>
      <c r="AF184" s="64"/>
      <c r="AG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K185" s="64"/>
      <c r="L185" s="64"/>
      <c r="M185" s="64"/>
      <c r="N185" s="64"/>
      <c r="O185" s="64"/>
      <c r="R185" s="64"/>
      <c r="S185" s="64"/>
      <c r="T185" s="64"/>
      <c r="U185" s="64"/>
      <c r="V185" s="64"/>
      <c r="Y185" s="64"/>
      <c r="Z185" s="64"/>
      <c r="AA185" s="64"/>
      <c r="AB185" s="64"/>
      <c r="AC185" s="65"/>
      <c r="AF185" s="64"/>
      <c r="AG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K186" s="64"/>
      <c r="L186" s="64"/>
      <c r="M186" s="64"/>
      <c r="N186" s="64"/>
      <c r="O186" s="64"/>
      <c r="R186" s="64"/>
      <c r="S186" s="64"/>
      <c r="T186" s="64"/>
      <c r="U186" s="64"/>
      <c r="V186" s="64"/>
      <c r="Y186" s="64"/>
      <c r="Z186" s="64"/>
      <c r="AA186" s="64"/>
      <c r="AB186" s="64"/>
      <c r="AC186" s="65"/>
      <c r="AF186" s="64"/>
      <c r="AG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K187" s="64"/>
      <c r="L187" s="64"/>
      <c r="M187" s="64"/>
      <c r="N187" s="64"/>
      <c r="O187" s="64"/>
      <c r="R187" s="64"/>
      <c r="S187" s="64"/>
      <c r="T187" s="64"/>
      <c r="U187" s="64"/>
      <c r="V187" s="64"/>
      <c r="Y187" s="64"/>
      <c r="Z187" s="64"/>
      <c r="AA187" s="64"/>
      <c r="AB187" s="64"/>
      <c r="AC187" s="65"/>
      <c r="AF187" s="64"/>
      <c r="AG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K188" s="64"/>
      <c r="L188" s="64"/>
      <c r="M188" s="64"/>
      <c r="N188" s="64"/>
      <c r="O188" s="64"/>
      <c r="R188" s="64"/>
      <c r="S188" s="64"/>
      <c r="T188" s="64"/>
      <c r="U188" s="64"/>
      <c r="V188" s="64"/>
      <c r="Y188" s="64"/>
      <c r="Z188" s="64"/>
      <c r="AA188" s="64"/>
      <c r="AB188" s="64"/>
      <c r="AC188" s="65"/>
      <c r="AF188" s="64"/>
      <c r="AG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K189" s="64"/>
      <c r="L189" s="64"/>
      <c r="M189" s="64"/>
      <c r="N189" s="64"/>
      <c r="O189" s="64"/>
      <c r="R189" s="64"/>
      <c r="S189" s="64"/>
      <c r="T189" s="64"/>
      <c r="U189" s="64"/>
      <c r="V189" s="64"/>
      <c r="Y189" s="64"/>
      <c r="Z189" s="64"/>
      <c r="AA189" s="64"/>
      <c r="AB189" s="64"/>
      <c r="AC189" s="65"/>
      <c r="AF189" s="64"/>
      <c r="AG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K190" s="64"/>
      <c r="L190" s="64"/>
      <c r="M190" s="64"/>
      <c r="N190" s="64"/>
      <c r="O190" s="64"/>
      <c r="R190" s="64"/>
      <c r="S190" s="64"/>
      <c r="T190" s="64"/>
      <c r="U190" s="64"/>
      <c r="V190" s="64"/>
      <c r="Y190" s="64"/>
      <c r="Z190" s="64"/>
      <c r="AA190" s="64"/>
      <c r="AB190" s="64"/>
      <c r="AC190" s="65"/>
      <c r="AF190" s="64"/>
      <c r="AG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K191" s="64"/>
      <c r="L191" s="64"/>
      <c r="M191" s="64"/>
      <c r="N191" s="64"/>
      <c r="O191" s="64"/>
      <c r="R191" s="64"/>
      <c r="S191" s="64"/>
      <c r="T191" s="64"/>
      <c r="U191" s="64"/>
      <c r="V191" s="64"/>
      <c r="Y191" s="64"/>
      <c r="Z191" s="64"/>
      <c r="AA191" s="64"/>
      <c r="AB191" s="64"/>
      <c r="AC191" s="65"/>
      <c r="AF191" s="64"/>
      <c r="AG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K192" s="64"/>
      <c r="L192" s="64"/>
      <c r="M192" s="64"/>
      <c r="N192" s="64"/>
      <c r="O192" s="64"/>
      <c r="R192" s="64"/>
      <c r="S192" s="64"/>
      <c r="T192" s="64"/>
      <c r="U192" s="64"/>
      <c r="V192" s="64"/>
      <c r="Y192" s="64"/>
      <c r="Z192" s="64"/>
      <c r="AA192" s="64"/>
      <c r="AB192" s="64"/>
      <c r="AC192" s="65"/>
      <c r="AF192" s="64"/>
      <c r="AG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K193" s="64"/>
      <c r="L193" s="64"/>
      <c r="M193" s="64"/>
      <c r="N193" s="64"/>
      <c r="O193" s="64"/>
      <c r="R193" s="64"/>
      <c r="S193" s="64"/>
      <c r="T193" s="64"/>
      <c r="U193" s="64"/>
      <c r="V193" s="64"/>
      <c r="Y193" s="64"/>
      <c r="Z193" s="64"/>
      <c r="AA193" s="64"/>
      <c r="AB193" s="64"/>
      <c r="AC193" s="65"/>
      <c r="AF193" s="64"/>
      <c r="AG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K194" s="64"/>
      <c r="L194" s="64"/>
      <c r="M194" s="64"/>
      <c r="N194" s="64"/>
      <c r="O194" s="64"/>
      <c r="R194" s="64"/>
      <c r="S194" s="64"/>
      <c r="T194" s="64"/>
      <c r="U194" s="64"/>
      <c r="V194" s="64"/>
      <c r="Y194" s="64"/>
      <c r="Z194" s="64"/>
      <c r="AA194" s="64"/>
      <c r="AB194" s="64"/>
      <c r="AC194" s="65"/>
      <c r="AF194" s="64"/>
      <c r="AG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K195" s="64"/>
      <c r="L195" s="64"/>
      <c r="M195" s="64"/>
      <c r="N195" s="64"/>
      <c r="O195" s="64"/>
      <c r="R195" s="64"/>
      <c r="S195" s="64"/>
      <c r="T195" s="64"/>
      <c r="U195" s="64"/>
      <c r="V195" s="64"/>
      <c r="Y195" s="64"/>
      <c r="Z195" s="64"/>
      <c r="AA195" s="64"/>
      <c r="AB195" s="64"/>
      <c r="AC195" s="65"/>
      <c r="AF195" s="64"/>
      <c r="AG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K196" s="64"/>
      <c r="L196" s="64"/>
      <c r="M196" s="64"/>
      <c r="N196" s="64"/>
      <c r="O196" s="64"/>
      <c r="R196" s="64"/>
      <c r="S196" s="64"/>
      <c r="T196" s="64"/>
      <c r="U196" s="64"/>
      <c r="V196" s="64"/>
      <c r="Y196" s="64"/>
      <c r="Z196" s="64"/>
      <c r="AA196" s="64"/>
      <c r="AB196" s="64"/>
      <c r="AC196" s="65"/>
      <c r="AF196" s="64"/>
      <c r="AG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K197" s="64"/>
      <c r="L197" s="64"/>
      <c r="M197" s="64"/>
      <c r="N197" s="64"/>
      <c r="O197" s="64"/>
      <c r="R197" s="64"/>
      <c r="S197" s="64"/>
      <c r="T197" s="64"/>
      <c r="U197" s="64"/>
      <c r="V197" s="64"/>
      <c r="Y197" s="64"/>
      <c r="Z197" s="64"/>
      <c r="AA197" s="64"/>
      <c r="AB197" s="64"/>
      <c r="AC197" s="65"/>
      <c r="AF197" s="64"/>
      <c r="AG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K198" s="64"/>
      <c r="L198" s="64"/>
      <c r="M198" s="64"/>
      <c r="N198" s="64"/>
      <c r="O198" s="64"/>
      <c r="R198" s="64"/>
      <c r="S198" s="64"/>
      <c r="T198" s="64"/>
      <c r="U198" s="64"/>
      <c r="V198" s="64"/>
      <c r="Y198" s="64"/>
      <c r="Z198" s="64"/>
      <c r="AA198" s="64"/>
      <c r="AB198" s="64"/>
      <c r="AC198" s="65"/>
      <c r="AF198" s="64"/>
      <c r="AG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K199" s="64"/>
      <c r="L199" s="64"/>
      <c r="M199" s="64"/>
      <c r="N199" s="64"/>
      <c r="O199" s="64"/>
      <c r="R199" s="64"/>
      <c r="S199" s="64"/>
      <c r="T199" s="64"/>
      <c r="U199" s="64"/>
      <c r="V199" s="64"/>
      <c r="Y199" s="64"/>
      <c r="Z199" s="64"/>
      <c r="AA199" s="64"/>
      <c r="AB199" s="64"/>
      <c r="AC199" s="65"/>
      <c r="AF199" s="64"/>
      <c r="AG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K200" s="64"/>
      <c r="L200" s="64"/>
      <c r="M200" s="64"/>
      <c r="N200" s="64"/>
      <c r="O200" s="64"/>
      <c r="R200" s="64"/>
      <c r="S200" s="64"/>
      <c r="T200" s="64"/>
      <c r="U200" s="64"/>
      <c r="V200" s="64"/>
      <c r="Y200" s="64"/>
      <c r="Z200" s="64"/>
      <c r="AA200" s="64"/>
      <c r="AB200" s="64"/>
      <c r="AC200" s="65"/>
      <c r="AF200" s="64"/>
      <c r="AG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K201" s="64"/>
      <c r="L201" s="64"/>
      <c r="M201" s="64"/>
      <c r="N201" s="64"/>
      <c r="O201" s="64"/>
      <c r="R201" s="64"/>
      <c r="S201" s="64"/>
      <c r="T201" s="64"/>
      <c r="U201" s="64"/>
      <c r="V201" s="64"/>
      <c r="Y201" s="64"/>
      <c r="Z201" s="64"/>
      <c r="AA201" s="64"/>
      <c r="AB201" s="64"/>
      <c r="AC201" s="65"/>
      <c r="AF201" s="64"/>
      <c r="AG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K202" s="64"/>
      <c r="L202" s="64"/>
      <c r="M202" s="64"/>
      <c r="N202" s="64"/>
      <c r="O202" s="64"/>
      <c r="R202" s="64"/>
      <c r="S202" s="64"/>
      <c r="T202" s="64"/>
      <c r="U202" s="64"/>
      <c r="V202" s="64"/>
      <c r="Y202" s="64"/>
      <c r="Z202" s="64"/>
      <c r="AA202" s="64"/>
      <c r="AB202" s="64"/>
      <c r="AC202" s="65"/>
      <c r="AF202" s="64"/>
      <c r="AG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K203" s="64"/>
      <c r="L203" s="64"/>
      <c r="M203" s="64"/>
      <c r="N203" s="64"/>
      <c r="O203" s="64"/>
      <c r="R203" s="64"/>
      <c r="S203" s="64"/>
      <c r="T203" s="64"/>
      <c r="U203" s="64"/>
      <c r="V203" s="64"/>
      <c r="Y203" s="64"/>
      <c r="Z203" s="64"/>
      <c r="AA203" s="64"/>
      <c r="AB203" s="64"/>
      <c r="AC203" s="65"/>
      <c r="AF203" s="64"/>
      <c r="AG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K204" s="64"/>
      <c r="L204" s="64"/>
      <c r="M204" s="64"/>
      <c r="N204" s="64"/>
      <c r="O204" s="64"/>
      <c r="R204" s="64"/>
      <c r="S204" s="64"/>
      <c r="T204" s="64"/>
      <c r="U204" s="64"/>
      <c r="V204" s="64"/>
      <c r="Y204" s="64"/>
      <c r="Z204" s="64"/>
      <c r="AA204" s="64"/>
      <c r="AB204" s="64"/>
      <c r="AC204" s="65"/>
      <c r="AF204" s="64"/>
      <c r="AG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K205" s="64"/>
      <c r="L205" s="64"/>
      <c r="M205" s="64"/>
      <c r="N205" s="64"/>
      <c r="O205" s="64"/>
      <c r="R205" s="64"/>
      <c r="S205" s="64"/>
      <c r="T205" s="64"/>
      <c r="U205" s="64"/>
      <c r="V205" s="64"/>
      <c r="Y205" s="64"/>
      <c r="Z205" s="64"/>
      <c r="AA205" s="64"/>
      <c r="AB205" s="64"/>
      <c r="AC205" s="65"/>
      <c r="AF205" s="64"/>
      <c r="AG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K206" s="64"/>
      <c r="L206" s="64"/>
      <c r="M206" s="64"/>
      <c r="N206" s="64"/>
      <c r="O206" s="64"/>
      <c r="R206" s="64"/>
      <c r="S206" s="64"/>
      <c r="T206" s="64"/>
      <c r="U206" s="64"/>
      <c r="V206" s="64"/>
      <c r="Y206" s="64"/>
      <c r="Z206" s="64"/>
      <c r="AA206" s="64"/>
      <c r="AB206" s="64"/>
      <c r="AC206" s="65"/>
      <c r="AF206" s="64"/>
      <c r="AG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K207" s="64"/>
      <c r="L207" s="64"/>
      <c r="M207" s="64"/>
      <c r="N207" s="64"/>
      <c r="O207" s="64"/>
      <c r="R207" s="64"/>
      <c r="S207" s="64"/>
      <c r="T207" s="64"/>
      <c r="U207" s="64"/>
      <c r="V207" s="64"/>
      <c r="Y207" s="64"/>
      <c r="Z207" s="64"/>
      <c r="AA207" s="64"/>
      <c r="AB207" s="64"/>
      <c r="AC207" s="65"/>
      <c r="AF207" s="64"/>
      <c r="AG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K208" s="64"/>
      <c r="L208" s="64"/>
      <c r="M208" s="64"/>
      <c r="N208" s="64"/>
      <c r="O208" s="64"/>
      <c r="R208" s="64"/>
      <c r="S208" s="64"/>
      <c r="T208" s="64"/>
      <c r="U208" s="64"/>
      <c r="V208" s="64"/>
      <c r="Y208" s="64"/>
      <c r="Z208" s="64"/>
      <c r="AA208" s="64"/>
      <c r="AB208" s="64"/>
      <c r="AC208" s="65"/>
      <c r="AF208" s="64"/>
      <c r="AG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K209" s="64"/>
      <c r="L209" s="64"/>
      <c r="M209" s="64"/>
      <c r="N209" s="64"/>
      <c r="O209" s="64"/>
      <c r="R209" s="64"/>
      <c r="S209" s="64"/>
      <c r="T209" s="64"/>
      <c r="U209" s="64"/>
      <c r="V209" s="64"/>
      <c r="Y209" s="64"/>
      <c r="Z209" s="64"/>
      <c r="AA209" s="64"/>
      <c r="AB209" s="64"/>
      <c r="AC209" s="65"/>
      <c r="AF209" s="64"/>
      <c r="AG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K210" s="64"/>
      <c r="L210" s="64"/>
      <c r="M210" s="64"/>
      <c r="N210" s="64"/>
      <c r="O210" s="64"/>
      <c r="R210" s="64"/>
      <c r="S210" s="64"/>
      <c r="T210" s="64"/>
      <c r="U210" s="64"/>
      <c r="V210" s="64"/>
      <c r="Y210" s="64"/>
      <c r="Z210" s="64"/>
      <c r="AA210" s="64"/>
      <c r="AB210" s="64"/>
      <c r="AC210" s="65"/>
      <c r="AF210" s="64"/>
      <c r="AG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K211" s="64"/>
      <c r="L211" s="64"/>
      <c r="M211" s="64"/>
      <c r="N211" s="64"/>
      <c r="O211" s="64"/>
      <c r="R211" s="64"/>
      <c r="S211" s="64"/>
      <c r="T211" s="64"/>
      <c r="U211" s="64"/>
      <c r="V211" s="64"/>
      <c r="Y211" s="64"/>
      <c r="Z211" s="64"/>
      <c r="AA211" s="64"/>
      <c r="AB211" s="64"/>
      <c r="AC211" s="65"/>
      <c r="AF211" s="64"/>
      <c r="AG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K212" s="64"/>
      <c r="L212" s="64"/>
      <c r="M212" s="64"/>
      <c r="N212" s="64"/>
      <c r="O212" s="64"/>
      <c r="R212" s="64"/>
      <c r="S212" s="64"/>
      <c r="T212" s="64"/>
      <c r="U212" s="64"/>
      <c r="V212" s="64"/>
      <c r="Y212" s="64"/>
      <c r="Z212" s="64"/>
      <c r="AA212" s="64"/>
      <c r="AB212" s="64"/>
      <c r="AC212" s="65"/>
      <c r="AF212" s="64"/>
      <c r="AG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K213" s="64"/>
      <c r="L213" s="64"/>
      <c r="M213" s="64"/>
      <c r="N213" s="64"/>
      <c r="O213" s="64"/>
      <c r="R213" s="64"/>
      <c r="S213" s="64"/>
      <c r="T213" s="64"/>
      <c r="U213" s="64"/>
      <c r="V213" s="64"/>
      <c r="Y213" s="64"/>
      <c r="Z213" s="64"/>
      <c r="AA213" s="64"/>
      <c r="AB213" s="64"/>
      <c r="AC213" s="65"/>
      <c r="AF213" s="64"/>
      <c r="AG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K214" s="64"/>
      <c r="L214" s="64"/>
      <c r="M214" s="64"/>
      <c r="N214" s="64"/>
      <c r="O214" s="64"/>
      <c r="R214" s="64"/>
      <c r="S214" s="64"/>
      <c r="T214" s="64"/>
      <c r="U214" s="64"/>
      <c r="V214" s="64"/>
      <c r="Y214" s="64"/>
      <c r="Z214" s="64"/>
      <c r="AA214" s="64"/>
      <c r="AB214" s="64"/>
      <c r="AC214" s="65"/>
      <c r="AF214" s="64"/>
      <c r="AG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K215" s="64"/>
      <c r="L215" s="64"/>
      <c r="M215" s="64"/>
      <c r="N215" s="64"/>
      <c r="O215" s="64"/>
      <c r="R215" s="64"/>
      <c r="S215" s="64"/>
      <c r="T215" s="64"/>
      <c r="U215" s="64"/>
      <c r="V215" s="64"/>
      <c r="Y215" s="64"/>
      <c r="Z215" s="64"/>
      <c r="AA215" s="64"/>
      <c r="AB215" s="64"/>
      <c r="AC215" s="65"/>
      <c r="AF215" s="64"/>
      <c r="AG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K216" s="64"/>
      <c r="L216" s="64"/>
      <c r="M216" s="64"/>
      <c r="N216" s="64"/>
      <c r="O216" s="64"/>
      <c r="R216" s="64"/>
      <c r="S216" s="64"/>
      <c r="T216" s="64"/>
      <c r="U216" s="64"/>
      <c r="V216" s="64"/>
      <c r="Y216" s="64"/>
      <c r="Z216" s="64"/>
      <c r="AA216" s="64"/>
      <c r="AB216" s="64"/>
      <c r="AC216" s="65"/>
      <c r="AF216" s="64"/>
      <c r="AG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K217" s="64"/>
      <c r="L217" s="64"/>
      <c r="M217" s="64"/>
      <c r="N217" s="64"/>
      <c r="O217" s="64"/>
      <c r="R217" s="64"/>
      <c r="S217" s="64"/>
      <c r="T217" s="64"/>
      <c r="U217" s="64"/>
      <c r="V217" s="64"/>
      <c r="Y217" s="64"/>
      <c r="Z217" s="64"/>
      <c r="AA217" s="64"/>
      <c r="AB217" s="64"/>
      <c r="AC217" s="65"/>
      <c r="AF217" s="64"/>
      <c r="AG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K218" s="64"/>
      <c r="L218" s="64"/>
      <c r="M218" s="64"/>
      <c r="N218" s="64"/>
      <c r="O218" s="64"/>
      <c r="R218" s="64"/>
      <c r="S218" s="64"/>
      <c r="T218" s="64"/>
      <c r="U218" s="64"/>
      <c r="V218" s="64"/>
      <c r="Y218" s="64"/>
      <c r="Z218" s="64"/>
      <c r="AA218" s="64"/>
      <c r="AB218" s="64"/>
      <c r="AC218" s="65"/>
      <c r="AF218" s="64"/>
      <c r="AG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K219" s="64"/>
      <c r="L219" s="64"/>
      <c r="M219" s="64"/>
      <c r="N219" s="64"/>
      <c r="O219" s="64"/>
      <c r="R219" s="64"/>
      <c r="S219" s="64"/>
      <c r="T219" s="64"/>
      <c r="U219" s="64"/>
      <c r="V219" s="64"/>
      <c r="Y219" s="64"/>
      <c r="Z219" s="64"/>
      <c r="AA219" s="64"/>
      <c r="AB219" s="64"/>
      <c r="AC219" s="65"/>
      <c r="AF219" s="64"/>
      <c r="AG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K220" s="64"/>
      <c r="L220" s="64"/>
      <c r="M220" s="64"/>
      <c r="N220" s="64"/>
      <c r="O220" s="64"/>
      <c r="R220" s="64"/>
      <c r="S220" s="64"/>
      <c r="T220" s="64"/>
      <c r="U220" s="64"/>
      <c r="V220" s="64"/>
      <c r="Y220" s="64"/>
      <c r="Z220" s="64"/>
      <c r="AA220" s="64"/>
      <c r="AB220" s="64"/>
      <c r="AC220" s="65"/>
      <c r="AF220" s="64"/>
      <c r="AG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K221" s="64"/>
      <c r="L221" s="64"/>
      <c r="M221" s="64"/>
      <c r="N221" s="64"/>
      <c r="O221" s="64"/>
      <c r="R221" s="64"/>
      <c r="S221" s="64"/>
      <c r="T221" s="64"/>
      <c r="U221" s="64"/>
      <c r="V221" s="64"/>
      <c r="Y221" s="64"/>
      <c r="Z221" s="64"/>
      <c r="AA221" s="64"/>
      <c r="AB221" s="64"/>
      <c r="AC221" s="65"/>
      <c r="AF221" s="64"/>
      <c r="AG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K222" s="64"/>
      <c r="L222" s="64"/>
      <c r="M222" s="64"/>
      <c r="N222" s="64"/>
      <c r="O222" s="64"/>
      <c r="R222" s="64"/>
      <c r="S222" s="64"/>
      <c r="T222" s="64"/>
      <c r="U222" s="64"/>
      <c r="V222" s="64"/>
      <c r="Y222" s="64"/>
      <c r="Z222" s="64"/>
      <c r="AA222" s="64"/>
      <c r="AB222" s="64"/>
      <c r="AC222" s="65"/>
      <c r="AF222" s="64"/>
      <c r="AG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K223" s="64"/>
      <c r="L223" s="64"/>
      <c r="M223" s="64"/>
      <c r="N223" s="64"/>
      <c r="O223" s="64"/>
      <c r="R223" s="64"/>
      <c r="S223" s="64"/>
      <c r="T223" s="64"/>
      <c r="U223" s="64"/>
      <c r="V223" s="64"/>
      <c r="Y223" s="64"/>
      <c r="Z223" s="64"/>
      <c r="AA223" s="64"/>
      <c r="AB223" s="64"/>
      <c r="AC223" s="65"/>
      <c r="AF223" s="64"/>
      <c r="AG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K224" s="64"/>
      <c r="L224" s="64"/>
      <c r="M224" s="64"/>
      <c r="N224" s="64"/>
      <c r="O224" s="64"/>
      <c r="R224" s="64"/>
      <c r="S224" s="64"/>
      <c r="T224" s="64"/>
      <c r="U224" s="64"/>
      <c r="V224" s="64"/>
      <c r="Y224" s="64"/>
      <c r="Z224" s="64"/>
      <c r="AA224" s="64"/>
      <c r="AB224" s="64"/>
      <c r="AC224" s="65"/>
      <c r="AF224" s="64"/>
      <c r="AG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K225" s="64"/>
      <c r="L225" s="64"/>
      <c r="M225" s="64"/>
      <c r="N225" s="64"/>
      <c r="O225" s="64"/>
      <c r="R225" s="64"/>
      <c r="S225" s="64"/>
      <c r="T225" s="64"/>
      <c r="U225" s="64"/>
      <c r="V225" s="64"/>
      <c r="Y225" s="64"/>
      <c r="Z225" s="64"/>
      <c r="AA225" s="64"/>
      <c r="AB225" s="64"/>
      <c r="AC225" s="65"/>
      <c r="AF225" s="64"/>
      <c r="AG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K226" s="64"/>
      <c r="L226" s="64"/>
      <c r="M226" s="64"/>
      <c r="N226" s="64"/>
      <c r="O226" s="64"/>
      <c r="R226" s="64"/>
      <c r="S226" s="64"/>
      <c r="T226" s="64"/>
      <c r="U226" s="64"/>
      <c r="V226" s="64"/>
      <c r="Y226" s="64"/>
      <c r="Z226" s="64"/>
      <c r="AA226" s="64"/>
      <c r="AB226" s="64"/>
      <c r="AC226" s="65"/>
      <c r="AF226" s="64"/>
      <c r="AG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K227" s="64"/>
      <c r="L227" s="64"/>
      <c r="M227" s="64"/>
      <c r="N227" s="64"/>
      <c r="O227" s="64"/>
      <c r="R227" s="64"/>
      <c r="S227" s="64"/>
      <c r="T227" s="64"/>
      <c r="U227" s="64"/>
      <c r="V227" s="64"/>
      <c r="Y227" s="64"/>
      <c r="Z227" s="64"/>
      <c r="AA227" s="64"/>
      <c r="AB227" s="64"/>
      <c r="AC227" s="65"/>
      <c r="AF227" s="64"/>
      <c r="AG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K228" s="64"/>
      <c r="L228" s="64"/>
      <c r="M228" s="64"/>
      <c r="N228" s="64"/>
      <c r="O228" s="64"/>
      <c r="R228" s="64"/>
      <c r="S228" s="64"/>
      <c r="T228" s="64"/>
      <c r="U228" s="64"/>
      <c r="V228" s="64"/>
      <c r="Y228" s="64"/>
      <c r="Z228" s="64"/>
      <c r="AA228" s="64"/>
      <c r="AB228" s="64"/>
      <c r="AC228" s="65"/>
      <c r="AF228" s="64"/>
      <c r="AG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K229" s="64"/>
      <c r="L229" s="64"/>
      <c r="M229" s="64"/>
      <c r="N229" s="64"/>
      <c r="O229" s="64"/>
      <c r="R229" s="64"/>
      <c r="S229" s="64"/>
      <c r="T229" s="64"/>
      <c r="U229" s="64"/>
      <c r="V229" s="64"/>
      <c r="Y229" s="64"/>
      <c r="Z229" s="64"/>
      <c r="AA229" s="64"/>
      <c r="AB229" s="64"/>
      <c r="AC229" s="65"/>
      <c r="AF229" s="64"/>
      <c r="AG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K230" s="64"/>
      <c r="L230" s="64"/>
      <c r="M230" s="64"/>
      <c r="N230" s="64"/>
      <c r="O230" s="64"/>
      <c r="R230" s="64"/>
      <c r="S230" s="64"/>
      <c r="T230" s="64"/>
      <c r="U230" s="64"/>
      <c r="V230" s="64"/>
      <c r="Y230" s="64"/>
      <c r="Z230" s="64"/>
      <c r="AA230" s="64"/>
      <c r="AB230" s="64"/>
      <c r="AC230" s="65"/>
      <c r="AF230" s="64"/>
      <c r="AG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K231" s="64"/>
      <c r="L231" s="64"/>
      <c r="M231" s="64"/>
      <c r="N231" s="64"/>
      <c r="O231" s="64"/>
      <c r="R231" s="64"/>
      <c r="S231" s="64"/>
      <c r="T231" s="64"/>
      <c r="U231" s="64"/>
      <c r="V231" s="64"/>
      <c r="Y231" s="64"/>
      <c r="Z231" s="64"/>
      <c r="AA231" s="64"/>
      <c r="AB231" s="64"/>
      <c r="AC231" s="65"/>
      <c r="AF231" s="64"/>
      <c r="AG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K232" s="64"/>
      <c r="L232" s="64"/>
      <c r="M232" s="64"/>
      <c r="N232" s="64"/>
      <c r="O232" s="64"/>
      <c r="R232" s="64"/>
      <c r="S232" s="64"/>
      <c r="T232" s="64"/>
      <c r="U232" s="64"/>
      <c r="V232" s="64"/>
      <c r="Y232" s="64"/>
      <c r="Z232" s="64"/>
      <c r="AA232" s="64"/>
      <c r="AB232" s="64"/>
      <c r="AC232" s="65"/>
      <c r="AF232" s="64"/>
      <c r="AG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K233" s="64"/>
      <c r="L233" s="64"/>
      <c r="M233" s="64"/>
      <c r="N233" s="64"/>
      <c r="O233" s="64"/>
      <c r="R233" s="64"/>
      <c r="S233" s="64"/>
      <c r="T233" s="64"/>
      <c r="U233" s="64"/>
      <c r="V233" s="64"/>
      <c r="Y233" s="64"/>
      <c r="Z233" s="64"/>
      <c r="AA233" s="64"/>
      <c r="AB233" s="64"/>
      <c r="AC233" s="65"/>
      <c r="AF233" s="64"/>
      <c r="AG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K234" s="64"/>
      <c r="L234" s="64"/>
      <c r="M234" s="64"/>
      <c r="N234" s="64"/>
      <c r="O234" s="64"/>
      <c r="R234" s="64"/>
      <c r="S234" s="64"/>
      <c r="T234" s="64"/>
      <c r="U234" s="64"/>
      <c r="V234" s="64"/>
      <c r="Y234" s="64"/>
      <c r="Z234" s="64"/>
      <c r="AA234" s="64"/>
      <c r="AB234" s="64"/>
      <c r="AC234" s="65"/>
      <c r="AF234" s="64"/>
      <c r="AG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K235" s="64"/>
      <c r="L235" s="64"/>
      <c r="M235" s="64"/>
      <c r="N235" s="64"/>
      <c r="O235" s="64"/>
      <c r="R235" s="64"/>
      <c r="S235" s="64"/>
      <c r="T235" s="64"/>
      <c r="U235" s="64"/>
      <c r="V235" s="64"/>
      <c r="Y235" s="64"/>
      <c r="Z235" s="64"/>
      <c r="AA235" s="64"/>
      <c r="AB235" s="64"/>
      <c r="AC235" s="65"/>
      <c r="AF235" s="64"/>
      <c r="AG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K236" s="64"/>
      <c r="L236" s="64"/>
      <c r="M236" s="64"/>
      <c r="N236" s="64"/>
      <c r="O236" s="64"/>
      <c r="R236" s="64"/>
      <c r="S236" s="64"/>
      <c r="T236" s="64"/>
      <c r="U236" s="64"/>
      <c r="V236" s="64"/>
      <c r="Y236" s="64"/>
      <c r="Z236" s="64"/>
      <c r="AA236" s="64"/>
      <c r="AB236" s="64"/>
      <c r="AC236" s="65"/>
      <c r="AF236" s="64"/>
      <c r="AG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K237" s="64"/>
      <c r="L237" s="64"/>
      <c r="M237" s="64"/>
      <c r="N237" s="64"/>
      <c r="O237" s="64"/>
      <c r="R237" s="64"/>
      <c r="S237" s="64"/>
      <c r="T237" s="64"/>
      <c r="U237" s="64"/>
      <c r="V237" s="64"/>
      <c r="Y237" s="64"/>
      <c r="Z237" s="64"/>
      <c r="AA237" s="64"/>
      <c r="AB237" s="64"/>
      <c r="AC237" s="65"/>
      <c r="AF237" s="64"/>
      <c r="AG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K238" s="64"/>
      <c r="L238" s="64"/>
      <c r="M238" s="64"/>
      <c r="N238" s="64"/>
      <c r="O238" s="64"/>
      <c r="R238" s="64"/>
      <c r="S238" s="64"/>
      <c r="T238" s="64"/>
      <c r="U238" s="64"/>
      <c r="V238" s="64"/>
      <c r="Y238" s="64"/>
      <c r="Z238" s="64"/>
      <c r="AA238" s="64"/>
      <c r="AB238" s="64"/>
      <c r="AC238" s="65"/>
      <c r="AF238" s="64"/>
      <c r="AG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K239" s="64"/>
      <c r="L239" s="64"/>
      <c r="M239" s="64"/>
      <c r="N239" s="64"/>
      <c r="O239" s="64"/>
      <c r="R239" s="64"/>
      <c r="S239" s="64"/>
      <c r="T239" s="64"/>
      <c r="U239" s="64"/>
      <c r="V239" s="64"/>
      <c r="Y239" s="64"/>
      <c r="Z239" s="64"/>
      <c r="AA239" s="64"/>
      <c r="AB239" s="64"/>
      <c r="AC239" s="65"/>
      <c r="AF239" s="64"/>
      <c r="AG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K240" s="64"/>
      <c r="L240" s="64"/>
      <c r="M240" s="64"/>
      <c r="N240" s="64"/>
      <c r="O240" s="64"/>
      <c r="R240" s="64"/>
      <c r="S240" s="64"/>
      <c r="T240" s="64"/>
      <c r="U240" s="64"/>
      <c r="V240" s="64"/>
      <c r="Y240" s="64"/>
      <c r="Z240" s="64"/>
      <c r="AA240" s="64"/>
      <c r="AB240" s="64"/>
      <c r="AC240" s="65"/>
      <c r="AF240" s="64"/>
      <c r="AG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K241" s="64"/>
      <c r="L241" s="64"/>
      <c r="M241" s="64"/>
      <c r="N241" s="64"/>
      <c r="O241" s="64"/>
      <c r="R241" s="64"/>
      <c r="S241" s="64"/>
      <c r="T241" s="64"/>
      <c r="U241" s="64"/>
      <c r="V241" s="64"/>
      <c r="Y241" s="64"/>
      <c r="Z241" s="64"/>
      <c r="AA241" s="64"/>
      <c r="AB241" s="64"/>
      <c r="AC241" s="65"/>
      <c r="AF241" s="64"/>
      <c r="AG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K242" s="64"/>
      <c r="L242" s="64"/>
      <c r="M242" s="64"/>
      <c r="N242" s="64"/>
      <c r="O242" s="64"/>
      <c r="R242" s="64"/>
      <c r="S242" s="64"/>
      <c r="T242" s="64"/>
      <c r="U242" s="64"/>
      <c r="V242" s="64"/>
      <c r="Y242" s="64"/>
      <c r="Z242" s="64"/>
      <c r="AA242" s="64"/>
      <c r="AB242" s="64"/>
      <c r="AC242" s="65"/>
      <c r="AF242" s="64"/>
      <c r="AG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K243" s="64"/>
      <c r="L243" s="64"/>
      <c r="M243" s="64"/>
      <c r="N243" s="64"/>
      <c r="O243" s="64"/>
      <c r="R243" s="64"/>
      <c r="S243" s="64"/>
      <c r="T243" s="64"/>
      <c r="U243" s="64"/>
      <c r="V243" s="64"/>
      <c r="Y243" s="64"/>
      <c r="Z243" s="64"/>
      <c r="AA243" s="64"/>
      <c r="AB243" s="64"/>
      <c r="AC243" s="65"/>
      <c r="AF243" s="64"/>
      <c r="AG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K244" s="64"/>
      <c r="L244" s="64"/>
      <c r="M244" s="64"/>
      <c r="N244" s="64"/>
      <c r="O244" s="64"/>
      <c r="R244" s="64"/>
      <c r="S244" s="64"/>
      <c r="T244" s="64"/>
      <c r="U244" s="64"/>
      <c r="V244" s="64"/>
      <c r="Y244" s="64"/>
      <c r="Z244" s="64"/>
      <c r="AA244" s="64"/>
      <c r="AB244" s="64"/>
      <c r="AC244" s="65"/>
      <c r="AF244" s="64"/>
      <c r="AG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K245" s="64"/>
      <c r="L245" s="64"/>
      <c r="M245" s="64"/>
      <c r="N245" s="64"/>
      <c r="O245" s="64"/>
      <c r="R245" s="64"/>
      <c r="S245" s="64"/>
      <c r="T245" s="64"/>
      <c r="U245" s="64"/>
      <c r="V245" s="64"/>
      <c r="Y245" s="64"/>
      <c r="Z245" s="64"/>
      <c r="AA245" s="64"/>
      <c r="AB245" s="64"/>
      <c r="AC245" s="65"/>
      <c r="AF245" s="64"/>
      <c r="AG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K246" s="64"/>
      <c r="L246" s="64"/>
      <c r="M246" s="64"/>
      <c r="N246" s="64"/>
      <c r="O246" s="64"/>
      <c r="R246" s="64"/>
      <c r="S246" s="64"/>
      <c r="T246" s="64"/>
      <c r="U246" s="64"/>
      <c r="V246" s="64"/>
      <c r="Y246" s="64"/>
      <c r="Z246" s="64"/>
      <c r="AA246" s="64"/>
      <c r="AB246" s="64"/>
      <c r="AC246" s="65"/>
      <c r="AF246" s="64"/>
      <c r="AG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K247" s="64"/>
      <c r="L247" s="64"/>
      <c r="M247" s="64"/>
      <c r="N247" s="64"/>
      <c r="O247" s="64"/>
      <c r="R247" s="64"/>
      <c r="S247" s="64"/>
      <c r="T247" s="64"/>
      <c r="U247" s="64"/>
      <c r="V247" s="64"/>
      <c r="Y247" s="64"/>
      <c r="Z247" s="64"/>
      <c r="AA247" s="64"/>
      <c r="AB247" s="64"/>
      <c r="AC247" s="65"/>
      <c r="AF247" s="64"/>
      <c r="AG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K248" s="64"/>
      <c r="L248" s="64"/>
      <c r="M248" s="64"/>
      <c r="N248" s="64"/>
      <c r="O248" s="64"/>
      <c r="R248" s="64"/>
      <c r="S248" s="64"/>
      <c r="T248" s="64"/>
      <c r="U248" s="64"/>
      <c r="V248" s="64"/>
      <c r="Y248" s="64"/>
      <c r="Z248" s="64"/>
      <c r="AA248" s="64"/>
      <c r="AB248" s="64"/>
      <c r="AC248" s="65"/>
      <c r="AF248" s="64"/>
      <c r="AG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K249" s="64"/>
      <c r="L249" s="64"/>
      <c r="M249" s="64"/>
      <c r="N249" s="64"/>
      <c r="O249" s="64"/>
      <c r="R249" s="64"/>
      <c r="S249" s="64"/>
      <c r="T249" s="64"/>
      <c r="U249" s="64"/>
      <c r="V249" s="64"/>
      <c r="Y249" s="64"/>
      <c r="Z249" s="64"/>
      <c r="AA249" s="64"/>
      <c r="AB249" s="64"/>
      <c r="AC249" s="65"/>
      <c r="AF249" s="64"/>
      <c r="AG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K250" s="64"/>
      <c r="L250" s="64"/>
      <c r="M250" s="64"/>
      <c r="N250" s="64"/>
      <c r="O250" s="64"/>
      <c r="R250" s="64"/>
      <c r="S250" s="64"/>
      <c r="T250" s="64"/>
      <c r="U250" s="64"/>
      <c r="V250" s="64"/>
      <c r="Y250" s="64"/>
      <c r="Z250" s="64"/>
      <c r="AA250" s="64"/>
      <c r="AB250" s="64"/>
      <c r="AC250" s="65"/>
      <c r="AF250" s="64"/>
      <c r="AG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K251" s="64"/>
      <c r="L251" s="64"/>
      <c r="M251" s="64"/>
      <c r="N251" s="64"/>
      <c r="O251" s="64"/>
      <c r="R251" s="64"/>
      <c r="S251" s="64"/>
      <c r="T251" s="64"/>
      <c r="U251" s="64"/>
      <c r="V251" s="64"/>
      <c r="Y251" s="64"/>
      <c r="Z251" s="64"/>
      <c r="AA251" s="64"/>
      <c r="AB251" s="64"/>
      <c r="AC251" s="65"/>
      <c r="AF251" s="64"/>
      <c r="AG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K252" s="64"/>
      <c r="L252" s="64"/>
      <c r="M252" s="64"/>
      <c r="N252" s="64"/>
      <c r="O252" s="64"/>
      <c r="R252" s="64"/>
      <c r="S252" s="64"/>
      <c r="T252" s="64"/>
      <c r="U252" s="64"/>
      <c r="V252" s="64"/>
      <c r="Y252" s="64"/>
      <c r="Z252" s="64"/>
      <c r="AA252" s="64"/>
      <c r="AB252" s="64"/>
      <c r="AC252" s="65"/>
      <c r="AF252" s="64"/>
      <c r="AG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K253" s="64"/>
      <c r="L253" s="64"/>
      <c r="M253" s="64"/>
      <c r="N253" s="64"/>
      <c r="O253" s="64"/>
      <c r="R253" s="64"/>
      <c r="S253" s="64"/>
      <c r="T253" s="64"/>
      <c r="U253" s="64"/>
      <c r="V253" s="64"/>
      <c r="Y253" s="64"/>
      <c r="Z253" s="64"/>
      <c r="AA253" s="64"/>
      <c r="AB253" s="64"/>
      <c r="AC253" s="65"/>
      <c r="AF253" s="64"/>
      <c r="AG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K254" s="64"/>
      <c r="L254" s="64"/>
      <c r="M254" s="64"/>
      <c r="N254" s="64"/>
      <c r="O254" s="64"/>
      <c r="R254" s="64"/>
      <c r="S254" s="64"/>
      <c r="T254" s="64"/>
      <c r="U254" s="64"/>
      <c r="V254" s="64"/>
      <c r="Y254" s="64"/>
      <c r="Z254" s="64"/>
      <c r="AA254" s="64"/>
      <c r="AB254" s="64"/>
      <c r="AC254" s="65"/>
      <c r="AF254" s="64"/>
      <c r="AG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K255" s="64"/>
      <c r="L255" s="64"/>
      <c r="M255" s="64"/>
      <c r="N255" s="64"/>
      <c r="O255" s="64"/>
      <c r="R255" s="64"/>
      <c r="S255" s="64"/>
      <c r="T255" s="64"/>
      <c r="U255" s="64"/>
      <c r="V255" s="64"/>
      <c r="Y255" s="64"/>
      <c r="Z255" s="64"/>
      <c r="AA255" s="64"/>
      <c r="AB255" s="64"/>
      <c r="AC255" s="65"/>
      <c r="AF255" s="64"/>
      <c r="AG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K256" s="64"/>
      <c r="L256" s="64"/>
      <c r="M256" s="64"/>
      <c r="N256" s="64"/>
      <c r="O256" s="64"/>
      <c r="R256" s="64"/>
      <c r="S256" s="64"/>
      <c r="T256" s="64"/>
      <c r="U256" s="64"/>
      <c r="V256" s="64"/>
      <c r="Y256" s="64"/>
      <c r="Z256" s="64"/>
      <c r="AA256" s="64"/>
      <c r="AB256" s="64"/>
      <c r="AC256" s="65"/>
      <c r="AF256" s="64"/>
      <c r="AG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K257" s="64"/>
      <c r="L257" s="64"/>
      <c r="M257" s="64"/>
      <c r="N257" s="64"/>
      <c r="O257" s="64"/>
      <c r="R257" s="64"/>
      <c r="S257" s="64"/>
      <c r="T257" s="64"/>
      <c r="U257" s="64"/>
      <c r="V257" s="64"/>
      <c r="Y257" s="64"/>
      <c r="Z257" s="64"/>
      <c r="AA257" s="64"/>
      <c r="AB257" s="64"/>
      <c r="AC257" s="65"/>
      <c r="AF257" s="64"/>
      <c r="AG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K258" s="64"/>
      <c r="L258" s="64"/>
      <c r="M258" s="64"/>
      <c r="N258" s="64"/>
      <c r="O258" s="64"/>
      <c r="R258" s="64"/>
      <c r="S258" s="64"/>
      <c r="T258" s="64"/>
      <c r="U258" s="64"/>
      <c r="V258" s="64"/>
      <c r="Y258" s="64"/>
      <c r="Z258" s="64"/>
      <c r="AA258" s="64"/>
      <c r="AB258" s="64"/>
      <c r="AC258" s="65"/>
      <c r="AF258" s="64"/>
      <c r="AG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K259" s="64"/>
      <c r="L259" s="64"/>
      <c r="M259" s="64"/>
      <c r="N259" s="64"/>
      <c r="O259" s="64"/>
      <c r="R259" s="64"/>
      <c r="S259" s="64"/>
      <c r="T259" s="64"/>
      <c r="U259" s="64"/>
      <c r="V259" s="64"/>
      <c r="Y259" s="64"/>
      <c r="Z259" s="64"/>
      <c r="AA259" s="64"/>
      <c r="AB259" s="64"/>
      <c r="AC259" s="65"/>
      <c r="AF259" s="64"/>
      <c r="AG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K260" s="64"/>
      <c r="L260" s="64"/>
      <c r="M260" s="64"/>
      <c r="N260" s="64"/>
      <c r="O260" s="64"/>
      <c r="R260" s="64"/>
      <c r="S260" s="64"/>
      <c r="T260" s="64"/>
      <c r="U260" s="64"/>
      <c r="V260" s="64"/>
      <c r="Y260" s="64"/>
      <c r="Z260" s="64"/>
      <c r="AA260" s="64"/>
      <c r="AB260" s="64"/>
      <c r="AC260" s="65"/>
      <c r="AF260" s="64"/>
      <c r="AG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K261" s="64"/>
      <c r="L261" s="64"/>
      <c r="M261" s="64"/>
      <c r="N261" s="64"/>
      <c r="O261" s="64"/>
      <c r="R261" s="64"/>
      <c r="S261" s="64"/>
      <c r="T261" s="64"/>
      <c r="U261" s="64"/>
      <c r="V261" s="64"/>
      <c r="Y261" s="64"/>
      <c r="Z261" s="64"/>
      <c r="AA261" s="64"/>
      <c r="AB261" s="64"/>
      <c r="AC261" s="65"/>
      <c r="AF261" s="64"/>
      <c r="AG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K262" s="64"/>
      <c r="L262" s="64"/>
      <c r="M262" s="64"/>
      <c r="N262" s="64"/>
      <c r="O262" s="64"/>
      <c r="R262" s="64"/>
      <c r="S262" s="64"/>
      <c r="T262" s="64"/>
      <c r="U262" s="64"/>
      <c r="V262" s="64"/>
      <c r="Y262" s="64"/>
      <c r="Z262" s="64"/>
      <c r="AA262" s="64"/>
      <c r="AB262" s="64"/>
      <c r="AC262" s="65"/>
      <c r="AF262" s="64"/>
      <c r="AG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K263" s="64"/>
      <c r="L263" s="64"/>
      <c r="M263" s="64"/>
      <c r="N263" s="64"/>
      <c r="O263" s="64"/>
      <c r="R263" s="64"/>
      <c r="S263" s="64"/>
      <c r="T263" s="64"/>
      <c r="U263" s="64"/>
      <c r="V263" s="64"/>
      <c r="Y263" s="64"/>
      <c r="Z263" s="64"/>
      <c r="AA263" s="64"/>
      <c r="AB263" s="64"/>
      <c r="AC263" s="65"/>
      <c r="AF263" s="64"/>
      <c r="AG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K264" s="64"/>
      <c r="L264" s="64"/>
      <c r="M264" s="64"/>
      <c r="N264" s="64"/>
      <c r="O264" s="64"/>
      <c r="R264" s="64"/>
      <c r="S264" s="64"/>
      <c r="T264" s="64"/>
      <c r="U264" s="64"/>
      <c r="V264" s="64"/>
      <c r="Y264" s="64"/>
      <c r="Z264" s="64"/>
      <c r="AA264" s="64"/>
      <c r="AB264" s="64"/>
      <c r="AC264" s="65"/>
      <c r="AF264" s="64"/>
      <c r="AG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K265" s="64"/>
      <c r="L265" s="64"/>
      <c r="M265" s="64"/>
      <c r="N265" s="64"/>
      <c r="O265" s="64"/>
      <c r="R265" s="64"/>
      <c r="S265" s="64"/>
      <c r="T265" s="64"/>
      <c r="U265" s="64"/>
      <c r="V265" s="64"/>
      <c r="Y265" s="64"/>
      <c r="Z265" s="64"/>
      <c r="AA265" s="64"/>
      <c r="AB265" s="64"/>
      <c r="AC265" s="65"/>
      <c r="AF265" s="64"/>
      <c r="AG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K266" s="64"/>
      <c r="L266" s="64"/>
      <c r="M266" s="64"/>
      <c r="N266" s="64"/>
      <c r="O266" s="64"/>
      <c r="R266" s="64"/>
      <c r="S266" s="64"/>
      <c r="T266" s="64"/>
      <c r="U266" s="64"/>
      <c r="V266" s="64"/>
      <c r="Y266" s="64"/>
      <c r="Z266" s="64"/>
      <c r="AA266" s="64"/>
      <c r="AB266" s="64"/>
      <c r="AC266" s="65"/>
      <c r="AF266" s="64"/>
      <c r="AG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K267" s="64"/>
      <c r="L267" s="64"/>
      <c r="M267" s="64"/>
      <c r="N267" s="64"/>
      <c r="O267" s="64"/>
      <c r="R267" s="64"/>
      <c r="S267" s="64"/>
      <c r="T267" s="64"/>
      <c r="U267" s="64"/>
      <c r="V267" s="64"/>
      <c r="Y267" s="64"/>
      <c r="Z267" s="64"/>
      <c r="AA267" s="64"/>
      <c r="AB267" s="64"/>
      <c r="AC267" s="65"/>
      <c r="AF267" s="64"/>
      <c r="AG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K268" s="64"/>
      <c r="L268" s="64"/>
      <c r="M268" s="64"/>
      <c r="N268" s="64"/>
      <c r="O268" s="64"/>
      <c r="R268" s="64"/>
      <c r="S268" s="64"/>
      <c r="T268" s="64"/>
      <c r="U268" s="64"/>
      <c r="V268" s="64"/>
      <c r="Y268" s="64"/>
      <c r="Z268" s="64"/>
      <c r="AA268" s="64"/>
      <c r="AB268" s="64"/>
      <c r="AC268" s="65"/>
      <c r="AF268" s="64"/>
      <c r="AG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K269" s="64"/>
      <c r="L269" s="64"/>
      <c r="M269" s="64"/>
      <c r="N269" s="64"/>
      <c r="O269" s="64"/>
      <c r="R269" s="64"/>
      <c r="S269" s="64"/>
      <c r="T269" s="64"/>
      <c r="U269" s="64"/>
      <c r="V269" s="64"/>
      <c r="Y269" s="64"/>
      <c r="Z269" s="64"/>
      <c r="AA269" s="64"/>
      <c r="AB269" s="64"/>
      <c r="AC269" s="65"/>
      <c r="AF269" s="64"/>
      <c r="AG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K270" s="64"/>
      <c r="L270" s="64"/>
      <c r="M270" s="64"/>
      <c r="N270" s="64"/>
      <c r="O270" s="64"/>
      <c r="R270" s="64"/>
      <c r="S270" s="64"/>
      <c r="T270" s="64"/>
      <c r="U270" s="64"/>
      <c r="V270" s="64"/>
      <c r="Y270" s="64"/>
      <c r="Z270" s="64"/>
      <c r="AA270" s="64"/>
      <c r="AB270" s="64"/>
      <c r="AC270" s="65"/>
      <c r="AF270" s="64"/>
      <c r="AG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K271" s="64"/>
      <c r="L271" s="64"/>
      <c r="M271" s="64"/>
      <c r="N271" s="64"/>
      <c r="O271" s="64"/>
      <c r="R271" s="64"/>
      <c r="S271" s="64"/>
      <c r="T271" s="64"/>
      <c r="U271" s="64"/>
      <c r="V271" s="64"/>
      <c r="Y271" s="64"/>
      <c r="Z271" s="64"/>
      <c r="AA271" s="64"/>
      <c r="AB271" s="64"/>
      <c r="AC271" s="65"/>
      <c r="AF271" s="64"/>
      <c r="AG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K272" s="64"/>
      <c r="L272" s="64"/>
      <c r="M272" s="64"/>
      <c r="N272" s="64"/>
      <c r="O272" s="64"/>
      <c r="R272" s="64"/>
      <c r="S272" s="64"/>
      <c r="T272" s="64"/>
      <c r="U272" s="64"/>
      <c r="V272" s="64"/>
      <c r="Y272" s="64"/>
      <c r="Z272" s="64"/>
      <c r="AA272" s="64"/>
      <c r="AB272" s="64"/>
      <c r="AC272" s="65"/>
      <c r="AF272" s="64"/>
      <c r="AG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K273" s="64"/>
      <c r="L273" s="64"/>
      <c r="M273" s="64"/>
      <c r="N273" s="64"/>
      <c r="O273" s="64"/>
      <c r="R273" s="64"/>
      <c r="S273" s="64"/>
      <c r="T273" s="64"/>
      <c r="U273" s="64"/>
      <c r="V273" s="64"/>
      <c r="Y273" s="64"/>
      <c r="Z273" s="64"/>
      <c r="AA273" s="64"/>
      <c r="AB273" s="64"/>
      <c r="AC273" s="65"/>
      <c r="AF273" s="64"/>
      <c r="AG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K274" s="64"/>
      <c r="L274" s="64"/>
      <c r="M274" s="64"/>
      <c r="N274" s="64"/>
      <c r="O274" s="64"/>
      <c r="R274" s="64"/>
      <c r="S274" s="64"/>
      <c r="T274" s="64"/>
      <c r="U274" s="64"/>
      <c r="V274" s="64"/>
      <c r="Y274" s="64"/>
      <c r="Z274" s="64"/>
      <c r="AA274" s="64"/>
      <c r="AB274" s="64"/>
      <c r="AC274" s="65"/>
      <c r="AF274" s="64"/>
      <c r="AG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K275" s="64"/>
      <c r="L275" s="64"/>
      <c r="M275" s="64"/>
      <c r="N275" s="64"/>
      <c r="O275" s="64"/>
      <c r="R275" s="64"/>
      <c r="S275" s="64"/>
      <c r="T275" s="64"/>
      <c r="U275" s="64"/>
      <c r="V275" s="64"/>
      <c r="Y275" s="64"/>
      <c r="Z275" s="64"/>
      <c r="AA275" s="64"/>
      <c r="AB275" s="64"/>
      <c r="AC275" s="65"/>
      <c r="AF275" s="64"/>
      <c r="AG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K276" s="64"/>
      <c r="L276" s="64"/>
      <c r="M276" s="64"/>
      <c r="N276" s="64"/>
      <c r="O276" s="64"/>
      <c r="R276" s="64"/>
      <c r="S276" s="64"/>
      <c r="T276" s="64"/>
      <c r="U276" s="64"/>
      <c r="V276" s="64"/>
      <c r="Y276" s="64"/>
      <c r="Z276" s="64"/>
      <c r="AA276" s="64"/>
      <c r="AB276" s="64"/>
      <c r="AC276" s="65"/>
      <c r="AF276" s="64"/>
      <c r="AG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K277" s="64"/>
      <c r="L277" s="64"/>
      <c r="M277" s="64"/>
      <c r="N277" s="64"/>
      <c r="O277" s="64"/>
      <c r="R277" s="64"/>
      <c r="S277" s="64"/>
      <c r="T277" s="64"/>
      <c r="U277" s="64"/>
      <c r="V277" s="64"/>
      <c r="Y277" s="64"/>
      <c r="Z277" s="64"/>
      <c r="AA277" s="64"/>
      <c r="AB277" s="64"/>
      <c r="AC277" s="65"/>
      <c r="AF277" s="64"/>
      <c r="AG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K278" s="64"/>
      <c r="L278" s="64"/>
      <c r="M278" s="64"/>
      <c r="N278" s="64"/>
      <c r="O278" s="64"/>
      <c r="R278" s="64"/>
      <c r="S278" s="64"/>
      <c r="T278" s="64"/>
      <c r="U278" s="64"/>
      <c r="V278" s="64"/>
      <c r="Y278" s="64"/>
      <c r="Z278" s="64"/>
      <c r="AA278" s="64"/>
      <c r="AB278" s="64"/>
      <c r="AC278" s="65"/>
      <c r="AF278" s="64"/>
      <c r="AG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K279" s="64"/>
      <c r="L279" s="64"/>
      <c r="M279" s="64"/>
      <c r="N279" s="64"/>
      <c r="O279" s="64"/>
      <c r="R279" s="64"/>
      <c r="S279" s="64"/>
      <c r="T279" s="64"/>
      <c r="U279" s="64"/>
      <c r="V279" s="64"/>
      <c r="Y279" s="64"/>
      <c r="Z279" s="64"/>
      <c r="AA279" s="64"/>
      <c r="AB279" s="64"/>
      <c r="AC279" s="65"/>
      <c r="AF279" s="64"/>
      <c r="AG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K280" s="64"/>
      <c r="L280" s="64"/>
      <c r="M280" s="64"/>
      <c r="N280" s="64"/>
      <c r="O280" s="64"/>
      <c r="R280" s="64"/>
      <c r="S280" s="64"/>
      <c r="T280" s="64"/>
      <c r="U280" s="64"/>
      <c r="V280" s="64"/>
      <c r="Y280" s="64"/>
      <c r="Z280" s="64"/>
      <c r="AA280" s="64"/>
      <c r="AB280" s="64"/>
      <c r="AC280" s="65"/>
      <c r="AF280" s="64"/>
      <c r="AG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K281" s="64"/>
      <c r="L281" s="64"/>
      <c r="M281" s="64"/>
      <c r="N281" s="64"/>
      <c r="O281" s="64"/>
      <c r="R281" s="64"/>
      <c r="S281" s="64"/>
      <c r="T281" s="64"/>
      <c r="U281" s="64"/>
      <c r="V281" s="64"/>
      <c r="Y281" s="64"/>
      <c r="Z281" s="64"/>
      <c r="AA281" s="64"/>
      <c r="AB281" s="64"/>
      <c r="AC281" s="65"/>
      <c r="AF281" s="64"/>
      <c r="AG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K282" s="64"/>
      <c r="L282" s="64"/>
      <c r="M282" s="64"/>
      <c r="N282" s="64"/>
      <c r="O282" s="64"/>
      <c r="R282" s="64"/>
      <c r="S282" s="64"/>
      <c r="T282" s="64"/>
      <c r="U282" s="64"/>
      <c r="V282" s="64"/>
      <c r="Y282" s="64"/>
      <c r="Z282" s="64"/>
      <c r="AA282" s="64"/>
      <c r="AB282" s="64"/>
      <c r="AC282" s="65"/>
      <c r="AF282" s="64"/>
      <c r="AG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K283" s="64"/>
      <c r="L283" s="64"/>
      <c r="M283" s="64"/>
      <c r="N283" s="64"/>
      <c r="O283" s="64"/>
      <c r="R283" s="64"/>
      <c r="S283" s="64"/>
      <c r="T283" s="64"/>
      <c r="U283" s="64"/>
      <c r="V283" s="64"/>
      <c r="Y283" s="64"/>
      <c r="Z283" s="64"/>
      <c r="AA283" s="64"/>
      <c r="AB283" s="64"/>
      <c r="AC283" s="65"/>
      <c r="AF283" s="64"/>
      <c r="AG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K284" s="64"/>
      <c r="L284" s="64"/>
      <c r="M284" s="64"/>
      <c r="N284" s="64"/>
      <c r="O284" s="64"/>
      <c r="R284" s="64"/>
      <c r="S284" s="64"/>
      <c r="T284" s="64"/>
      <c r="U284" s="64"/>
      <c r="V284" s="64"/>
      <c r="Y284" s="64"/>
      <c r="Z284" s="64"/>
      <c r="AA284" s="64"/>
      <c r="AB284" s="64"/>
      <c r="AC284" s="65"/>
      <c r="AF284" s="64"/>
      <c r="AG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K285" s="64"/>
      <c r="L285" s="64"/>
      <c r="M285" s="64"/>
      <c r="N285" s="64"/>
      <c r="O285" s="64"/>
      <c r="R285" s="64"/>
      <c r="S285" s="64"/>
      <c r="T285" s="64"/>
      <c r="U285" s="64"/>
      <c r="V285" s="64"/>
      <c r="Y285" s="64"/>
      <c r="Z285" s="64"/>
      <c r="AA285" s="64"/>
      <c r="AB285" s="64"/>
      <c r="AC285" s="65"/>
      <c r="AF285" s="64"/>
      <c r="AG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K286" s="64"/>
      <c r="L286" s="64"/>
      <c r="M286" s="64"/>
      <c r="N286" s="64"/>
      <c r="O286" s="64"/>
      <c r="R286" s="64"/>
      <c r="S286" s="64"/>
      <c r="T286" s="64"/>
      <c r="U286" s="64"/>
      <c r="V286" s="64"/>
      <c r="Y286" s="64"/>
      <c r="Z286" s="64"/>
      <c r="AA286" s="64"/>
      <c r="AB286" s="64"/>
      <c r="AC286" s="65"/>
      <c r="AF286" s="64"/>
      <c r="AG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K287" s="64"/>
      <c r="L287" s="64"/>
      <c r="M287" s="64"/>
      <c r="N287" s="64"/>
      <c r="O287" s="64"/>
      <c r="R287" s="64"/>
      <c r="S287" s="64"/>
      <c r="T287" s="64"/>
      <c r="U287" s="64"/>
      <c r="V287" s="64"/>
      <c r="Y287" s="64"/>
      <c r="Z287" s="64"/>
      <c r="AA287" s="64"/>
      <c r="AB287" s="64"/>
      <c r="AC287" s="65"/>
      <c r="AF287" s="64"/>
      <c r="AG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K288" s="64"/>
      <c r="L288" s="64"/>
      <c r="M288" s="64"/>
      <c r="N288" s="64"/>
      <c r="O288" s="64"/>
      <c r="R288" s="64"/>
      <c r="S288" s="64"/>
      <c r="T288" s="64"/>
      <c r="U288" s="64"/>
      <c r="V288" s="64"/>
      <c r="Y288" s="64"/>
      <c r="Z288" s="64"/>
      <c r="AA288" s="64"/>
      <c r="AB288" s="64"/>
      <c r="AC288" s="65"/>
      <c r="AF288" s="64"/>
      <c r="AG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K289" s="64"/>
      <c r="L289" s="64"/>
      <c r="M289" s="64"/>
      <c r="N289" s="64"/>
      <c r="O289" s="64"/>
      <c r="R289" s="64"/>
      <c r="S289" s="64"/>
      <c r="T289" s="64"/>
      <c r="U289" s="64"/>
      <c r="V289" s="64"/>
      <c r="Y289" s="64"/>
      <c r="Z289" s="64"/>
      <c r="AA289" s="64"/>
      <c r="AB289" s="64"/>
      <c r="AC289" s="65"/>
      <c r="AF289" s="64"/>
      <c r="AG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K290" s="64"/>
      <c r="L290" s="64"/>
      <c r="M290" s="64"/>
      <c r="N290" s="64"/>
      <c r="O290" s="64"/>
      <c r="R290" s="64"/>
      <c r="S290" s="64"/>
      <c r="T290" s="64"/>
      <c r="U290" s="64"/>
      <c r="V290" s="64"/>
      <c r="Y290" s="64"/>
      <c r="Z290" s="64"/>
      <c r="AA290" s="64"/>
      <c r="AB290" s="64"/>
      <c r="AC290" s="65"/>
      <c r="AF290" s="64"/>
      <c r="AG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K291" s="64"/>
      <c r="L291" s="64"/>
      <c r="M291" s="64"/>
      <c r="N291" s="64"/>
      <c r="O291" s="64"/>
      <c r="R291" s="64"/>
      <c r="S291" s="64"/>
      <c r="T291" s="64"/>
      <c r="U291" s="64"/>
      <c r="V291" s="64"/>
      <c r="Y291" s="64"/>
      <c r="Z291" s="64"/>
      <c r="AA291" s="64"/>
      <c r="AB291" s="64"/>
      <c r="AC291" s="65"/>
      <c r="AF291" s="64"/>
      <c r="AG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K292" s="64"/>
      <c r="L292" s="64"/>
      <c r="M292" s="64"/>
      <c r="N292" s="64"/>
      <c r="O292" s="64"/>
      <c r="R292" s="64"/>
      <c r="S292" s="64"/>
      <c r="T292" s="64"/>
      <c r="U292" s="64"/>
      <c r="V292" s="64"/>
      <c r="Y292" s="64"/>
      <c r="Z292" s="64"/>
      <c r="AA292" s="64"/>
      <c r="AB292" s="64"/>
      <c r="AC292" s="65"/>
      <c r="AF292" s="64"/>
      <c r="AG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K293" s="64"/>
      <c r="L293" s="64"/>
      <c r="M293" s="64"/>
      <c r="N293" s="64"/>
      <c r="O293" s="64"/>
      <c r="R293" s="64"/>
      <c r="S293" s="64"/>
      <c r="T293" s="64"/>
      <c r="U293" s="64"/>
      <c r="V293" s="64"/>
      <c r="Y293" s="64"/>
      <c r="Z293" s="64"/>
      <c r="AA293" s="64"/>
      <c r="AB293" s="64"/>
      <c r="AC293" s="65"/>
      <c r="AF293" s="64"/>
      <c r="AG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K294" s="64"/>
      <c r="L294" s="64"/>
      <c r="M294" s="64"/>
      <c r="N294" s="64"/>
      <c r="O294" s="64"/>
      <c r="R294" s="64"/>
      <c r="S294" s="64"/>
      <c r="T294" s="64"/>
      <c r="U294" s="64"/>
      <c r="V294" s="64"/>
      <c r="Y294" s="64"/>
      <c r="Z294" s="64"/>
      <c r="AA294" s="64"/>
      <c r="AB294" s="64"/>
      <c r="AC294" s="65"/>
      <c r="AF294" s="64"/>
      <c r="AG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K295" s="64"/>
      <c r="L295" s="64"/>
      <c r="M295" s="64"/>
      <c r="N295" s="64"/>
      <c r="O295" s="64"/>
      <c r="R295" s="64"/>
      <c r="S295" s="64"/>
      <c r="T295" s="64"/>
      <c r="U295" s="64"/>
      <c r="V295" s="64"/>
      <c r="Y295" s="64"/>
      <c r="Z295" s="64"/>
      <c r="AA295" s="64"/>
      <c r="AB295" s="64"/>
      <c r="AC295" s="65"/>
      <c r="AF295" s="64"/>
      <c r="AG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K296" s="64"/>
      <c r="L296" s="64"/>
      <c r="M296" s="64"/>
      <c r="N296" s="64"/>
      <c r="O296" s="64"/>
      <c r="R296" s="64"/>
      <c r="S296" s="64"/>
      <c r="T296" s="64"/>
      <c r="U296" s="64"/>
      <c r="V296" s="64"/>
      <c r="Y296" s="64"/>
      <c r="Z296" s="64"/>
      <c r="AA296" s="64"/>
      <c r="AB296" s="64"/>
      <c r="AC296" s="65"/>
      <c r="AF296" s="64"/>
      <c r="AG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K297" s="64"/>
      <c r="L297" s="64"/>
      <c r="M297" s="64"/>
      <c r="N297" s="64"/>
      <c r="O297" s="64"/>
      <c r="R297" s="64"/>
      <c r="S297" s="64"/>
      <c r="T297" s="64"/>
      <c r="U297" s="64"/>
      <c r="V297" s="64"/>
      <c r="Y297" s="64"/>
      <c r="Z297" s="64"/>
      <c r="AA297" s="64"/>
      <c r="AB297" s="64"/>
      <c r="AC297" s="65"/>
      <c r="AF297" s="64"/>
      <c r="AG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K298" s="64"/>
      <c r="L298" s="64"/>
      <c r="M298" s="64"/>
      <c r="N298" s="64"/>
      <c r="O298" s="64"/>
      <c r="R298" s="64"/>
      <c r="S298" s="64"/>
      <c r="T298" s="64"/>
      <c r="U298" s="64"/>
      <c r="V298" s="64"/>
      <c r="Y298" s="64"/>
      <c r="Z298" s="64"/>
      <c r="AA298" s="64"/>
      <c r="AB298" s="64"/>
      <c r="AC298" s="65"/>
      <c r="AF298" s="64"/>
      <c r="AG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K299" s="64"/>
      <c r="L299" s="64"/>
      <c r="M299" s="64"/>
      <c r="N299" s="64"/>
      <c r="O299" s="64"/>
      <c r="R299" s="64"/>
      <c r="S299" s="64"/>
      <c r="T299" s="64"/>
      <c r="U299" s="64"/>
      <c r="V299" s="64"/>
      <c r="Y299" s="64"/>
      <c r="Z299" s="64"/>
      <c r="AA299" s="64"/>
      <c r="AB299" s="64"/>
      <c r="AC299" s="65"/>
      <c r="AF299" s="64"/>
      <c r="AG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K300" s="64"/>
      <c r="L300" s="64"/>
      <c r="M300" s="64"/>
      <c r="N300" s="64"/>
      <c r="O300" s="64"/>
      <c r="R300" s="64"/>
      <c r="S300" s="64"/>
      <c r="T300" s="64"/>
      <c r="U300" s="64"/>
      <c r="V300" s="64"/>
      <c r="Y300" s="64"/>
      <c r="Z300" s="64"/>
      <c r="AA300" s="64"/>
      <c r="AB300" s="64"/>
      <c r="AC300" s="65"/>
      <c r="AF300" s="64"/>
      <c r="AG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K301" s="64"/>
      <c r="L301" s="64"/>
      <c r="M301" s="64"/>
      <c r="N301" s="64"/>
      <c r="O301" s="64"/>
      <c r="R301" s="64"/>
      <c r="S301" s="64"/>
      <c r="T301" s="64"/>
      <c r="U301" s="64"/>
      <c r="V301" s="64"/>
      <c r="Y301" s="64"/>
      <c r="Z301" s="64"/>
      <c r="AA301" s="64"/>
      <c r="AB301" s="64"/>
      <c r="AC301" s="65"/>
      <c r="AF301" s="64"/>
      <c r="AG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K302" s="64"/>
      <c r="L302" s="64"/>
      <c r="M302" s="64"/>
      <c r="N302" s="64"/>
      <c r="O302" s="64"/>
      <c r="R302" s="64"/>
      <c r="S302" s="64"/>
      <c r="T302" s="64"/>
      <c r="U302" s="64"/>
      <c r="V302" s="64"/>
      <c r="Y302" s="64"/>
      <c r="Z302" s="64"/>
      <c r="AA302" s="64"/>
      <c r="AB302" s="64"/>
      <c r="AC302" s="65"/>
      <c r="AF302" s="64"/>
      <c r="AG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K303" s="64"/>
      <c r="L303" s="64"/>
      <c r="M303" s="64"/>
      <c r="N303" s="64"/>
      <c r="O303" s="64"/>
      <c r="R303" s="64"/>
      <c r="S303" s="64"/>
      <c r="T303" s="64"/>
      <c r="U303" s="64"/>
      <c r="V303" s="64"/>
      <c r="Y303" s="64"/>
      <c r="Z303" s="64"/>
      <c r="AA303" s="64"/>
      <c r="AB303" s="64"/>
      <c r="AC303" s="65"/>
      <c r="AF303" s="64"/>
      <c r="AG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K304" s="64"/>
      <c r="L304" s="64"/>
      <c r="M304" s="64"/>
      <c r="N304" s="64"/>
      <c r="O304" s="64"/>
      <c r="R304" s="64"/>
      <c r="S304" s="64"/>
      <c r="T304" s="64"/>
      <c r="U304" s="64"/>
      <c r="V304" s="64"/>
      <c r="Y304" s="64"/>
      <c r="Z304" s="64"/>
      <c r="AA304" s="64"/>
      <c r="AB304" s="64"/>
      <c r="AC304" s="65"/>
      <c r="AF304" s="64"/>
      <c r="AG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K305" s="64"/>
      <c r="L305" s="64"/>
      <c r="M305" s="64"/>
      <c r="N305" s="64"/>
      <c r="O305" s="64"/>
      <c r="R305" s="64"/>
      <c r="S305" s="64"/>
      <c r="T305" s="64"/>
      <c r="U305" s="64"/>
      <c r="V305" s="64"/>
      <c r="Y305" s="64"/>
      <c r="Z305" s="64"/>
      <c r="AA305" s="64"/>
      <c r="AB305" s="64"/>
      <c r="AC305" s="65"/>
      <c r="AF305" s="64"/>
      <c r="AG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K306" s="64"/>
      <c r="L306" s="64"/>
      <c r="M306" s="64"/>
      <c r="N306" s="64"/>
      <c r="O306" s="64"/>
      <c r="R306" s="64"/>
      <c r="S306" s="64"/>
      <c r="T306" s="64"/>
      <c r="U306" s="64"/>
      <c r="V306" s="64"/>
      <c r="Y306" s="64"/>
      <c r="Z306" s="64"/>
      <c r="AA306" s="64"/>
      <c r="AB306" s="64"/>
      <c r="AC306" s="65"/>
      <c r="AF306" s="64"/>
      <c r="AG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K307" s="64"/>
      <c r="L307" s="64"/>
      <c r="M307" s="64"/>
      <c r="N307" s="64"/>
      <c r="O307" s="64"/>
      <c r="R307" s="64"/>
      <c r="S307" s="64"/>
      <c r="T307" s="64"/>
      <c r="U307" s="64"/>
      <c r="V307" s="64"/>
      <c r="Y307" s="64"/>
      <c r="Z307" s="64"/>
      <c r="AA307" s="64"/>
      <c r="AB307" s="64"/>
      <c r="AC307" s="65"/>
      <c r="AF307" s="64"/>
      <c r="AG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K308" s="64"/>
      <c r="L308" s="64"/>
      <c r="M308" s="64"/>
      <c r="N308" s="64"/>
      <c r="O308" s="64"/>
      <c r="R308" s="64"/>
      <c r="S308" s="64"/>
      <c r="T308" s="64"/>
      <c r="U308" s="64"/>
      <c r="V308" s="64"/>
      <c r="Y308" s="64"/>
      <c r="Z308" s="64"/>
      <c r="AA308" s="64"/>
      <c r="AB308" s="64"/>
      <c r="AC308" s="65"/>
      <c r="AF308" s="64"/>
      <c r="AG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K309" s="64"/>
      <c r="L309" s="64"/>
      <c r="M309" s="64"/>
      <c r="N309" s="64"/>
      <c r="O309" s="64"/>
      <c r="R309" s="64"/>
      <c r="S309" s="64"/>
      <c r="T309" s="64"/>
      <c r="U309" s="64"/>
      <c r="V309" s="64"/>
      <c r="Y309" s="64"/>
      <c r="Z309" s="64"/>
      <c r="AA309" s="64"/>
      <c r="AB309" s="64"/>
      <c r="AC309" s="65"/>
      <c r="AF309" s="64"/>
      <c r="AG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K310" s="64"/>
      <c r="L310" s="64"/>
      <c r="M310" s="64"/>
      <c r="N310" s="64"/>
      <c r="O310" s="64"/>
      <c r="R310" s="64"/>
      <c r="S310" s="64"/>
      <c r="T310" s="64"/>
      <c r="U310" s="64"/>
      <c r="V310" s="64"/>
      <c r="Y310" s="64"/>
      <c r="Z310" s="64"/>
      <c r="AA310" s="64"/>
      <c r="AB310" s="64"/>
      <c r="AC310" s="65"/>
      <c r="AF310" s="64"/>
      <c r="AG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K311" s="64"/>
      <c r="L311" s="64"/>
      <c r="M311" s="64"/>
      <c r="N311" s="64"/>
      <c r="O311" s="64"/>
      <c r="R311" s="64"/>
      <c r="S311" s="64"/>
      <c r="T311" s="64"/>
      <c r="U311" s="64"/>
      <c r="V311" s="64"/>
      <c r="Y311" s="64"/>
      <c r="Z311" s="64"/>
      <c r="AA311" s="64"/>
      <c r="AB311" s="64"/>
      <c r="AC311" s="65"/>
      <c r="AF311" s="64"/>
      <c r="AG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K312" s="64"/>
      <c r="L312" s="64"/>
      <c r="M312" s="64"/>
      <c r="N312" s="64"/>
      <c r="O312" s="64"/>
      <c r="R312" s="64"/>
      <c r="S312" s="64"/>
      <c r="T312" s="64"/>
      <c r="U312" s="64"/>
      <c r="V312" s="64"/>
      <c r="Y312" s="64"/>
      <c r="Z312" s="64"/>
      <c r="AA312" s="64"/>
      <c r="AB312" s="64"/>
      <c r="AC312" s="65"/>
      <c r="AF312" s="64"/>
      <c r="AG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K313" s="64"/>
      <c r="L313" s="64"/>
      <c r="M313" s="64"/>
      <c r="N313" s="64"/>
      <c r="O313" s="64"/>
      <c r="R313" s="64"/>
      <c r="S313" s="64"/>
      <c r="T313" s="64"/>
      <c r="U313" s="64"/>
      <c r="V313" s="64"/>
      <c r="Y313" s="64"/>
      <c r="Z313" s="64"/>
      <c r="AA313" s="64"/>
      <c r="AB313" s="64"/>
      <c r="AC313" s="65"/>
      <c r="AF313" s="64"/>
      <c r="AG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K314" s="64"/>
      <c r="L314" s="64"/>
      <c r="M314" s="64"/>
      <c r="N314" s="64"/>
      <c r="O314" s="64"/>
      <c r="R314" s="64"/>
      <c r="S314" s="64"/>
      <c r="T314" s="64"/>
      <c r="U314" s="64"/>
      <c r="V314" s="64"/>
      <c r="Y314" s="64"/>
      <c r="Z314" s="64"/>
      <c r="AA314" s="64"/>
      <c r="AB314" s="64"/>
      <c r="AC314" s="65"/>
      <c r="AF314" s="64"/>
      <c r="AG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K315" s="64"/>
      <c r="L315" s="64"/>
      <c r="M315" s="64"/>
      <c r="N315" s="64"/>
      <c r="O315" s="64"/>
      <c r="R315" s="64"/>
      <c r="S315" s="64"/>
      <c r="T315" s="64"/>
      <c r="U315" s="64"/>
      <c r="V315" s="64"/>
      <c r="Y315" s="64"/>
      <c r="Z315" s="64"/>
      <c r="AA315" s="64"/>
      <c r="AB315" s="64"/>
      <c r="AC315" s="65"/>
      <c r="AF315" s="64"/>
      <c r="AG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K316" s="64"/>
      <c r="L316" s="64"/>
      <c r="M316" s="64"/>
      <c r="N316" s="64"/>
      <c r="O316" s="64"/>
      <c r="R316" s="64"/>
      <c r="S316" s="64"/>
      <c r="T316" s="64"/>
      <c r="U316" s="64"/>
      <c r="V316" s="64"/>
      <c r="Y316" s="64"/>
      <c r="Z316" s="64"/>
      <c r="AA316" s="64"/>
      <c r="AB316" s="64"/>
      <c r="AC316" s="65"/>
      <c r="AF316" s="64"/>
      <c r="AG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K317" s="64"/>
      <c r="L317" s="64"/>
      <c r="M317" s="64"/>
      <c r="N317" s="64"/>
      <c r="O317" s="64"/>
      <c r="R317" s="64"/>
      <c r="S317" s="64"/>
      <c r="T317" s="64"/>
      <c r="U317" s="64"/>
      <c r="V317" s="64"/>
      <c r="Y317" s="64"/>
      <c r="Z317" s="64"/>
      <c r="AA317" s="64"/>
      <c r="AB317" s="64"/>
      <c r="AC317" s="65"/>
      <c r="AF317" s="64"/>
      <c r="AG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K318" s="64"/>
      <c r="L318" s="64"/>
      <c r="M318" s="64"/>
      <c r="N318" s="64"/>
      <c r="O318" s="64"/>
      <c r="R318" s="64"/>
      <c r="S318" s="64"/>
      <c r="T318" s="64"/>
      <c r="U318" s="64"/>
      <c r="V318" s="64"/>
      <c r="Y318" s="64"/>
      <c r="Z318" s="64"/>
      <c r="AA318" s="64"/>
      <c r="AB318" s="64"/>
      <c r="AC318" s="65"/>
      <c r="AF318" s="64"/>
      <c r="AG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K319" s="64"/>
      <c r="L319" s="64"/>
      <c r="M319" s="64"/>
      <c r="N319" s="64"/>
      <c r="O319" s="64"/>
      <c r="R319" s="64"/>
      <c r="S319" s="64"/>
      <c r="T319" s="64"/>
      <c r="U319" s="64"/>
      <c r="V319" s="64"/>
      <c r="Y319" s="64"/>
      <c r="Z319" s="64"/>
      <c r="AA319" s="64"/>
      <c r="AB319" s="64"/>
      <c r="AC319" s="65"/>
      <c r="AF319" s="64"/>
      <c r="AG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K320" s="64"/>
      <c r="L320" s="64"/>
      <c r="M320" s="64"/>
      <c r="N320" s="64"/>
      <c r="O320" s="64"/>
      <c r="R320" s="64"/>
      <c r="S320" s="64"/>
      <c r="T320" s="64"/>
      <c r="U320" s="64"/>
      <c r="V320" s="64"/>
      <c r="Y320" s="64"/>
      <c r="Z320" s="64"/>
      <c r="AA320" s="64"/>
      <c r="AB320" s="64"/>
      <c r="AC320" s="65"/>
      <c r="AF320" s="64"/>
      <c r="AG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K321" s="64"/>
      <c r="L321" s="64"/>
      <c r="M321" s="64"/>
      <c r="N321" s="64"/>
      <c r="O321" s="64"/>
      <c r="R321" s="64"/>
      <c r="S321" s="64"/>
      <c r="T321" s="64"/>
      <c r="U321" s="64"/>
      <c r="V321" s="64"/>
      <c r="Y321" s="64"/>
      <c r="Z321" s="64"/>
      <c r="AA321" s="64"/>
      <c r="AB321" s="64"/>
      <c r="AC321" s="65"/>
      <c r="AF321" s="64"/>
      <c r="AG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K322" s="64"/>
      <c r="L322" s="64"/>
      <c r="M322" s="64"/>
      <c r="N322" s="64"/>
      <c r="O322" s="64"/>
      <c r="R322" s="64"/>
      <c r="S322" s="64"/>
      <c r="T322" s="64"/>
      <c r="U322" s="64"/>
      <c r="V322" s="64"/>
      <c r="Y322" s="64"/>
      <c r="Z322" s="64"/>
      <c r="AA322" s="64"/>
      <c r="AB322" s="64"/>
      <c r="AC322" s="65"/>
      <c r="AF322" s="64"/>
      <c r="AG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K323" s="64"/>
      <c r="L323" s="64"/>
      <c r="M323" s="64"/>
      <c r="N323" s="64"/>
      <c r="O323" s="64"/>
      <c r="R323" s="64"/>
      <c r="S323" s="64"/>
      <c r="T323" s="64"/>
      <c r="U323" s="64"/>
      <c r="V323" s="64"/>
      <c r="Y323" s="64"/>
      <c r="Z323" s="64"/>
      <c r="AA323" s="64"/>
      <c r="AB323" s="64"/>
      <c r="AC323" s="65"/>
      <c r="AF323" s="64"/>
      <c r="AG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K324" s="64"/>
      <c r="L324" s="64"/>
      <c r="M324" s="64"/>
      <c r="N324" s="64"/>
      <c r="O324" s="64"/>
      <c r="R324" s="64"/>
      <c r="S324" s="64"/>
      <c r="T324" s="64"/>
      <c r="U324" s="64"/>
      <c r="V324" s="64"/>
      <c r="Y324" s="64"/>
      <c r="Z324" s="64"/>
      <c r="AA324" s="64"/>
      <c r="AB324" s="64"/>
      <c r="AC324" s="65"/>
      <c r="AF324" s="64"/>
      <c r="AG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K325" s="64"/>
      <c r="L325" s="64"/>
      <c r="M325" s="64"/>
      <c r="N325" s="64"/>
      <c r="O325" s="64"/>
      <c r="R325" s="64"/>
      <c r="S325" s="64"/>
      <c r="T325" s="64"/>
      <c r="U325" s="64"/>
      <c r="V325" s="64"/>
      <c r="Y325" s="64"/>
      <c r="Z325" s="64"/>
      <c r="AA325" s="64"/>
      <c r="AB325" s="64"/>
      <c r="AC325" s="65"/>
      <c r="AF325" s="64"/>
      <c r="AG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K326" s="64"/>
      <c r="L326" s="64"/>
      <c r="M326" s="64"/>
      <c r="N326" s="64"/>
      <c r="O326" s="64"/>
      <c r="R326" s="64"/>
      <c r="S326" s="64"/>
      <c r="T326" s="64"/>
      <c r="U326" s="64"/>
      <c r="V326" s="64"/>
      <c r="Y326" s="64"/>
      <c r="Z326" s="64"/>
      <c r="AA326" s="64"/>
      <c r="AB326" s="64"/>
      <c r="AC326" s="65"/>
      <c r="AF326" s="64"/>
      <c r="AG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K327" s="64"/>
      <c r="L327" s="64"/>
      <c r="M327" s="64"/>
      <c r="N327" s="64"/>
      <c r="O327" s="64"/>
      <c r="R327" s="64"/>
      <c r="S327" s="64"/>
      <c r="T327" s="64"/>
      <c r="U327" s="64"/>
      <c r="V327" s="64"/>
      <c r="Y327" s="64"/>
      <c r="Z327" s="64"/>
      <c r="AA327" s="64"/>
      <c r="AB327" s="64"/>
      <c r="AC327" s="65"/>
      <c r="AF327" s="64"/>
      <c r="AG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K328" s="64"/>
      <c r="L328" s="64"/>
      <c r="M328" s="64"/>
      <c r="N328" s="64"/>
      <c r="O328" s="64"/>
      <c r="R328" s="64"/>
      <c r="S328" s="64"/>
      <c r="T328" s="64"/>
      <c r="U328" s="64"/>
      <c r="V328" s="64"/>
      <c r="Y328" s="64"/>
      <c r="Z328" s="64"/>
      <c r="AA328" s="64"/>
      <c r="AB328" s="64"/>
      <c r="AC328" s="65"/>
      <c r="AF328" s="64"/>
      <c r="AG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K329" s="64"/>
      <c r="L329" s="64"/>
      <c r="M329" s="64"/>
      <c r="N329" s="64"/>
      <c r="O329" s="64"/>
      <c r="R329" s="64"/>
      <c r="S329" s="64"/>
      <c r="T329" s="64"/>
      <c r="U329" s="64"/>
      <c r="V329" s="64"/>
      <c r="Y329" s="64"/>
      <c r="Z329" s="64"/>
      <c r="AA329" s="64"/>
      <c r="AB329" s="64"/>
      <c r="AC329" s="65"/>
      <c r="AF329" s="64"/>
      <c r="AG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K330" s="64"/>
      <c r="L330" s="64"/>
      <c r="M330" s="64"/>
      <c r="N330" s="64"/>
      <c r="O330" s="64"/>
      <c r="R330" s="64"/>
      <c r="S330" s="64"/>
      <c r="T330" s="64"/>
      <c r="U330" s="64"/>
      <c r="V330" s="64"/>
      <c r="Y330" s="64"/>
      <c r="Z330" s="64"/>
      <c r="AA330" s="64"/>
      <c r="AB330" s="64"/>
      <c r="AC330" s="65"/>
      <c r="AF330" s="64"/>
      <c r="AG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K331" s="64"/>
      <c r="L331" s="64"/>
      <c r="M331" s="64"/>
      <c r="N331" s="64"/>
      <c r="O331" s="64"/>
      <c r="R331" s="64"/>
      <c r="S331" s="64"/>
      <c r="T331" s="64"/>
      <c r="U331" s="64"/>
      <c r="V331" s="64"/>
      <c r="Y331" s="64"/>
      <c r="Z331" s="64"/>
      <c r="AA331" s="64"/>
      <c r="AB331" s="64"/>
      <c r="AC331" s="65"/>
      <c r="AF331" s="64"/>
      <c r="AG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K332" s="64"/>
      <c r="L332" s="64"/>
      <c r="M332" s="64"/>
      <c r="N332" s="64"/>
      <c r="O332" s="64"/>
      <c r="R332" s="64"/>
      <c r="S332" s="64"/>
      <c r="T332" s="64"/>
      <c r="U332" s="64"/>
      <c r="V332" s="64"/>
      <c r="Y332" s="64"/>
      <c r="Z332" s="64"/>
      <c r="AA332" s="64"/>
      <c r="AB332" s="64"/>
      <c r="AC332" s="65"/>
      <c r="AF332" s="64"/>
      <c r="AG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K333" s="64"/>
      <c r="L333" s="64"/>
      <c r="M333" s="64"/>
      <c r="N333" s="64"/>
      <c r="O333" s="64"/>
      <c r="R333" s="64"/>
      <c r="S333" s="64"/>
      <c r="T333" s="64"/>
      <c r="U333" s="64"/>
      <c r="V333" s="64"/>
      <c r="Y333" s="64"/>
      <c r="Z333" s="64"/>
      <c r="AA333" s="64"/>
      <c r="AB333" s="64"/>
      <c r="AC333" s="65"/>
      <c r="AF333" s="64"/>
      <c r="AG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K334" s="64"/>
      <c r="L334" s="64"/>
      <c r="M334" s="64"/>
      <c r="N334" s="64"/>
      <c r="O334" s="64"/>
      <c r="R334" s="64"/>
      <c r="S334" s="64"/>
      <c r="T334" s="64"/>
      <c r="U334" s="64"/>
      <c r="V334" s="64"/>
      <c r="Y334" s="64"/>
      <c r="Z334" s="64"/>
      <c r="AA334" s="64"/>
      <c r="AB334" s="64"/>
      <c r="AC334" s="65"/>
      <c r="AF334" s="64"/>
      <c r="AG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K335" s="64"/>
      <c r="L335" s="64"/>
      <c r="M335" s="64"/>
      <c r="N335" s="64"/>
      <c r="O335" s="64"/>
      <c r="R335" s="64"/>
      <c r="S335" s="64"/>
      <c r="T335" s="64"/>
      <c r="U335" s="64"/>
      <c r="V335" s="64"/>
      <c r="Y335" s="64"/>
      <c r="Z335" s="64"/>
      <c r="AA335" s="64"/>
      <c r="AB335" s="64"/>
      <c r="AC335" s="65"/>
      <c r="AF335" s="64"/>
      <c r="AG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K336" s="64"/>
      <c r="L336" s="64"/>
      <c r="M336" s="64"/>
      <c r="N336" s="64"/>
      <c r="O336" s="64"/>
      <c r="R336" s="64"/>
      <c r="S336" s="64"/>
      <c r="T336" s="64"/>
      <c r="U336" s="64"/>
      <c r="V336" s="64"/>
      <c r="Y336" s="64"/>
      <c r="Z336" s="64"/>
      <c r="AA336" s="64"/>
      <c r="AB336" s="64"/>
      <c r="AC336" s="65"/>
      <c r="AF336" s="64"/>
      <c r="AG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K337" s="64"/>
      <c r="L337" s="64"/>
      <c r="M337" s="64"/>
      <c r="N337" s="64"/>
      <c r="O337" s="64"/>
      <c r="R337" s="64"/>
      <c r="S337" s="64"/>
      <c r="T337" s="64"/>
      <c r="U337" s="64"/>
      <c r="V337" s="64"/>
      <c r="Y337" s="64"/>
      <c r="Z337" s="64"/>
      <c r="AA337" s="64"/>
      <c r="AB337" s="64"/>
      <c r="AC337" s="65"/>
      <c r="AF337" s="64"/>
      <c r="AG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K338" s="64"/>
      <c r="L338" s="64"/>
      <c r="M338" s="64"/>
      <c r="N338" s="64"/>
      <c r="O338" s="64"/>
      <c r="R338" s="64"/>
      <c r="S338" s="64"/>
      <c r="T338" s="64"/>
      <c r="U338" s="64"/>
      <c r="V338" s="64"/>
      <c r="Y338" s="64"/>
      <c r="Z338" s="64"/>
      <c r="AA338" s="64"/>
      <c r="AB338" s="64"/>
      <c r="AC338" s="65"/>
      <c r="AF338" s="64"/>
      <c r="AG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K339" s="64"/>
      <c r="L339" s="64"/>
      <c r="M339" s="64"/>
      <c r="N339" s="64"/>
      <c r="O339" s="64"/>
      <c r="R339" s="64"/>
      <c r="S339" s="64"/>
      <c r="T339" s="64"/>
      <c r="U339" s="64"/>
      <c r="V339" s="64"/>
      <c r="Y339" s="64"/>
      <c r="Z339" s="64"/>
      <c r="AA339" s="64"/>
      <c r="AB339" s="64"/>
      <c r="AC339" s="65"/>
      <c r="AF339" s="64"/>
      <c r="AG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118" priority="8" operator="lessThan">
      <formula>0</formula>
    </cfRule>
  </conditionalFormatting>
  <conditionalFormatting sqref="M80 P80 R80:AJ80 F131:H131 J131">
    <cfRule type="cellIs" dxfId="117" priority="12" operator="lessThan">
      <formula>0</formula>
    </cfRule>
  </conditionalFormatting>
  <conditionalFormatting sqref="M120:X123">
    <cfRule type="cellIs" dxfId="116" priority="9" operator="lessThan">
      <formula>0</formula>
    </cfRule>
  </conditionalFormatting>
  <conditionalFormatting sqref="M128:X132">
    <cfRule type="cellIs" dxfId="115" priority="6" operator="lessThan">
      <formula>0</formula>
    </cfRule>
  </conditionalFormatting>
  <conditionalFormatting sqref="M77:AJ79 F77:L87 M81:AJ87 F88:AK117 M118:AJ119 F118:J130 K118:L132 AK118:AK135 F132:J135 K134:AJ135">
    <cfRule type="cellIs" dxfId="114" priority="7" operator="lessThan">
      <formula>0</formula>
    </cfRule>
  </conditionalFormatting>
  <conditionalFormatting sqref="M124:AJ124 M125:X126 M127:Q127 S127:X127">
    <cfRule type="cellIs" dxfId="113" priority="11" operator="lessThan">
      <formula>0</formula>
    </cfRule>
  </conditionalFormatting>
  <conditionalFormatting sqref="Z120:AJ123">
    <cfRule type="cellIs" dxfId="112" priority="5" operator="lessThan">
      <formula>0</formula>
    </cfRule>
  </conditionalFormatting>
  <conditionalFormatting sqref="Z125:AJ133">
    <cfRule type="cellIs" dxfId="111" priority="4" operator="lessThan">
      <formula>0</formula>
    </cfRule>
  </conditionalFormatting>
  <conditionalFormatting sqref="AK29:AK30">
    <cfRule type="cellIs" dxfId="110" priority="3" operator="lessThan">
      <formula>0</formula>
    </cfRule>
  </conditionalFormatting>
  <conditionalFormatting sqref="F29:AJ30">
    <cfRule type="cellIs" dxfId="10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AA92-89B9-4518-B971-0BBE0620E83D}">
  <dimension ref="A1:AS339"/>
  <sheetViews>
    <sheetView zoomScale="80" zoomScaleNormal="80" workbookViewId="0">
      <pane xSplit="1" ySplit="2" topLeftCell="B11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10" width="5.5703125" style="64" bestFit="1" customWidth="1"/>
    <col min="11" max="11" width="5.5703125" style="68" bestFit="1" customWidth="1"/>
    <col min="12" max="12" width="5.5703125" style="68" customWidth="1"/>
    <col min="13" max="16" width="5.5703125" style="64" bestFit="1" customWidth="1"/>
    <col min="17" max="17" width="6.140625" style="64" customWidth="1"/>
    <col min="18" max="18" width="5.5703125" style="68" customWidth="1"/>
    <col min="19" max="19" width="6.7109375" style="68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4" bestFit="1" customWidth="1"/>
    <col min="24" max="24" width="5.5703125" style="64" bestFit="1" customWidth="1"/>
    <col min="25" max="26" width="5.5703125" style="68" bestFit="1" customWidth="1"/>
    <col min="27" max="27" width="6.7109375" style="64" bestFit="1" customWidth="1"/>
    <col min="28" max="28" width="5.140625" style="64" bestFit="1" customWidth="1"/>
    <col min="29" max="29" width="5" style="64" bestFit="1" customWidth="1"/>
    <col min="30" max="30" width="6.7109375" style="65" bestFit="1" customWidth="1"/>
    <col min="31" max="31" width="5.5703125" style="65" bestFit="1" customWidth="1"/>
    <col min="32" max="33" width="4.5703125" style="68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338</v>
      </c>
      <c r="G1" s="116" t="s">
        <v>339</v>
      </c>
      <c r="H1" s="116" t="s">
        <v>333</v>
      </c>
      <c r="I1" s="116" t="s">
        <v>334</v>
      </c>
      <c r="J1" s="116" t="s">
        <v>335</v>
      </c>
      <c r="K1" s="120" t="s">
        <v>336</v>
      </c>
      <c r="L1" s="120" t="s">
        <v>337</v>
      </c>
      <c r="M1" s="116" t="s">
        <v>338</v>
      </c>
      <c r="N1" s="116" t="s">
        <v>339</v>
      </c>
      <c r="O1" s="116" t="s">
        <v>333</v>
      </c>
      <c r="P1" s="116" t="s">
        <v>334</v>
      </c>
      <c r="Q1" s="116" t="s">
        <v>335</v>
      </c>
      <c r="R1" s="120" t="s">
        <v>336</v>
      </c>
      <c r="S1" s="120" t="s">
        <v>337</v>
      </c>
      <c r="T1" s="116" t="s">
        <v>338</v>
      </c>
      <c r="U1" s="116" t="s">
        <v>339</v>
      </c>
      <c r="V1" s="116" t="s">
        <v>333</v>
      </c>
      <c r="W1" s="116" t="s">
        <v>334</v>
      </c>
      <c r="X1" s="116" t="s">
        <v>335</v>
      </c>
      <c r="Y1" s="120" t="s">
        <v>336</v>
      </c>
      <c r="Z1" s="120" t="s">
        <v>337</v>
      </c>
      <c r="AA1" s="116" t="s">
        <v>338</v>
      </c>
      <c r="AB1" s="116" t="s">
        <v>339</v>
      </c>
      <c r="AC1" s="116" t="s">
        <v>333</v>
      </c>
      <c r="AD1" s="79" t="s">
        <v>334</v>
      </c>
      <c r="AE1" s="79" t="s">
        <v>335</v>
      </c>
      <c r="AF1" s="120" t="s">
        <v>336</v>
      </c>
      <c r="AG1" s="120" t="s">
        <v>337</v>
      </c>
      <c r="AH1" s="116" t="s">
        <v>338</v>
      </c>
      <c r="AI1" s="116" t="s">
        <v>339</v>
      </c>
      <c r="AJ1" s="116" t="s">
        <v>333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46692</v>
      </c>
      <c r="G2" s="112">
        <v>46693</v>
      </c>
      <c r="H2" s="112">
        <v>46694</v>
      </c>
      <c r="I2" s="112">
        <v>46695</v>
      </c>
      <c r="J2" s="112">
        <v>46696</v>
      </c>
      <c r="K2" s="129">
        <v>46697</v>
      </c>
      <c r="L2" s="129">
        <v>46698</v>
      </c>
      <c r="M2" s="112">
        <v>46699</v>
      </c>
      <c r="N2" s="112">
        <v>46700</v>
      </c>
      <c r="O2" s="112">
        <v>46701</v>
      </c>
      <c r="P2" s="112">
        <v>46702</v>
      </c>
      <c r="Q2" s="112">
        <v>46703</v>
      </c>
      <c r="R2" s="129">
        <v>46704</v>
      </c>
      <c r="S2" s="129">
        <v>46705</v>
      </c>
      <c r="T2" s="112">
        <v>46706</v>
      </c>
      <c r="U2" s="112">
        <v>46707</v>
      </c>
      <c r="V2" s="112">
        <v>46708</v>
      </c>
      <c r="W2" s="112">
        <v>46709</v>
      </c>
      <c r="X2" s="112">
        <v>46710</v>
      </c>
      <c r="Y2" s="129">
        <v>46711</v>
      </c>
      <c r="Z2" s="129">
        <v>46712</v>
      </c>
      <c r="AA2" s="112">
        <v>46713</v>
      </c>
      <c r="AB2" s="112">
        <v>46714</v>
      </c>
      <c r="AC2" s="112">
        <v>46715</v>
      </c>
      <c r="AD2" s="113">
        <v>46716</v>
      </c>
      <c r="AE2" s="113">
        <v>46717</v>
      </c>
      <c r="AF2" s="129">
        <v>46718</v>
      </c>
      <c r="AG2" s="129">
        <v>46719</v>
      </c>
      <c r="AH2" s="112">
        <v>46720</v>
      </c>
      <c r="AI2" s="112">
        <v>46721</v>
      </c>
      <c r="AJ2" s="112">
        <v>46722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70"/>
      <c r="J4" s="70"/>
      <c r="K4" s="120"/>
      <c r="L4" s="120"/>
      <c r="M4" s="70"/>
      <c r="N4" s="70"/>
      <c r="O4" s="70"/>
      <c r="P4" s="70"/>
      <c r="Q4" s="70"/>
      <c r="R4" s="120"/>
      <c r="S4" s="120"/>
      <c r="T4" s="70"/>
      <c r="U4" s="70"/>
      <c r="V4" s="70"/>
      <c r="W4" s="70"/>
      <c r="X4" s="70"/>
      <c r="Y4" s="120"/>
      <c r="Z4" s="120"/>
      <c r="AA4" s="70"/>
      <c r="AB4" s="70"/>
      <c r="AC4" s="70"/>
      <c r="AD4" s="79"/>
      <c r="AE4" s="79"/>
      <c r="AF4" s="120"/>
      <c r="AG4" s="12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70"/>
      <c r="J5" s="70"/>
      <c r="K5" s="120"/>
      <c r="L5" s="120"/>
      <c r="M5" s="70"/>
      <c r="N5" s="70"/>
      <c r="O5" s="70"/>
      <c r="P5" s="70"/>
      <c r="Q5" s="70"/>
      <c r="R5" s="120"/>
      <c r="S5" s="120"/>
      <c r="T5" s="70"/>
      <c r="U5" s="70"/>
      <c r="V5" s="70"/>
      <c r="W5" s="70"/>
      <c r="X5" s="70"/>
      <c r="Y5" s="120"/>
      <c r="Z5" s="120"/>
      <c r="AA5" s="70"/>
      <c r="AB5" s="70"/>
      <c r="AC5" s="70"/>
      <c r="AD5" s="79"/>
      <c r="AE5" s="79"/>
      <c r="AF5" s="120"/>
      <c r="AG5" s="12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70"/>
      <c r="I6" s="70"/>
      <c r="J6" s="70"/>
      <c r="K6" s="120"/>
      <c r="L6" s="120"/>
      <c r="M6" s="70"/>
      <c r="N6" s="70"/>
      <c r="O6" s="70"/>
      <c r="P6" s="70"/>
      <c r="Q6" s="70"/>
      <c r="R6" s="120"/>
      <c r="S6" s="120"/>
      <c r="T6" s="70"/>
      <c r="U6" s="70"/>
      <c r="V6" s="70"/>
      <c r="W6" s="70"/>
      <c r="X6" s="70"/>
      <c r="Y6" s="120"/>
      <c r="Z6" s="120"/>
      <c r="AA6" s="70"/>
      <c r="AB6" s="70"/>
      <c r="AC6" s="70"/>
      <c r="AD6" s="79"/>
      <c r="AE6" s="79"/>
      <c r="AF6" s="120"/>
      <c r="AG6" s="120"/>
      <c r="AH6" s="7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70"/>
      <c r="J7" s="70"/>
      <c r="K7" s="120"/>
      <c r="L7" s="120"/>
      <c r="M7" s="70"/>
      <c r="N7" s="70"/>
      <c r="O7" s="70"/>
      <c r="P7" s="70"/>
      <c r="Q7" s="70"/>
      <c r="R7" s="120"/>
      <c r="S7" s="120"/>
      <c r="T7" s="70"/>
      <c r="U7" s="70"/>
      <c r="V7" s="70"/>
      <c r="W7" s="70"/>
      <c r="X7" s="70"/>
      <c r="Y7" s="120"/>
      <c r="Z7" s="120"/>
      <c r="AA7" s="70"/>
      <c r="AB7" s="70"/>
      <c r="AC7" s="70"/>
      <c r="AD7" s="79"/>
      <c r="AE7" s="79"/>
      <c r="AF7" s="120"/>
      <c r="AG7" s="120"/>
      <c r="AH7" s="7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08"/>
      <c r="J8" s="108"/>
      <c r="K8" s="128"/>
      <c r="L8" s="128"/>
      <c r="M8" s="108"/>
      <c r="N8" s="108"/>
      <c r="O8" s="108"/>
      <c r="P8" s="108"/>
      <c r="Q8" s="108"/>
      <c r="R8" s="128"/>
      <c r="S8" s="128"/>
      <c r="T8" s="108"/>
      <c r="U8" s="70"/>
      <c r="V8" s="108"/>
      <c r="W8" s="70"/>
      <c r="X8" s="70"/>
      <c r="Y8" s="128"/>
      <c r="Z8" s="128"/>
      <c r="AA8" s="108"/>
      <c r="AB8" s="108"/>
      <c r="AC8" s="108"/>
      <c r="AD8" s="79"/>
      <c r="AE8" s="79"/>
      <c r="AF8" s="120"/>
      <c r="AG8" s="12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70"/>
      <c r="J9" s="70"/>
      <c r="K9" s="120"/>
      <c r="L9" s="120"/>
      <c r="M9" s="70"/>
      <c r="N9" s="70"/>
      <c r="O9" s="70"/>
      <c r="P9" s="70"/>
      <c r="Q9" s="70"/>
      <c r="R9" s="120"/>
      <c r="S9" s="120"/>
      <c r="T9" s="70"/>
      <c r="U9" s="70"/>
      <c r="V9" s="70"/>
      <c r="W9" s="70"/>
      <c r="X9" s="70"/>
      <c r="Y9" s="120"/>
      <c r="Z9" s="120"/>
      <c r="AA9" s="70"/>
      <c r="AB9" s="70"/>
      <c r="AC9" s="70"/>
      <c r="AD9" s="79"/>
      <c r="AE9" s="79"/>
      <c r="AF9" s="120"/>
      <c r="AG9" s="12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70"/>
      <c r="J10" s="70"/>
      <c r="K10" s="120"/>
      <c r="L10" s="120"/>
      <c r="M10" s="70"/>
      <c r="N10" s="70"/>
      <c r="O10" s="70"/>
      <c r="P10" s="70"/>
      <c r="Q10" s="70"/>
      <c r="R10" s="120"/>
      <c r="S10" s="120"/>
      <c r="T10" s="70"/>
      <c r="U10" s="70"/>
      <c r="V10" s="70"/>
      <c r="W10" s="70"/>
      <c r="X10" s="70"/>
      <c r="Y10" s="120"/>
      <c r="Z10" s="120"/>
      <c r="AA10" s="70"/>
      <c r="AB10" s="70"/>
      <c r="AC10" s="70"/>
      <c r="AD10" s="79"/>
      <c r="AE10" s="79"/>
      <c r="AF10" s="120"/>
      <c r="AG10" s="12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70"/>
      <c r="J11" s="70"/>
      <c r="K11" s="120"/>
      <c r="L11" s="120"/>
      <c r="M11" s="70"/>
      <c r="N11" s="70"/>
      <c r="O11" s="70"/>
      <c r="P11" s="70"/>
      <c r="Q11" s="70"/>
      <c r="R11" s="120"/>
      <c r="S11" s="120"/>
      <c r="T11" s="70"/>
      <c r="U11" s="70"/>
      <c r="V11" s="70"/>
      <c r="W11" s="70"/>
      <c r="X11" s="70"/>
      <c r="Y11" s="120"/>
      <c r="Z11" s="120"/>
      <c r="AA11" s="70"/>
      <c r="AB11" s="70"/>
      <c r="AC11" s="70"/>
      <c r="AD11" s="79"/>
      <c r="AE11" s="79"/>
      <c r="AF11" s="120"/>
      <c r="AG11" s="12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70"/>
      <c r="J12" s="70"/>
      <c r="K12" s="120"/>
      <c r="L12" s="120"/>
      <c r="M12" s="70"/>
      <c r="N12" s="70"/>
      <c r="O12" s="70"/>
      <c r="P12" s="70"/>
      <c r="Q12" s="70"/>
      <c r="R12" s="120"/>
      <c r="S12" s="120"/>
      <c r="T12" s="70"/>
      <c r="U12" s="70"/>
      <c r="V12" s="70"/>
      <c r="W12" s="70"/>
      <c r="X12" s="70"/>
      <c r="Y12" s="120"/>
      <c r="Z12" s="120"/>
      <c r="AA12" s="70"/>
      <c r="AB12" s="70"/>
      <c r="AC12" s="70"/>
      <c r="AD12" s="79"/>
      <c r="AE12" s="79"/>
      <c r="AF12" s="120"/>
      <c r="AG12" s="12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70"/>
      <c r="J13" s="70"/>
      <c r="K13" s="120"/>
      <c r="L13" s="120"/>
      <c r="M13" s="70"/>
      <c r="N13" s="70"/>
      <c r="O13" s="70"/>
      <c r="P13" s="70"/>
      <c r="Q13" s="70"/>
      <c r="R13" s="120"/>
      <c r="S13" s="120"/>
      <c r="T13" s="70"/>
      <c r="U13" s="70"/>
      <c r="V13" s="70"/>
      <c r="W13" s="70"/>
      <c r="X13" s="70"/>
      <c r="Y13" s="120"/>
      <c r="Z13" s="120"/>
      <c r="AA13" s="70"/>
      <c r="AB13" s="70"/>
      <c r="AC13" s="70"/>
      <c r="AD13" s="79"/>
      <c r="AE13" s="79"/>
      <c r="AF13" s="120"/>
      <c r="AG13" s="12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70"/>
      <c r="J14" s="70"/>
      <c r="K14" s="120"/>
      <c r="L14" s="120"/>
      <c r="M14" s="70"/>
      <c r="N14" s="70"/>
      <c r="O14" s="70"/>
      <c r="P14" s="70"/>
      <c r="Q14" s="70"/>
      <c r="R14" s="120"/>
      <c r="S14" s="120"/>
      <c r="T14" s="70"/>
      <c r="U14" s="70"/>
      <c r="V14" s="70"/>
      <c r="W14" s="70"/>
      <c r="X14" s="70"/>
      <c r="Y14" s="120"/>
      <c r="Z14" s="120"/>
      <c r="AA14" s="70"/>
      <c r="AB14" s="70"/>
      <c r="AC14" s="70"/>
      <c r="AD14" s="79"/>
      <c r="AE14" s="79"/>
      <c r="AF14" s="120"/>
      <c r="AG14" s="12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70"/>
      <c r="J15" s="70"/>
      <c r="K15" s="120"/>
      <c r="L15" s="120"/>
      <c r="M15" s="70"/>
      <c r="N15" s="70"/>
      <c r="O15" s="70"/>
      <c r="P15" s="70"/>
      <c r="Q15" s="70"/>
      <c r="R15" s="120"/>
      <c r="S15" s="120"/>
      <c r="T15" s="70"/>
      <c r="U15" s="70"/>
      <c r="V15" s="70"/>
      <c r="W15" s="70"/>
      <c r="X15" s="70"/>
      <c r="Y15" s="120"/>
      <c r="Z15" s="120"/>
      <c r="AA15" s="70"/>
      <c r="AB15" s="70"/>
      <c r="AC15" s="70"/>
      <c r="AD15" s="79"/>
      <c r="AE15" s="79"/>
      <c r="AF15" s="120"/>
      <c r="AG15" s="12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70"/>
      <c r="J16" s="70"/>
      <c r="K16" s="120"/>
      <c r="L16" s="120"/>
      <c r="M16" s="70"/>
      <c r="N16" s="70"/>
      <c r="O16" s="70"/>
      <c r="P16" s="70"/>
      <c r="Q16" s="70"/>
      <c r="R16" s="120"/>
      <c r="S16" s="120"/>
      <c r="T16" s="70"/>
      <c r="U16" s="70"/>
      <c r="V16" s="70"/>
      <c r="W16" s="70"/>
      <c r="X16" s="70"/>
      <c r="Y16" s="120"/>
      <c r="Z16" s="120"/>
      <c r="AA16" s="70"/>
      <c r="AB16" s="70"/>
      <c r="AC16" s="70"/>
      <c r="AD16" s="79"/>
      <c r="AE16" s="79"/>
      <c r="AF16" s="120"/>
      <c r="AG16" s="12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70"/>
      <c r="J17" s="70"/>
      <c r="K17" s="120"/>
      <c r="L17" s="120"/>
      <c r="M17" s="70"/>
      <c r="N17" s="70"/>
      <c r="O17" s="70"/>
      <c r="P17" s="70"/>
      <c r="Q17" s="70"/>
      <c r="R17" s="120"/>
      <c r="S17" s="120"/>
      <c r="T17" s="70"/>
      <c r="U17" s="70"/>
      <c r="V17" s="70"/>
      <c r="W17" s="70"/>
      <c r="X17" s="70"/>
      <c r="Y17" s="120"/>
      <c r="Z17" s="120"/>
      <c r="AA17" s="70"/>
      <c r="AB17" s="70"/>
      <c r="AC17" s="70"/>
      <c r="AD17" s="79"/>
      <c r="AE17" s="79"/>
      <c r="AF17" s="120"/>
      <c r="AG17" s="12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70"/>
      <c r="J18" s="70"/>
      <c r="K18" s="120"/>
      <c r="L18" s="120"/>
      <c r="M18" s="70"/>
      <c r="N18" s="70"/>
      <c r="O18" s="70"/>
      <c r="P18" s="70"/>
      <c r="Q18" s="70"/>
      <c r="R18" s="120"/>
      <c r="S18" s="120"/>
      <c r="T18" s="70"/>
      <c r="U18" s="70"/>
      <c r="V18" s="70"/>
      <c r="W18" s="70"/>
      <c r="X18" s="70"/>
      <c r="Y18" s="120"/>
      <c r="Z18" s="120"/>
      <c r="AA18" s="70"/>
      <c r="AB18" s="70"/>
      <c r="AC18" s="70"/>
      <c r="AD18" s="79"/>
      <c r="AE18" s="79"/>
      <c r="AF18" s="120"/>
      <c r="AG18" s="12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70"/>
      <c r="J19" s="70"/>
      <c r="K19" s="120"/>
      <c r="L19" s="120"/>
      <c r="M19" s="70"/>
      <c r="N19" s="70"/>
      <c r="O19" s="70"/>
      <c r="P19" s="70"/>
      <c r="Q19" s="70"/>
      <c r="R19" s="120"/>
      <c r="S19" s="120"/>
      <c r="T19" s="70"/>
      <c r="U19" s="70"/>
      <c r="V19" s="70"/>
      <c r="W19" s="70"/>
      <c r="X19" s="70"/>
      <c r="Y19" s="120"/>
      <c r="Z19" s="120"/>
      <c r="AA19" s="70"/>
      <c r="AB19" s="70"/>
      <c r="AC19" s="70"/>
      <c r="AD19" s="79"/>
      <c r="AE19" s="79"/>
      <c r="AF19" s="120"/>
      <c r="AG19" s="12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70"/>
      <c r="J20" s="70"/>
      <c r="K20" s="120"/>
      <c r="L20" s="120"/>
      <c r="M20" s="70"/>
      <c r="N20" s="70"/>
      <c r="O20" s="70"/>
      <c r="P20" s="70"/>
      <c r="Q20" s="70"/>
      <c r="R20" s="120"/>
      <c r="S20" s="120"/>
      <c r="T20" s="70"/>
      <c r="U20" s="70"/>
      <c r="V20" s="70"/>
      <c r="W20" s="70"/>
      <c r="X20" s="70"/>
      <c r="Y20" s="120"/>
      <c r="Z20" s="120"/>
      <c r="AA20" s="70"/>
      <c r="AB20" s="70"/>
      <c r="AC20" s="70"/>
      <c r="AD20" s="79"/>
      <c r="AE20" s="79"/>
      <c r="AF20" s="120"/>
      <c r="AG20" s="12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70"/>
      <c r="J21" s="70"/>
      <c r="K21" s="120"/>
      <c r="L21" s="120"/>
      <c r="M21" s="70"/>
      <c r="N21" s="70"/>
      <c r="O21" s="70"/>
      <c r="P21" s="70"/>
      <c r="Q21" s="70"/>
      <c r="R21" s="120"/>
      <c r="S21" s="120"/>
      <c r="T21" s="70"/>
      <c r="U21" s="70"/>
      <c r="V21" s="70"/>
      <c r="W21" s="70"/>
      <c r="X21" s="70"/>
      <c r="Y21" s="120"/>
      <c r="Z21" s="120"/>
      <c r="AA21" s="70"/>
      <c r="AB21" s="70"/>
      <c r="AC21" s="70"/>
      <c r="AD21" s="79"/>
      <c r="AE21" s="79"/>
      <c r="AF21" s="120"/>
      <c r="AG21" s="12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70"/>
      <c r="J22" s="70"/>
      <c r="K22" s="120"/>
      <c r="L22" s="120"/>
      <c r="M22" s="70"/>
      <c r="N22" s="70"/>
      <c r="O22" s="70"/>
      <c r="P22" s="70"/>
      <c r="Q22" s="70"/>
      <c r="R22" s="120"/>
      <c r="S22" s="120"/>
      <c r="T22" s="70"/>
      <c r="U22" s="70"/>
      <c r="V22" s="70"/>
      <c r="W22" s="70"/>
      <c r="X22" s="70"/>
      <c r="Y22" s="120"/>
      <c r="Z22" s="120"/>
      <c r="AA22" s="70"/>
      <c r="AB22" s="70"/>
      <c r="AC22" s="70"/>
      <c r="AD22" s="79"/>
      <c r="AE22" s="79"/>
      <c r="AF22" s="120"/>
      <c r="AG22" s="12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70"/>
      <c r="J23" s="70"/>
      <c r="K23" s="120"/>
      <c r="L23" s="120"/>
      <c r="M23" s="70"/>
      <c r="N23" s="70"/>
      <c r="O23" s="70"/>
      <c r="P23" s="70"/>
      <c r="Q23" s="70"/>
      <c r="R23" s="120"/>
      <c r="S23" s="120"/>
      <c r="T23" s="70"/>
      <c r="U23" s="70"/>
      <c r="V23" s="70"/>
      <c r="W23" s="70"/>
      <c r="X23" s="70"/>
      <c r="Y23" s="120"/>
      <c r="Z23" s="120"/>
      <c r="AA23" s="70"/>
      <c r="AB23" s="70"/>
      <c r="AC23" s="70"/>
      <c r="AD23" s="79"/>
      <c r="AE23" s="79"/>
      <c r="AF23" s="120"/>
      <c r="AG23" s="12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70"/>
      <c r="J24" s="70"/>
      <c r="K24" s="120"/>
      <c r="L24" s="120"/>
      <c r="M24" s="70"/>
      <c r="N24" s="70"/>
      <c r="O24" s="70"/>
      <c r="P24" s="70"/>
      <c r="Q24" s="70"/>
      <c r="R24" s="120"/>
      <c r="S24" s="120"/>
      <c r="T24" s="70"/>
      <c r="U24" s="70"/>
      <c r="V24" s="70"/>
      <c r="W24" s="70"/>
      <c r="X24" s="70"/>
      <c r="Y24" s="120"/>
      <c r="Z24" s="120"/>
      <c r="AA24" s="70"/>
      <c r="AB24" s="70"/>
      <c r="AC24" s="70"/>
      <c r="AD24" s="79"/>
      <c r="AE24" s="79"/>
      <c r="AF24" s="120"/>
      <c r="AG24" s="12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70"/>
      <c r="J25" s="70"/>
      <c r="K25" s="120"/>
      <c r="L25" s="120"/>
      <c r="M25" s="70"/>
      <c r="N25" s="70"/>
      <c r="O25" s="70"/>
      <c r="P25" s="70"/>
      <c r="Q25" s="70"/>
      <c r="R25" s="120"/>
      <c r="S25" s="120"/>
      <c r="T25" s="70"/>
      <c r="U25" s="70"/>
      <c r="V25" s="70"/>
      <c r="W25" s="70"/>
      <c r="X25" s="70"/>
      <c r="Y25" s="120"/>
      <c r="Z25" s="120"/>
      <c r="AA25" s="70"/>
      <c r="AB25" s="70"/>
      <c r="AC25" s="70"/>
      <c r="AD25" s="79"/>
      <c r="AE25" s="79"/>
      <c r="AF25" s="120"/>
      <c r="AG25" s="12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70"/>
      <c r="J26" s="70"/>
      <c r="K26" s="120"/>
      <c r="L26" s="120"/>
      <c r="M26" s="70"/>
      <c r="N26" s="70"/>
      <c r="O26" s="70"/>
      <c r="P26" s="70"/>
      <c r="Q26" s="70"/>
      <c r="R26" s="120"/>
      <c r="S26" s="120"/>
      <c r="T26" s="70"/>
      <c r="U26" s="70"/>
      <c r="V26" s="70"/>
      <c r="W26" s="70"/>
      <c r="X26" s="70"/>
      <c r="Y26" s="120"/>
      <c r="Z26" s="120"/>
      <c r="AA26" s="70"/>
      <c r="AB26" s="70"/>
      <c r="AC26" s="70"/>
      <c r="AD26" s="79"/>
      <c r="AE26" s="79"/>
      <c r="AF26" s="120"/>
      <c r="AG26" s="12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70"/>
      <c r="J27" s="70"/>
      <c r="K27" s="120"/>
      <c r="L27" s="120"/>
      <c r="M27" s="70"/>
      <c r="N27" s="70"/>
      <c r="O27" s="70"/>
      <c r="P27" s="70"/>
      <c r="Q27" s="70"/>
      <c r="R27" s="120"/>
      <c r="S27" s="120"/>
      <c r="T27" s="70"/>
      <c r="U27" s="70"/>
      <c r="V27" s="70"/>
      <c r="W27" s="70"/>
      <c r="X27" s="70"/>
      <c r="Y27" s="120"/>
      <c r="Z27" s="120"/>
      <c r="AA27" s="70"/>
      <c r="AB27" s="70"/>
      <c r="AC27" s="70"/>
      <c r="AD27" s="79"/>
      <c r="AE27" s="79"/>
      <c r="AF27" s="120"/>
      <c r="AG27" s="12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70"/>
      <c r="J28" s="70"/>
      <c r="K28" s="120"/>
      <c r="L28" s="120"/>
      <c r="M28" s="70"/>
      <c r="N28" s="70"/>
      <c r="O28" s="70"/>
      <c r="P28" s="70"/>
      <c r="Q28" s="70"/>
      <c r="R28" s="120"/>
      <c r="S28" s="120"/>
      <c r="T28" s="70"/>
      <c r="U28" s="70"/>
      <c r="V28" s="70"/>
      <c r="W28" s="70"/>
      <c r="X28" s="70"/>
      <c r="Y28" s="120"/>
      <c r="Z28" s="120"/>
      <c r="AA28" s="70"/>
      <c r="AB28" s="70"/>
      <c r="AC28" s="70"/>
      <c r="AD28" s="79"/>
      <c r="AE28" s="79"/>
      <c r="AF28" s="120"/>
      <c r="AG28" s="12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70"/>
      <c r="J29" s="70"/>
      <c r="K29" s="120"/>
      <c r="L29" s="120"/>
      <c r="M29" s="70"/>
      <c r="N29" s="70"/>
      <c r="O29" s="70"/>
      <c r="P29" s="70"/>
      <c r="Q29" s="70"/>
      <c r="R29" s="120"/>
      <c r="S29" s="120"/>
      <c r="T29" s="70"/>
      <c r="U29" s="70"/>
      <c r="V29" s="70"/>
      <c r="W29" s="70"/>
      <c r="X29" s="70"/>
      <c r="Y29" s="120"/>
      <c r="Z29" s="120"/>
      <c r="AA29" s="70"/>
      <c r="AB29" s="70"/>
      <c r="AC29" s="70"/>
      <c r="AD29" s="79"/>
      <c r="AE29" s="79"/>
      <c r="AF29" s="120"/>
      <c r="AG29" s="12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70"/>
      <c r="J30" s="70"/>
      <c r="K30" s="120"/>
      <c r="L30" s="120"/>
      <c r="M30" s="70"/>
      <c r="N30" s="70"/>
      <c r="O30" s="70"/>
      <c r="P30" s="70"/>
      <c r="Q30" s="70"/>
      <c r="R30" s="120"/>
      <c r="S30" s="120"/>
      <c r="T30" s="70"/>
      <c r="U30" s="70"/>
      <c r="V30" s="70"/>
      <c r="W30" s="70"/>
      <c r="X30" s="70"/>
      <c r="Y30" s="120"/>
      <c r="Z30" s="120"/>
      <c r="AA30" s="70"/>
      <c r="AB30" s="70"/>
      <c r="AC30" s="70"/>
      <c r="AD30" s="79"/>
      <c r="AE30" s="79"/>
      <c r="AF30" s="120"/>
      <c r="AG30" s="12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70"/>
      <c r="J31" s="70"/>
      <c r="K31" s="120"/>
      <c r="L31" s="120"/>
      <c r="M31" s="70"/>
      <c r="N31" s="70"/>
      <c r="O31" s="70"/>
      <c r="P31" s="70"/>
      <c r="Q31" s="70"/>
      <c r="R31" s="120"/>
      <c r="S31" s="120"/>
      <c r="T31" s="70"/>
      <c r="U31" s="70"/>
      <c r="V31" s="70"/>
      <c r="W31" s="70"/>
      <c r="X31" s="70"/>
      <c r="Y31" s="120"/>
      <c r="Z31" s="120"/>
      <c r="AA31" s="70"/>
      <c r="AB31" s="70"/>
      <c r="AC31" s="70"/>
      <c r="AD31" s="79"/>
      <c r="AE31" s="79"/>
      <c r="AF31" s="120"/>
      <c r="AG31" s="12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70"/>
      <c r="J32" s="70"/>
      <c r="K32" s="128"/>
      <c r="L32" s="128"/>
      <c r="M32" s="108"/>
      <c r="N32" s="108"/>
      <c r="O32" s="108"/>
      <c r="P32" s="70"/>
      <c r="Q32" s="70"/>
      <c r="R32" s="120"/>
      <c r="S32" s="128"/>
      <c r="T32" s="108"/>
      <c r="U32" s="108"/>
      <c r="V32" s="108"/>
      <c r="W32" s="108"/>
      <c r="X32" s="108"/>
      <c r="Y32" s="128"/>
      <c r="Z32" s="128"/>
      <c r="AA32" s="108"/>
      <c r="AB32" s="108"/>
      <c r="AC32" s="108"/>
      <c r="AD32" s="109"/>
      <c r="AE32" s="109"/>
      <c r="AF32" s="128"/>
      <c r="AG32" s="12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70"/>
      <c r="J33" s="70"/>
      <c r="K33" s="120"/>
      <c r="L33" s="120"/>
      <c r="M33" s="70"/>
      <c r="N33" s="70"/>
      <c r="O33" s="70"/>
      <c r="P33" s="70"/>
      <c r="Q33" s="70"/>
      <c r="R33" s="120"/>
      <c r="S33" s="120"/>
      <c r="T33" s="70"/>
      <c r="U33" s="70"/>
      <c r="V33" s="70"/>
      <c r="W33" s="70"/>
      <c r="X33" s="70"/>
      <c r="Y33" s="120"/>
      <c r="Z33" s="120"/>
      <c r="AA33" s="70"/>
      <c r="AB33" s="70"/>
      <c r="AC33" s="70"/>
      <c r="AD33" s="79"/>
      <c r="AE33" s="79"/>
      <c r="AF33" s="120"/>
      <c r="AG33" s="120"/>
      <c r="AH33" s="7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70"/>
      <c r="J34" s="70"/>
      <c r="K34" s="120"/>
      <c r="L34" s="120"/>
      <c r="M34" s="70"/>
      <c r="N34" s="70"/>
      <c r="O34" s="70"/>
      <c r="P34" s="70"/>
      <c r="Q34" s="70"/>
      <c r="R34" s="120"/>
      <c r="S34" s="120"/>
      <c r="T34" s="70"/>
      <c r="U34" s="70"/>
      <c r="V34" s="70"/>
      <c r="W34" s="70"/>
      <c r="X34" s="70"/>
      <c r="Y34" s="120"/>
      <c r="Z34" s="120"/>
      <c r="AA34" s="70"/>
      <c r="AB34" s="70"/>
      <c r="AC34" s="70"/>
      <c r="AD34" s="79"/>
      <c r="AE34" s="79"/>
      <c r="AF34" s="120"/>
      <c r="AG34" s="120"/>
      <c r="AH34" s="7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70"/>
      <c r="J35" s="70"/>
      <c r="K35" s="120"/>
      <c r="L35" s="120"/>
      <c r="M35" s="70"/>
      <c r="N35" s="70"/>
      <c r="O35" s="70"/>
      <c r="P35" s="70"/>
      <c r="Q35" s="70"/>
      <c r="R35" s="120"/>
      <c r="S35" s="120"/>
      <c r="T35" s="70"/>
      <c r="U35" s="70"/>
      <c r="V35" s="70"/>
      <c r="W35" s="70"/>
      <c r="X35" s="70"/>
      <c r="Y35" s="120"/>
      <c r="Z35" s="120"/>
      <c r="AA35" s="70"/>
      <c r="AB35" s="70"/>
      <c r="AC35" s="70"/>
      <c r="AD35" s="79"/>
      <c r="AE35" s="79"/>
      <c r="AF35" s="120"/>
      <c r="AG35" s="12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70"/>
      <c r="J36" s="70"/>
      <c r="K36" s="120"/>
      <c r="L36" s="120"/>
      <c r="M36" s="70"/>
      <c r="N36" s="70"/>
      <c r="O36" s="70"/>
      <c r="P36" s="70"/>
      <c r="Q36" s="70"/>
      <c r="R36" s="120"/>
      <c r="S36" s="120"/>
      <c r="T36" s="70"/>
      <c r="U36" s="70"/>
      <c r="V36" s="70"/>
      <c r="W36" s="70"/>
      <c r="X36" s="70"/>
      <c r="Y36" s="120"/>
      <c r="Z36" s="120"/>
      <c r="AA36" s="70"/>
      <c r="AB36" s="70"/>
      <c r="AC36" s="70"/>
      <c r="AD36" s="79"/>
      <c r="AE36" s="79"/>
      <c r="AF36" s="120"/>
      <c r="AG36" s="12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4"/>
      <c r="J37" s="64"/>
      <c r="K37" s="68"/>
      <c r="L37" s="68"/>
      <c r="M37" s="64"/>
      <c r="N37" s="64"/>
      <c r="O37" s="64"/>
      <c r="P37" s="64"/>
      <c r="Q37" s="64"/>
      <c r="R37" s="68"/>
      <c r="S37" s="68"/>
      <c r="T37" s="64"/>
      <c r="U37" s="64"/>
      <c r="V37" s="64"/>
      <c r="W37" s="64"/>
      <c r="X37" s="64"/>
      <c r="Y37" s="68"/>
      <c r="Z37" s="68"/>
      <c r="AA37" s="64"/>
      <c r="AB37" s="64"/>
      <c r="AC37" s="64"/>
      <c r="AD37" s="65"/>
      <c r="AE37" s="65"/>
      <c r="AF37" s="68"/>
      <c r="AG37" s="68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4"/>
      <c r="J38" s="64"/>
      <c r="K38" s="68"/>
      <c r="L38" s="68"/>
      <c r="M38" s="64"/>
      <c r="N38" s="64"/>
      <c r="O38" s="64"/>
      <c r="P38" s="64"/>
      <c r="Q38" s="64"/>
      <c r="R38" s="68"/>
      <c r="S38" s="68"/>
      <c r="T38" s="64"/>
      <c r="U38" s="64"/>
      <c r="V38" s="64"/>
      <c r="W38" s="64"/>
      <c r="X38" s="64"/>
      <c r="Y38" s="68"/>
      <c r="Z38" s="68"/>
      <c r="AA38" s="64"/>
      <c r="AB38" s="64"/>
      <c r="AC38" s="64"/>
      <c r="AD38" s="65"/>
      <c r="AE38" s="65"/>
      <c r="AF38" s="68"/>
      <c r="AG38" s="68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70"/>
      <c r="J39" s="70"/>
      <c r="K39" s="120"/>
      <c r="L39" s="120"/>
      <c r="M39" s="70"/>
      <c r="N39" s="70"/>
      <c r="O39" s="70"/>
      <c r="P39" s="70"/>
      <c r="Q39" s="70"/>
      <c r="R39" s="120"/>
      <c r="S39" s="120"/>
      <c r="T39" s="70"/>
      <c r="U39" s="70"/>
      <c r="V39" s="70"/>
      <c r="W39" s="70"/>
      <c r="X39" s="70"/>
      <c r="Y39" s="120"/>
      <c r="Z39" s="120"/>
      <c r="AA39" s="70"/>
      <c r="AB39" s="70"/>
      <c r="AC39" s="70"/>
      <c r="AD39" s="79"/>
      <c r="AE39" s="79"/>
      <c r="AF39" s="120"/>
      <c r="AG39" s="120"/>
      <c r="AH39" s="7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92"/>
      <c r="J40" s="92"/>
      <c r="K40" s="124"/>
      <c r="L40" s="124"/>
      <c r="M40" s="92"/>
      <c r="N40" s="92"/>
      <c r="O40" s="92"/>
      <c r="P40" s="92"/>
      <c r="Q40" s="92"/>
      <c r="R40" s="124"/>
      <c r="S40" s="124"/>
      <c r="T40" s="92"/>
      <c r="U40" s="92"/>
      <c r="V40" s="92"/>
      <c r="W40" s="92"/>
      <c r="X40" s="92"/>
      <c r="Y40" s="124"/>
      <c r="Z40" s="124"/>
      <c r="AA40" s="92"/>
      <c r="AB40" s="92"/>
      <c r="AC40" s="92"/>
      <c r="AD40" s="93"/>
      <c r="AE40" s="93"/>
      <c r="AF40" s="124"/>
      <c r="AG40" s="124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62"/>
      <c r="J42" s="62"/>
      <c r="K42" s="127"/>
      <c r="L42" s="68"/>
      <c r="M42" s="64"/>
      <c r="N42" s="62"/>
      <c r="O42" s="62"/>
      <c r="P42" s="62"/>
      <c r="Q42" s="62"/>
      <c r="R42" s="127"/>
      <c r="S42" s="68"/>
      <c r="T42" s="64"/>
      <c r="U42" s="62"/>
      <c r="V42" s="62"/>
      <c r="W42" s="62"/>
      <c r="X42" s="62"/>
      <c r="Y42" s="127"/>
      <c r="Z42" s="68"/>
      <c r="AA42" s="64"/>
      <c r="AB42" s="62"/>
      <c r="AC42" s="62"/>
      <c r="AD42" s="104"/>
      <c r="AE42" s="104"/>
      <c r="AF42" s="127"/>
      <c r="AG42" s="68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62"/>
      <c r="J43" s="62"/>
      <c r="K43" s="127"/>
      <c r="N43" s="62"/>
      <c r="O43" s="62"/>
      <c r="P43" s="62"/>
      <c r="Q43" s="62"/>
      <c r="R43" s="127"/>
      <c r="U43" s="62"/>
      <c r="V43" s="62"/>
      <c r="W43" s="62"/>
      <c r="X43" s="62"/>
      <c r="Y43" s="127"/>
      <c r="AB43" s="62"/>
      <c r="AC43" s="62"/>
      <c r="AD43" s="104"/>
      <c r="AE43" s="104"/>
      <c r="AF43" s="127"/>
      <c r="AH43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62"/>
      <c r="J44" s="62"/>
      <c r="K44" s="127"/>
      <c r="L44" s="68"/>
      <c r="M44" s="64"/>
      <c r="N44" s="62"/>
      <c r="O44" s="62"/>
      <c r="P44" s="62"/>
      <c r="Q44" s="62"/>
      <c r="R44" s="127"/>
      <c r="S44" s="68"/>
      <c r="T44" s="64"/>
      <c r="U44" s="62"/>
      <c r="V44" s="62"/>
      <c r="W44" s="62"/>
      <c r="X44" s="62"/>
      <c r="Y44" s="127"/>
      <c r="Z44" s="68"/>
      <c r="AA44" s="64"/>
      <c r="AB44" s="62"/>
      <c r="AC44" s="62"/>
      <c r="AD44" s="104"/>
      <c r="AE44" s="104"/>
      <c r="AF44" s="127"/>
      <c r="AG44" s="68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62"/>
      <c r="J45" s="62"/>
      <c r="K45" s="127"/>
      <c r="L45" s="68"/>
      <c r="M45" s="64"/>
      <c r="N45" s="62"/>
      <c r="O45" s="62"/>
      <c r="P45" s="62"/>
      <c r="Q45" s="62"/>
      <c r="R45" s="127"/>
      <c r="S45" s="68"/>
      <c r="T45" s="64"/>
      <c r="U45" s="62"/>
      <c r="V45" s="62"/>
      <c r="W45" s="62"/>
      <c r="X45" s="62"/>
      <c r="Y45" s="127"/>
      <c r="Z45" s="68"/>
      <c r="AA45" s="64"/>
      <c r="AB45" s="62"/>
      <c r="AC45" s="62"/>
      <c r="AD45" s="104"/>
      <c r="AE45" s="104"/>
      <c r="AF45" s="127"/>
      <c r="AG45" s="68"/>
      <c r="AH4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62"/>
      <c r="J46" s="62"/>
      <c r="K46" s="127"/>
      <c r="L46" s="68"/>
      <c r="M46" s="64"/>
      <c r="N46" s="62"/>
      <c r="O46" s="62"/>
      <c r="P46" s="62"/>
      <c r="Q46" s="62"/>
      <c r="R46" s="127"/>
      <c r="S46" s="68"/>
      <c r="T46" s="64"/>
      <c r="U46" s="62"/>
      <c r="V46" s="62"/>
      <c r="W46" s="62"/>
      <c r="X46" s="62"/>
      <c r="Y46" s="127"/>
      <c r="Z46" s="68"/>
      <c r="AA46" s="64"/>
      <c r="AB46" s="62"/>
      <c r="AC46" s="62"/>
      <c r="AD46" s="104"/>
      <c r="AE46" s="104"/>
      <c r="AF46" s="127"/>
      <c r="AG46" s="68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62"/>
      <c r="J47" s="62"/>
      <c r="K47" s="127"/>
      <c r="L47" s="68"/>
      <c r="M47" s="64"/>
      <c r="N47" s="62"/>
      <c r="O47" s="62"/>
      <c r="P47" s="62"/>
      <c r="Q47" s="62"/>
      <c r="R47" s="127"/>
      <c r="S47" s="68"/>
      <c r="T47" s="64"/>
      <c r="U47" s="62"/>
      <c r="V47" s="62"/>
      <c r="W47" s="62"/>
      <c r="X47" s="62"/>
      <c r="Y47" s="127"/>
      <c r="Z47" s="68"/>
      <c r="AA47" s="64"/>
      <c r="AB47" s="62"/>
      <c r="AC47" s="62"/>
      <c r="AD47" s="104"/>
      <c r="AE47" s="104"/>
      <c r="AF47" s="127"/>
      <c r="AG47" s="68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62"/>
      <c r="J48" s="62"/>
      <c r="K48" s="127"/>
      <c r="L48" s="68"/>
      <c r="M48" s="64"/>
      <c r="N48" s="62"/>
      <c r="O48" s="62"/>
      <c r="P48" s="62"/>
      <c r="Q48" s="62"/>
      <c r="R48" s="127"/>
      <c r="S48" s="68"/>
      <c r="T48" s="64"/>
      <c r="U48" s="62"/>
      <c r="V48" s="62"/>
      <c r="W48" s="62"/>
      <c r="X48" s="62"/>
      <c r="Y48" s="127"/>
      <c r="Z48" s="68"/>
      <c r="AA48" s="64"/>
      <c r="AB48" s="62"/>
      <c r="AC48" s="62"/>
      <c r="AD48" s="104"/>
      <c r="AE48" s="104"/>
      <c r="AF48" s="127"/>
      <c r="AG48" s="68"/>
      <c r="AH48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62"/>
      <c r="J49" s="62"/>
      <c r="K49" s="127"/>
      <c r="L49" s="68"/>
      <c r="M49" s="64"/>
      <c r="N49" s="62"/>
      <c r="O49" s="62"/>
      <c r="P49" s="62"/>
      <c r="Q49" s="62"/>
      <c r="R49" s="127"/>
      <c r="S49" s="68"/>
      <c r="T49" s="64"/>
      <c r="U49" s="62"/>
      <c r="V49" s="62"/>
      <c r="W49" s="62"/>
      <c r="X49" s="62"/>
      <c r="Y49" s="127"/>
      <c r="Z49" s="68"/>
      <c r="AA49" s="64"/>
      <c r="AB49" s="62"/>
      <c r="AC49" s="62"/>
      <c r="AD49" s="104"/>
      <c r="AE49" s="104"/>
      <c r="AF49" s="127"/>
      <c r="AG49" s="68"/>
      <c r="AH49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62"/>
      <c r="J50" s="62"/>
      <c r="K50" s="127"/>
      <c r="L50" s="68"/>
      <c r="M50" s="64"/>
      <c r="N50" s="62"/>
      <c r="O50" s="62"/>
      <c r="P50" s="62"/>
      <c r="Q50" s="62"/>
      <c r="R50" s="127"/>
      <c r="S50" s="68"/>
      <c r="T50" s="64"/>
      <c r="U50" s="62"/>
      <c r="V50" s="62"/>
      <c r="W50" s="62"/>
      <c r="X50" s="62"/>
      <c r="Y50" s="127"/>
      <c r="Z50" s="68"/>
      <c r="AA50" s="64"/>
      <c r="AB50" s="62"/>
      <c r="AC50" s="62"/>
      <c r="AD50" s="104"/>
      <c r="AE50" s="104"/>
      <c r="AF50" s="127"/>
      <c r="AG50" s="68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62"/>
      <c r="J51" s="62"/>
      <c r="K51" s="127"/>
      <c r="L51" s="68"/>
      <c r="M51" s="64"/>
      <c r="N51" s="62"/>
      <c r="O51" s="62"/>
      <c r="P51" s="62"/>
      <c r="Q51" s="62"/>
      <c r="R51" s="127"/>
      <c r="S51" s="68"/>
      <c r="T51" s="64"/>
      <c r="U51" s="62"/>
      <c r="V51" s="62"/>
      <c r="W51" s="62"/>
      <c r="X51" s="62"/>
      <c r="Y51" s="127"/>
      <c r="Z51" s="68"/>
      <c r="AA51" s="64"/>
      <c r="AB51" s="62"/>
      <c r="AC51" s="62"/>
      <c r="AD51" s="104"/>
      <c r="AE51" s="104"/>
      <c r="AF51" s="127"/>
      <c r="AG51" s="68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62"/>
      <c r="J52" s="62"/>
      <c r="K52" s="127"/>
      <c r="L52" s="68"/>
      <c r="M52" s="64"/>
      <c r="N52" s="62"/>
      <c r="O52" s="62"/>
      <c r="P52" s="62"/>
      <c r="Q52" s="62"/>
      <c r="R52" s="127"/>
      <c r="S52" s="68"/>
      <c r="T52" s="64"/>
      <c r="U52" s="62"/>
      <c r="V52" s="62"/>
      <c r="W52" s="62"/>
      <c r="X52" s="62"/>
      <c r="Y52" s="127"/>
      <c r="Z52" s="68"/>
      <c r="AA52" s="64"/>
      <c r="AB52" s="62"/>
      <c r="AC52" s="62"/>
      <c r="AD52" s="104"/>
      <c r="AE52" s="104"/>
      <c r="AF52" s="127"/>
      <c r="AG52" s="68"/>
      <c r="AH52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62"/>
      <c r="J53" s="62"/>
      <c r="K53" s="127"/>
      <c r="L53" s="68"/>
      <c r="M53" s="64"/>
      <c r="N53" s="62"/>
      <c r="O53" s="62"/>
      <c r="P53" s="62"/>
      <c r="Q53" s="62"/>
      <c r="R53" s="127"/>
      <c r="S53" s="68"/>
      <c r="T53" s="64"/>
      <c r="U53" s="62"/>
      <c r="V53" s="62"/>
      <c r="W53" s="62"/>
      <c r="X53" s="62"/>
      <c r="Y53" s="127"/>
      <c r="Z53" s="68"/>
      <c r="AA53" s="64"/>
      <c r="AB53" s="62"/>
      <c r="AC53" s="62"/>
      <c r="AD53" s="104"/>
      <c r="AE53" s="104"/>
      <c r="AF53" s="127"/>
      <c r="AG53" s="68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62"/>
      <c r="J54" s="62"/>
      <c r="K54" s="127"/>
      <c r="L54" s="68"/>
      <c r="M54" s="64"/>
      <c r="N54" s="62"/>
      <c r="O54" s="62"/>
      <c r="P54" s="62"/>
      <c r="Q54" s="62"/>
      <c r="R54" s="127"/>
      <c r="S54" s="68"/>
      <c r="T54" s="64"/>
      <c r="U54" s="62"/>
      <c r="V54" s="62"/>
      <c r="W54" s="62"/>
      <c r="X54" s="62"/>
      <c r="Y54" s="127"/>
      <c r="Z54" s="68"/>
      <c r="AA54" s="64"/>
      <c r="AB54" s="62"/>
      <c r="AC54" s="62"/>
      <c r="AD54" s="104"/>
      <c r="AE54" s="104"/>
      <c r="AF54" s="127"/>
      <c r="AG54" s="68"/>
      <c r="AH54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62"/>
      <c r="I55" s="62"/>
      <c r="J55" s="62"/>
      <c r="K55" s="127"/>
      <c r="L55" s="68"/>
      <c r="M55" s="64"/>
      <c r="N55" s="62"/>
      <c r="O55" s="62"/>
      <c r="P55" s="62"/>
      <c r="Q55" s="62"/>
      <c r="R55" s="127"/>
      <c r="S55" s="68"/>
      <c r="T55" s="64"/>
      <c r="U55" s="62"/>
      <c r="V55" s="62"/>
      <c r="W55" s="62"/>
      <c r="X55" s="62"/>
      <c r="Y55" s="127"/>
      <c r="Z55" s="68"/>
      <c r="AA55" s="64"/>
      <c r="AB55" s="62"/>
      <c r="AC55" s="62"/>
      <c r="AD55" s="104"/>
      <c r="AE55" s="104"/>
      <c r="AF55" s="127"/>
      <c r="AG55" s="68"/>
      <c r="AH5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62"/>
      <c r="I56" s="62"/>
      <c r="J56" s="62"/>
      <c r="K56" s="127"/>
      <c r="L56" s="68"/>
      <c r="M56" s="64"/>
      <c r="N56" s="62"/>
      <c r="O56" s="62"/>
      <c r="P56" s="62"/>
      <c r="Q56" s="62"/>
      <c r="R56" s="127"/>
      <c r="S56" s="68"/>
      <c r="T56" s="64"/>
      <c r="U56" s="62"/>
      <c r="V56" s="62"/>
      <c r="W56" s="62"/>
      <c r="X56" s="62"/>
      <c r="Y56" s="127"/>
      <c r="Z56" s="68"/>
      <c r="AA56" s="64"/>
      <c r="AB56" s="62"/>
      <c r="AC56" s="62"/>
      <c r="AD56" s="104"/>
      <c r="AE56" s="104"/>
      <c r="AF56" s="127"/>
      <c r="AG56" s="68"/>
      <c r="AH56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62"/>
      <c r="J57" s="62"/>
      <c r="K57" s="127"/>
      <c r="L57" s="68"/>
      <c r="M57" s="64"/>
      <c r="N57" s="62"/>
      <c r="O57" s="62"/>
      <c r="P57" s="62"/>
      <c r="Q57" s="62"/>
      <c r="R57" s="127"/>
      <c r="S57" s="68"/>
      <c r="T57" s="64"/>
      <c r="U57" s="62"/>
      <c r="V57" s="62"/>
      <c r="W57" s="62"/>
      <c r="X57" s="62"/>
      <c r="Y57" s="127"/>
      <c r="Z57" s="68"/>
      <c r="AA57" s="64"/>
      <c r="AB57" s="62"/>
      <c r="AC57" s="62"/>
      <c r="AD57" s="104"/>
      <c r="AE57" s="104"/>
      <c r="AF57" s="127"/>
      <c r="AG57" s="68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62"/>
      <c r="I58" s="62"/>
      <c r="J58" s="62"/>
      <c r="K58" s="127"/>
      <c r="L58" s="68"/>
      <c r="M58" s="64"/>
      <c r="N58" s="62"/>
      <c r="O58" s="62"/>
      <c r="P58" s="62"/>
      <c r="Q58" s="62"/>
      <c r="R58" s="127"/>
      <c r="S58" s="68"/>
      <c r="T58" s="64"/>
      <c r="U58" s="62"/>
      <c r="V58" s="62"/>
      <c r="W58" s="62"/>
      <c r="X58" s="62"/>
      <c r="Y58" s="127"/>
      <c r="Z58" s="68"/>
      <c r="AA58" s="64"/>
      <c r="AB58" s="62"/>
      <c r="AC58" s="62"/>
      <c r="AD58" s="104"/>
      <c r="AE58" s="104"/>
      <c r="AF58" s="127"/>
      <c r="AG58" s="68"/>
      <c r="AH58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70"/>
      <c r="J59" s="70"/>
      <c r="M59" s="70"/>
      <c r="N59" s="70"/>
      <c r="O59" s="70"/>
      <c r="P59" s="70"/>
      <c r="Q59" s="70"/>
      <c r="T59" s="70"/>
      <c r="U59" s="70"/>
      <c r="V59" s="70"/>
      <c r="W59" s="70"/>
      <c r="X59" s="70"/>
      <c r="AA59" s="70"/>
      <c r="AB59" s="70"/>
      <c r="AC59" s="70"/>
      <c r="AD59" s="79"/>
      <c r="AE59" s="79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73"/>
      <c r="J60" s="73"/>
      <c r="K60" s="124"/>
      <c r="L60" s="124"/>
      <c r="M60" s="73"/>
      <c r="N60" s="73"/>
      <c r="O60" s="73"/>
      <c r="P60" s="73"/>
      <c r="Q60" s="73"/>
      <c r="R60" s="124"/>
      <c r="S60" s="124"/>
      <c r="T60" s="73"/>
      <c r="U60" s="73"/>
      <c r="V60" s="73"/>
      <c r="W60" s="73"/>
      <c r="X60" s="73"/>
      <c r="Y60" s="124"/>
      <c r="Z60" s="124"/>
      <c r="AA60" s="73"/>
      <c r="AB60" s="73"/>
      <c r="AC60" s="73"/>
      <c r="AD60" s="74"/>
      <c r="AE60" s="74"/>
      <c r="AF60" s="124"/>
      <c r="AG60" s="124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70"/>
      <c r="J61" s="70"/>
      <c r="M61" s="70"/>
      <c r="N61" s="70"/>
      <c r="O61" s="70"/>
      <c r="P61" s="70"/>
      <c r="Q61" s="70"/>
      <c r="T61" s="70"/>
      <c r="U61" s="70"/>
      <c r="V61" s="70"/>
      <c r="W61" s="70"/>
      <c r="X61" s="70"/>
      <c r="AA61" s="70"/>
      <c r="AB61" s="70"/>
      <c r="AC61" s="70"/>
      <c r="AD61" s="79"/>
      <c r="AE61" s="79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120"/>
      <c r="N74" s="70"/>
      <c r="O74" s="70"/>
      <c r="P74" s="70"/>
      <c r="R74" s="120"/>
      <c r="S74" s="120"/>
      <c r="T74" s="70"/>
      <c r="U74" s="70"/>
      <c r="V74" s="70"/>
      <c r="W74" s="70"/>
      <c r="X74" s="70"/>
      <c r="Y74" s="120"/>
      <c r="Z74" s="120"/>
      <c r="AA74" s="70"/>
      <c r="AB74" s="70"/>
      <c r="AC74" s="70"/>
      <c r="AD74" s="79"/>
      <c r="AE74" s="79"/>
      <c r="AF74" s="120"/>
      <c r="AG74" s="12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00"/>
      <c r="J76" s="100"/>
      <c r="K76" s="126"/>
      <c r="L76" s="124"/>
      <c r="M76" s="92"/>
      <c r="N76" s="100"/>
      <c r="O76" s="100"/>
      <c r="P76" s="100"/>
      <c r="Q76" s="100"/>
      <c r="R76" s="126"/>
      <c r="S76" s="124"/>
      <c r="T76" s="92"/>
      <c r="U76" s="100"/>
      <c r="V76" s="100"/>
      <c r="W76" s="100"/>
      <c r="X76" s="100"/>
      <c r="Y76" s="126"/>
      <c r="Z76" s="124"/>
      <c r="AA76" s="92"/>
      <c r="AB76" s="100"/>
      <c r="AC76" s="100"/>
      <c r="AD76" s="99"/>
      <c r="AE76" s="99"/>
      <c r="AF76" s="126"/>
      <c r="AG76" s="124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120"/>
      <c r="Z83" s="120"/>
      <c r="AC83" s="70"/>
      <c r="AD83" s="79"/>
      <c r="AF83" s="120"/>
      <c r="AG83" s="12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12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92"/>
      <c r="J87" s="92"/>
      <c r="K87" s="124"/>
      <c r="L87" s="124"/>
      <c r="M87" s="92"/>
      <c r="N87" s="92"/>
      <c r="O87" s="92"/>
      <c r="P87" s="92"/>
      <c r="Q87" s="92"/>
      <c r="R87" s="124"/>
      <c r="S87" s="124"/>
      <c r="T87" s="92"/>
      <c r="U87" s="92"/>
      <c r="V87" s="73"/>
      <c r="W87" s="92"/>
      <c r="X87" s="92"/>
      <c r="Y87" s="121"/>
      <c r="Z87" s="124"/>
      <c r="AA87" s="92"/>
      <c r="AB87" s="92"/>
      <c r="AC87" s="92"/>
      <c r="AD87" s="93"/>
      <c r="AE87" s="93"/>
      <c r="AF87" s="124"/>
      <c r="AG87" s="124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4"/>
      <c r="J88" s="64"/>
      <c r="K88" s="68"/>
      <c r="L88" s="68"/>
      <c r="M88" s="64"/>
      <c r="N88" s="64"/>
      <c r="O88" s="64"/>
      <c r="P88" s="64"/>
      <c r="Q88" s="64"/>
      <c r="R88" s="68"/>
      <c r="S88" s="68"/>
      <c r="T88" s="64"/>
      <c r="U88" s="64"/>
      <c r="V88" s="64"/>
      <c r="W88"/>
      <c r="X88"/>
      <c r="Y88" s="68"/>
      <c r="Z88" s="68"/>
      <c r="AA88"/>
      <c r="AB88" s="64"/>
      <c r="AC88" s="64"/>
      <c r="AD88" s="65"/>
      <c r="AE88" s="65"/>
      <c r="AF88" s="68"/>
      <c r="AG88" s="68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70"/>
      <c r="J89" s="70"/>
      <c r="K89" s="120"/>
      <c r="L89" s="120"/>
      <c r="M89" s="70"/>
      <c r="N89" s="70"/>
      <c r="O89" s="64"/>
      <c r="P89" s="70"/>
      <c r="Q89" s="70"/>
      <c r="R89" s="120"/>
      <c r="S89" s="120"/>
      <c r="T89" s="70"/>
      <c r="U89" s="64"/>
      <c r="V89" s="64"/>
      <c r="W89" s="64"/>
      <c r="X89" s="64"/>
      <c r="Y89" s="120"/>
      <c r="Z89" s="120"/>
      <c r="AA89" s="70"/>
      <c r="AB89" s="70"/>
      <c r="AC89" s="64"/>
      <c r="AD89" s="79"/>
      <c r="AE89" s="65"/>
      <c r="AF89" s="120"/>
      <c r="AG89" s="12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70"/>
      <c r="J90" s="70"/>
      <c r="K90" s="120"/>
      <c r="L90" s="120"/>
      <c r="M90" s="70"/>
      <c r="N90" s="70"/>
      <c r="O90" s="70"/>
      <c r="P90" s="70"/>
      <c r="Q90" s="70"/>
      <c r="R90" s="120"/>
      <c r="S90" s="120"/>
      <c r="T90" s="70"/>
      <c r="U90" s="70"/>
      <c r="V90" s="70"/>
      <c r="W90" s="70"/>
      <c r="X90" s="70"/>
      <c r="Y90" s="120"/>
      <c r="Z90" s="120"/>
      <c r="AA90" s="70"/>
      <c r="AB90" s="70"/>
      <c r="AC90" s="70"/>
      <c r="AD90" s="79"/>
      <c r="AE90" s="79"/>
      <c r="AF90" s="120"/>
      <c r="AG90" s="12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70"/>
      <c r="J91" s="70"/>
      <c r="K91" s="120"/>
      <c r="L91" s="120"/>
      <c r="M91" s="70"/>
      <c r="N91" s="70"/>
      <c r="O91" s="70"/>
      <c r="P91" s="70"/>
      <c r="Q91" s="70"/>
      <c r="R91" s="120"/>
      <c r="S91" s="120"/>
      <c r="T91" s="70"/>
      <c r="U91" s="70"/>
      <c r="V91" s="70"/>
      <c r="W91" s="70"/>
      <c r="X91" s="70"/>
      <c r="Y91" s="120"/>
      <c r="Z91" s="120"/>
      <c r="AA91" s="70"/>
      <c r="AB91" s="70"/>
      <c r="AC91" s="70"/>
      <c r="AD91" s="79"/>
      <c r="AE91" s="79"/>
      <c r="AF91" s="120"/>
      <c r="AG91" s="12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70"/>
      <c r="J92" s="70"/>
      <c r="K92" s="120"/>
      <c r="L92" s="120"/>
      <c r="M92" s="70"/>
      <c r="N92" s="70"/>
      <c r="O92" s="70"/>
      <c r="P92" s="70"/>
      <c r="Q92" s="70"/>
      <c r="R92" s="120"/>
      <c r="S92" s="120"/>
      <c r="T92" s="70"/>
      <c r="U92" s="70"/>
      <c r="V92" s="70"/>
      <c r="W92" s="70"/>
      <c r="X92" s="70"/>
      <c r="Y92" s="120"/>
      <c r="Z92" s="120"/>
      <c r="AA92" s="70"/>
      <c r="AB92" s="70"/>
      <c r="AC92" s="70"/>
      <c r="AD92" s="79"/>
      <c r="AE92" s="79"/>
      <c r="AF92" s="120"/>
      <c r="AG92" s="12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70"/>
      <c r="J93" s="70"/>
      <c r="K93" s="120"/>
      <c r="L93" s="120"/>
      <c r="M93" s="70"/>
      <c r="N93" s="70"/>
      <c r="O93" s="70"/>
      <c r="P93" s="70"/>
      <c r="Q93" s="70"/>
      <c r="R93" s="120"/>
      <c r="S93" s="120"/>
      <c r="T93" s="70"/>
      <c r="U93" s="70"/>
      <c r="V93" s="70"/>
      <c r="W93" s="70"/>
      <c r="X93" s="70"/>
      <c r="Y93" s="120"/>
      <c r="Z93" s="120"/>
      <c r="AA93" s="70"/>
      <c r="AB93" s="70"/>
      <c r="AC93" s="70"/>
      <c r="AD93" s="79"/>
      <c r="AE93" s="79"/>
      <c r="AF93" s="120"/>
      <c r="AG93" s="12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70"/>
      <c r="J94" s="70"/>
      <c r="K94" s="120"/>
      <c r="L94" s="120"/>
      <c r="M94" s="70"/>
      <c r="N94" s="70"/>
      <c r="O94" s="70"/>
      <c r="P94" s="70"/>
      <c r="Q94" s="70"/>
      <c r="R94" s="120"/>
      <c r="S94" s="120"/>
      <c r="T94" s="70"/>
      <c r="U94" s="70"/>
      <c r="V94" s="70"/>
      <c r="W94" s="70"/>
      <c r="X94" s="70"/>
      <c r="Y94" s="120"/>
      <c r="Z94" s="120"/>
      <c r="AA94" s="70"/>
      <c r="AB94" s="70"/>
      <c r="AC94" s="70"/>
      <c r="AD94" s="79"/>
      <c r="AE94" s="79"/>
      <c r="AF94" s="120"/>
      <c r="AG94" s="12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70"/>
      <c r="J95" s="70"/>
      <c r="K95" s="120"/>
      <c r="L95" s="120"/>
      <c r="M95" s="70"/>
      <c r="N95" s="70"/>
      <c r="O95" s="70"/>
      <c r="P95" s="70"/>
      <c r="Q95" s="70"/>
      <c r="R95" s="120"/>
      <c r="S95" s="120"/>
      <c r="T95" s="70"/>
      <c r="U95" s="70"/>
      <c r="V95" s="70"/>
      <c r="W95" s="70"/>
      <c r="X95" s="70"/>
      <c r="Y95" s="120"/>
      <c r="Z95" s="120"/>
      <c r="AA95" s="70"/>
      <c r="AB95" s="70"/>
      <c r="AC95" s="70"/>
      <c r="AD95" s="79"/>
      <c r="AE95" s="79"/>
      <c r="AF95" s="120"/>
      <c r="AG95" s="12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4"/>
      <c r="J105" s="64"/>
      <c r="K105" s="68"/>
      <c r="L105" s="68"/>
      <c r="M105" s="64"/>
      <c r="N105" s="64"/>
      <c r="O105" s="64"/>
      <c r="P105" s="64"/>
      <c r="Q105" s="64"/>
      <c r="R105" s="68"/>
      <c r="S105" s="68"/>
      <c r="T105" s="64"/>
      <c r="U105" s="64"/>
      <c r="V105" s="64"/>
      <c r="W105" s="64"/>
      <c r="X105" s="64"/>
      <c r="Y105" s="68"/>
      <c r="Z105" s="68"/>
      <c r="AA105" s="64"/>
      <c r="AB105" s="64"/>
      <c r="AC105" s="64"/>
      <c r="AD105" s="65"/>
      <c r="AE105" s="65"/>
      <c r="AF105" s="68"/>
      <c r="AG105" s="68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4"/>
      <c r="J106" s="64"/>
      <c r="K106" s="68"/>
      <c r="L106" s="68"/>
      <c r="M106" s="64"/>
      <c r="N106" s="64"/>
      <c r="O106" s="64"/>
      <c r="P106" s="64"/>
      <c r="Q106" s="64"/>
      <c r="R106" s="68"/>
      <c r="S106" s="68"/>
      <c r="T106" s="64"/>
      <c r="U106" s="64"/>
      <c r="V106" s="64"/>
      <c r="W106" s="64"/>
      <c r="X106" s="64"/>
      <c r="Y106" s="68"/>
      <c r="Z106" s="68"/>
      <c r="AA106" s="64"/>
      <c r="AB106" s="64"/>
      <c r="AC106" s="64"/>
      <c r="AD106" s="65"/>
      <c r="AE106" s="65"/>
      <c r="AF106" s="68"/>
      <c r="AG106" s="68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4"/>
      <c r="J107" s="64"/>
      <c r="K107" s="68"/>
      <c r="L107" s="68"/>
      <c r="M107" s="64"/>
      <c r="N107" s="64"/>
      <c r="O107" s="64"/>
      <c r="P107" s="64"/>
      <c r="Q107" s="64"/>
      <c r="R107" s="68"/>
      <c r="S107" s="68"/>
      <c r="T107" s="64"/>
      <c r="U107" s="64"/>
      <c r="V107" s="64"/>
      <c r="W107" s="64"/>
      <c r="X107" s="64"/>
      <c r="Y107" s="68"/>
      <c r="Z107" s="68"/>
      <c r="AA107" s="64"/>
      <c r="AB107" s="64"/>
      <c r="AC107" s="64"/>
      <c r="AD107" s="65"/>
      <c r="AE107" s="65"/>
      <c r="AF107" s="68"/>
      <c r="AG107" s="68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4"/>
      <c r="J108" s="64"/>
      <c r="K108" s="68"/>
      <c r="L108" s="68"/>
      <c r="M108" s="64"/>
      <c r="N108" s="64"/>
      <c r="O108" s="64"/>
      <c r="P108" s="64"/>
      <c r="Q108" s="64"/>
      <c r="R108" s="68"/>
      <c r="S108" s="68"/>
      <c r="T108" s="64"/>
      <c r="U108" s="64"/>
      <c r="V108" s="64"/>
      <c r="W108" s="64"/>
      <c r="X108" s="64"/>
      <c r="Y108" s="68"/>
      <c r="Z108" s="68"/>
      <c r="AA108" s="64"/>
      <c r="AB108" s="64"/>
      <c r="AC108" s="64"/>
      <c r="AD108" s="65"/>
      <c r="AE108" s="65"/>
      <c r="AF108" s="68"/>
      <c r="AG108" s="68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4"/>
      <c r="J109" s="64"/>
      <c r="K109" s="68"/>
      <c r="L109" s="68"/>
      <c r="M109" s="64"/>
      <c r="N109" s="64"/>
      <c r="O109" s="64"/>
      <c r="P109" s="64"/>
      <c r="Q109" s="64"/>
      <c r="R109" s="68"/>
      <c r="S109" s="68"/>
      <c r="T109" s="64"/>
      <c r="U109" s="64"/>
      <c r="V109" s="64"/>
      <c r="W109" s="64"/>
      <c r="X109" s="64"/>
      <c r="Y109" s="68"/>
      <c r="Z109" s="68"/>
      <c r="AA109" s="64"/>
      <c r="AB109" s="64"/>
      <c r="AC109" s="64"/>
      <c r="AD109" s="65"/>
      <c r="AE109" s="65"/>
      <c r="AF109" s="68"/>
      <c r="AG109" s="68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4"/>
      <c r="J110" s="64"/>
      <c r="K110" s="68"/>
      <c r="L110" s="68"/>
      <c r="M110" s="64"/>
      <c r="N110" s="64"/>
      <c r="O110" s="64"/>
      <c r="P110" s="64"/>
      <c r="Q110" s="64"/>
      <c r="R110" s="68"/>
      <c r="S110" s="68"/>
      <c r="T110" s="64"/>
      <c r="U110" s="64"/>
      <c r="V110" s="64"/>
      <c r="W110" s="64"/>
      <c r="X110" s="64"/>
      <c r="Y110" s="68"/>
      <c r="Z110" s="68"/>
      <c r="AA110" s="64"/>
      <c r="AB110" s="64"/>
      <c r="AC110" s="64"/>
      <c r="AD110" s="65"/>
      <c r="AE110" s="65"/>
      <c r="AF110" s="68"/>
      <c r="AG110" s="68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4"/>
      <c r="J111" s="64"/>
      <c r="K111" s="68"/>
      <c r="L111" s="68"/>
      <c r="M111" s="64"/>
      <c r="N111" s="64"/>
      <c r="O111" s="64"/>
      <c r="P111" s="64"/>
      <c r="Q111" s="64"/>
      <c r="R111" s="68"/>
      <c r="S111" s="68"/>
      <c r="T111" s="64"/>
      <c r="U111" s="64"/>
      <c r="V111" s="64"/>
      <c r="W111" s="64"/>
      <c r="X111" s="64"/>
      <c r="Y111" s="68"/>
      <c r="Z111" s="68"/>
      <c r="AA111" s="64"/>
      <c r="AB111" s="64"/>
      <c r="AC111" s="64"/>
      <c r="AD111" s="65"/>
      <c r="AE111" s="65"/>
      <c r="AF111" s="68"/>
      <c r="AG111" s="68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4"/>
      <c r="J112" s="64"/>
      <c r="K112" s="68"/>
      <c r="L112" s="68"/>
      <c r="M112" s="64"/>
      <c r="N112" s="64"/>
      <c r="O112" s="64"/>
      <c r="P112" s="64"/>
      <c r="Q112" s="64"/>
      <c r="R112" s="68"/>
      <c r="S112" s="68"/>
      <c r="T112" s="64"/>
      <c r="U112" s="64"/>
      <c r="V112" s="64"/>
      <c r="W112" s="64"/>
      <c r="X112" s="64"/>
      <c r="Y112" s="68"/>
      <c r="Z112" s="68"/>
      <c r="AA112" s="64"/>
      <c r="AB112" s="64"/>
      <c r="AC112" s="64"/>
      <c r="AD112" s="65"/>
      <c r="AE112" s="65"/>
      <c r="AF112" s="68"/>
      <c r="AG112" s="68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4"/>
      <c r="J113" s="64"/>
      <c r="K113" s="68"/>
      <c r="L113" s="68"/>
      <c r="M113" s="64"/>
      <c r="N113" s="64"/>
      <c r="O113" s="64"/>
      <c r="P113" s="64"/>
      <c r="Q113" s="64"/>
      <c r="R113" s="68"/>
      <c r="S113" s="68"/>
      <c r="T113" s="64"/>
      <c r="U113" s="64"/>
      <c r="V113" s="64"/>
      <c r="W113" s="64"/>
      <c r="X113" s="64"/>
      <c r="Y113" s="68"/>
      <c r="Z113" s="68"/>
      <c r="AA113" s="64"/>
      <c r="AB113" s="64"/>
      <c r="AC113" s="64"/>
      <c r="AD113" s="65"/>
      <c r="AE113" s="65"/>
      <c r="AF113" s="68"/>
      <c r="AG113" s="68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4"/>
      <c r="J114" s="64"/>
      <c r="K114" s="68"/>
      <c r="L114" s="68"/>
      <c r="M114" s="64"/>
      <c r="N114" s="64"/>
      <c r="O114" s="64"/>
      <c r="P114" s="64"/>
      <c r="Q114" s="64"/>
      <c r="R114" s="68"/>
      <c r="S114" s="68"/>
      <c r="T114" s="64"/>
      <c r="U114" s="64"/>
      <c r="V114" s="64"/>
      <c r="W114" s="64"/>
      <c r="X114" s="64"/>
      <c r="Y114" s="68"/>
      <c r="Z114" s="68"/>
      <c r="AA114" s="64"/>
      <c r="AB114" s="64"/>
      <c r="AC114" s="64"/>
      <c r="AD114" s="65"/>
      <c r="AE114" s="65"/>
      <c r="AF114" s="68"/>
      <c r="AG114" s="68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4"/>
      <c r="J115" s="64"/>
      <c r="K115" s="68"/>
      <c r="L115" s="68"/>
      <c r="M115" s="64"/>
      <c r="N115" s="64"/>
      <c r="O115" s="64"/>
      <c r="P115" s="64"/>
      <c r="Q115" s="64"/>
      <c r="R115" s="68"/>
      <c r="S115" s="68"/>
      <c r="T115" s="64"/>
      <c r="U115" s="64"/>
      <c r="V115" s="64"/>
      <c r="W115" s="64"/>
      <c r="X115" s="64"/>
      <c r="Y115" s="68"/>
      <c r="Z115" s="68"/>
      <c r="AA115" s="64"/>
      <c r="AB115" s="64"/>
      <c r="AC115" s="64"/>
      <c r="AD115" s="65"/>
      <c r="AE115" s="65"/>
      <c r="AF115" s="68"/>
      <c r="AG115" s="68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4"/>
      <c r="J116" s="64"/>
      <c r="K116" s="68"/>
      <c r="L116" s="68"/>
      <c r="M116" s="64"/>
      <c r="N116" s="64"/>
      <c r="O116" s="64"/>
      <c r="P116" s="64"/>
      <c r="Q116" s="64"/>
      <c r="R116" s="68"/>
      <c r="S116" s="68"/>
      <c r="T116" s="64"/>
      <c r="U116" s="64"/>
      <c r="V116" s="64"/>
      <c r="W116" s="64"/>
      <c r="X116" s="64"/>
      <c r="Y116" s="68"/>
      <c r="Z116" s="68"/>
      <c r="AA116" s="64"/>
      <c r="AB116" s="64"/>
      <c r="AC116" s="64"/>
      <c r="AD116" s="65"/>
      <c r="AE116" s="65"/>
      <c r="AF116" s="68"/>
      <c r="AG116" s="68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92"/>
      <c r="J117" s="92"/>
      <c r="K117" s="124"/>
      <c r="L117" s="124"/>
      <c r="M117" s="92"/>
      <c r="N117" s="92"/>
      <c r="O117" s="92"/>
      <c r="P117" s="92"/>
      <c r="Q117" s="92"/>
      <c r="R117" s="124"/>
      <c r="S117" s="124"/>
      <c r="T117" s="92"/>
      <c r="U117" s="92"/>
      <c r="V117" s="92"/>
      <c r="W117" s="92"/>
      <c r="X117" s="92"/>
      <c r="Y117" s="124"/>
      <c r="Z117" s="124"/>
      <c r="AA117" s="92"/>
      <c r="AB117" s="92"/>
      <c r="AC117" s="92"/>
      <c r="AD117" s="93"/>
      <c r="AE117" s="93"/>
      <c r="AF117" s="124"/>
      <c r="AG117" s="124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120"/>
      <c r="Z118" s="120"/>
      <c r="AC118" s="70"/>
      <c r="AD118" s="79"/>
      <c r="AF118" s="120"/>
      <c r="AG118" s="12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23"/>
      <c r="AE119" s="79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4"/>
      <c r="J122" s="64"/>
      <c r="K122" s="68"/>
      <c r="L122" s="68"/>
      <c r="M122" s="64"/>
      <c r="N122" s="64"/>
      <c r="O122" s="64"/>
      <c r="P122" s="64"/>
      <c r="Q122" s="80"/>
      <c r="R122" s="120"/>
      <c r="S122" s="68"/>
      <c r="T122" s="64"/>
      <c r="U122" s="70"/>
      <c r="V122" s="64"/>
      <c r="W122" s="64"/>
      <c r="X122" s="64"/>
      <c r="Y122" s="68"/>
      <c r="Z122" s="68"/>
      <c r="AA122" s="64"/>
      <c r="AB122" s="64"/>
      <c r="AC122" s="80"/>
      <c r="AD122" s="65"/>
      <c r="AE122" s="65"/>
      <c r="AF122" s="68"/>
      <c r="AG122" s="68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12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4"/>
      <c r="J126" s="64"/>
      <c r="K126" s="68"/>
      <c r="L126" s="68"/>
      <c r="M126" s="70"/>
      <c r="N126" s="64"/>
      <c r="O126" s="64"/>
      <c r="P126" s="64"/>
      <c r="Q126" s="70"/>
      <c r="R126" s="68"/>
      <c r="S126" s="120"/>
      <c r="T126" s="64"/>
      <c r="U126" s="64"/>
      <c r="V126" s="64"/>
      <c r="W126" s="70"/>
      <c r="X126" s="64"/>
      <c r="Y126" s="68"/>
      <c r="Z126" s="68"/>
      <c r="AA126" s="64"/>
      <c r="AB126" s="64"/>
      <c r="AC126" s="64"/>
      <c r="AD126" s="65"/>
      <c r="AE126" s="65"/>
      <c r="AF126" s="68"/>
      <c r="AG126" s="68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12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70"/>
      <c r="J128" s="70"/>
      <c r="M128" s="70"/>
      <c r="N128" s="70"/>
      <c r="O128" s="70"/>
      <c r="P128" s="70"/>
      <c r="Q128" s="70"/>
      <c r="R128" s="120"/>
      <c r="S128" s="120"/>
      <c r="T128" s="70"/>
      <c r="V128" s="70"/>
      <c r="W128" s="70"/>
      <c r="X128" s="70"/>
      <c r="Z128" s="120"/>
      <c r="AA128" s="70"/>
      <c r="AB128" s="70"/>
      <c r="AC128" s="70"/>
      <c r="AD128" s="79"/>
      <c r="AE128" s="79"/>
      <c r="AF128" s="120"/>
      <c r="AG128" s="12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127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70"/>
      <c r="J134" s="70"/>
      <c r="M134" s="70"/>
      <c r="N134" s="70"/>
      <c r="O134" s="70"/>
      <c r="P134" s="70"/>
      <c r="Q134" s="70"/>
      <c r="R134" s="120"/>
      <c r="T134" s="70"/>
      <c r="U134" s="70"/>
      <c r="V134" s="70"/>
      <c r="Y134" s="120"/>
      <c r="Z134" s="120"/>
      <c r="AA134" s="70"/>
      <c r="AB134" s="70"/>
      <c r="AC134" s="70"/>
      <c r="AD134" s="79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0"/>
      <c r="AD135" s="79"/>
      <c r="AF135" s="12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73"/>
      <c r="J136" s="73"/>
      <c r="K136" s="121"/>
      <c r="L136" s="121"/>
      <c r="M136" s="73"/>
      <c r="N136" s="73"/>
      <c r="O136" s="73"/>
      <c r="P136" s="73"/>
      <c r="Q136" s="73"/>
      <c r="R136" s="121"/>
      <c r="S136" s="121"/>
      <c r="T136" s="73"/>
      <c r="U136" s="73"/>
      <c r="V136" s="73"/>
      <c r="W136" s="73"/>
      <c r="X136" s="73"/>
      <c r="Y136" s="121"/>
      <c r="Z136" s="121"/>
      <c r="AA136" s="73"/>
      <c r="AB136" s="73"/>
      <c r="AC136" s="73"/>
      <c r="AD136" s="74"/>
      <c r="AE136" s="74"/>
      <c r="AF136" s="121"/>
      <c r="AG136" s="121"/>
      <c r="AH136" s="73"/>
      <c r="AI136" s="73"/>
      <c r="AJ136" s="73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70"/>
      <c r="J137" s="70"/>
      <c r="K137" s="120"/>
      <c r="L137" s="120"/>
      <c r="M137" s="70"/>
      <c r="N137" s="70"/>
      <c r="O137" s="70"/>
      <c r="P137" s="70"/>
      <c r="Q137" s="70"/>
      <c r="R137" s="120"/>
      <c r="S137" s="120"/>
      <c r="T137" s="70"/>
      <c r="U137" s="70"/>
      <c r="V137" s="70"/>
      <c r="W137" s="70"/>
      <c r="X137" s="70"/>
      <c r="Y137" s="120"/>
      <c r="Z137" s="120"/>
      <c r="AA137" s="70"/>
      <c r="AB137" s="70"/>
      <c r="AC137" s="70"/>
      <c r="AD137" s="65"/>
      <c r="AE137" s="65"/>
      <c r="AF137" s="68"/>
      <c r="AG137" s="68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4"/>
      <c r="J138" s="64"/>
      <c r="K138" s="68"/>
      <c r="L138" s="68"/>
      <c r="M138" s="64"/>
      <c r="N138" s="64"/>
      <c r="O138" s="64"/>
      <c r="P138" s="64"/>
      <c r="Q138" s="64"/>
      <c r="R138" s="68"/>
      <c r="S138" s="68"/>
      <c r="T138" s="64"/>
      <c r="U138" s="64"/>
      <c r="V138" s="64"/>
      <c r="W138" s="64"/>
      <c r="X138" s="64"/>
      <c r="Y138" s="68"/>
      <c r="Z138" s="68"/>
      <c r="AA138" s="64"/>
      <c r="AB138" s="64"/>
      <c r="AC138" s="64"/>
      <c r="AD138" s="65"/>
      <c r="AE138" s="65"/>
      <c r="AF138" s="68"/>
      <c r="AG138" s="68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I146" s="64"/>
      <c r="J146" s="64"/>
      <c r="M146" s="64"/>
      <c r="N146" s="64"/>
      <c r="O146" s="64"/>
      <c r="P146" s="64"/>
      <c r="Q146" s="64"/>
      <c r="T146" s="64"/>
      <c r="U146" s="64"/>
      <c r="V146" s="64"/>
      <c r="W146" s="64"/>
      <c r="X146" s="64"/>
      <c r="AA146" s="64"/>
      <c r="AB146" s="64"/>
      <c r="AC146" s="64"/>
      <c r="AD146" s="65"/>
      <c r="AE146" s="65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I147" s="64"/>
      <c r="J147" s="64"/>
      <c r="M147" s="64"/>
      <c r="N147" s="64"/>
      <c r="O147" s="64"/>
      <c r="P147" s="64"/>
      <c r="Q147" s="64"/>
      <c r="T147" s="64"/>
      <c r="U147" s="64"/>
      <c r="V147" s="64"/>
      <c r="W147" s="64"/>
      <c r="X147" s="64"/>
      <c r="AA147" s="64"/>
      <c r="AB147" s="64"/>
      <c r="AC147" s="64"/>
      <c r="AD147" s="65"/>
      <c r="AE147" s="65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I148" s="64"/>
      <c r="J148" s="64"/>
      <c r="M148" s="64"/>
      <c r="N148" s="64"/>
      <c r="O148" s="64"/>
      <c r="P148" s="64"/>
      <c r="Q148" s="64"/>
      <c r="T148" s="64"/>
      <c r="U148" s="64"/>
      <c r="V148" s="64"/>
      <c r="W148" s="64"/>
      <c r="X148" s="64"/>
      <c r="AA148" s="64"/>
      <c r="AB148" s="64"/>
      <c r="AC148" s="64"/>
      <c r="AD148" s="65"/>
      <c r="AE148" s="65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I149" s="64"/>
      <c r="J149" s="64"/>
      <c r="M149" s="64"/>
      <c r="N149" s="64"/>
      <c r="O149" s="64"/>
      <c r="P149" s="64"/>
      <c r="Q149" s="64"/>
      <c r="T149" s="64"/>
      <c r="U149" s="64"/>
      <c r="V149" s="64"/>
      <c r="W149" s="64"/>
      <c r="X149" s="64"/>
      <c r="AA149" s="64"/>
      <c r="AB149" s="64"/>
      <c r="AC149" s="64"/>
      <c r="AD149" s="65"/>
      <c r="AE149" s="65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I150" s="64"/>
      <c r="J150" s="64"/>
      <c r="M150" s="64"/>
      <c r="N150" s="64"/>
      <c r="O150" s="64"/>
      <c r="P150" s="64"/>
      <c r="Q150" s="64"/>
      <c r="T150" s="64"/>
      <c r="U150" s="64"/>
      <c r="V150" s="64"/>
      <c r="W150" s="64"/>
      <c r="X150" s="64"/>
      <c r="AA150" s="64"/>
      <c r="AB150" s="64"/>
      <c r="AC150" s="64"/>
      <c r="AD150" s="65"/>
      <c r="AE150" s="65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I151" s="64"/>
      <c r="J151" s="64"/>
      <c r="M151" s="64"/>
      <c r="N151" s="64"/>
      <c r="O151" s="64"/>
      <c r="P151" s="64"/>
      <c r="Q151" s="64"/>
      <c r="T151" s="64"/>
      <c r="U151" s="64"/>
      <c r="V151" s="64"/>
      <c r="W151" s="64"/>
      <c r="X151" s="64"/>
      <c r="AA151" s="64"/>
      <c r="AB151" s="64"/>
      <c r="AC151" s="64"/>
      <c r="AD151" s="65"/>
      <c r="AE151" s="65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I152" s="64"/>
      <c r="J152" s="64"/>
      <c r="M152" s="64"/>
      <c r="N152" s="64"/>
      <c r="O152" s="64"/>
      <c r="P152" s="64"/>
      <c r="Q152" s="64"/>
      <c r="T152" s="64"/>
      <c r="U152" s="64"/>
      <c r="V152" s="64"/>
      <c r="W152" s="64"/>
      <c r="X152" s="64"/>
      <c r="AA152" s="64"/>
      <c r="AB152" s="64"/>
      <c r="AC152" s="64"/>
      <c r="AD152" s="65"/>
      <c r="AE152" s="65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I153" s="64"/>
      <c r="J153" s="64"/>
      <c r="M153" s="64"/>
      <c r="N153" s="64"/>
      <c r="O153" s="64"/>
      <c r="P153" s="64"/>
      <c r="Q153" s="64"/>
      <c r="T153" s="64"/>
      <c r="U153" s="64"/>
      <c r="V153" s="64"/>
      <c r="W153" s="64"/>
      <c r="X153" s="64"/>
      <c r="AA153" s="64"/>
      <c r="AB153" s="64"/>
      <c r="AC153" s="64"/>
      <c r="AD153" s="65"/>
      <c r="AE153" s="65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I154" s="64"/>
      <c r="J154" s="64"/>
      <c r="M154" s="64"/>
      <c r="N154" s="64"/>
      <c r="O154" s="64"/>
      <c r="P154" s="64"/>
      <c r="Q154" s="64"/>
      <c r="T154" s="64"/>
      <c r="U154" s="64"/>
      <c r="V154" s="64"/>
      <c r="W154" s="64"/>
      <c r="X154" s="64"/>
      <c r="AA154" s="64"/>
      <c r="AB154" s="64"/>
      <c r="AC154" s="64"/>
      <c r="AD154" s="65"/>
      <c r="AE154" s="65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I155" s="64"/>
      <c r="J155" s="64"/>
      <c r="M155" s="64"/>
      <c r="N155" s="64"/>
      <c r="O155" s="64"/>
      <c r="P155" s="64"/>
      <c r="Q155" s="64"/>
      <c r="T155" s="64"/>
      <c r="U155" s="64"/>
      <c r="V155" s="64"/>
      <c r="W155" s="64"/>
      <c r="X155" s="64"/>
      <c r="AA155" s="64"/>
      <c r="AB155" s="64"/>
      <c r="AC155" s="64"/>
      <c r="AD155" s="65"/>
      <c r="AE155" s="65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I156" s="64"/>
      <c r="J156" s="64"/>
      <c r="M156" s="64"/>
      <c r="N156" s="64"/>
      <c r="O156" s="64"/>
      <c r="P156" s="64"/>
      <c r="Q156" s="64"/>
      <c r="T156" s="64"/>
      <c r="U156" s="64"/>
      <c r="V156" s="64"/>
      <c r="W156" s="64"/>
      <c r="X156" s="64"/>
      <c r="AA156" s="64"/>
      <c r="AB156" s="64"/>
      <c r="AC156" s="64"/>
      <c r="AD156" s="65"/>
      <c r="AE156" s="65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I157" s="64"/>
      <c r="J157" s="64"/>
      <c r="M157" s="64"/>
      <c r="N157" s="64"/>
      <c r="O157" s="64"/>
      <c r="P157" s="64"/>
      <c r="Q157" s="64"/>
      <c r="T157" s="64"/>
      <c r="U157" s="64"/>
      <c r="V157" s="64"/>
      <c r="W157" s="64"/>
      <c r="X157" s="64"/>
      <c r="AA157" s="64"/>
      <c r="AB157" s="64"/>
      <c r="AC157" s="64"/>
      <c r="AD157" s="65"/>
      <c r="AE157" s="65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I158" s="64"/>
      <c r="J158" s="64"/>
      <c r="M158" s="64"/>
      <c r="N158" s="64"/>
      <c r="O158" s="64"/>
      <c r="P158" s="64"/>
      <c r="Q158" s="64"/>
      <c r="T158" s="64"/>
      <c r="U158" s="64"/>
      <c r="V158" s="64"/>
      <c r="W158" s="64"/>
      <c r="X158" s="64"/>
      <c r="AA158" s="64"/>
      <c r="AB158" s="64"/>
      <c r="AC158" s="64"/>
      <c r="AD158" s="65"/>
      <c r="AE158" s="65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I159" s="64"/>
      <c r="J159" s="64"/>
      <c r="M159" s="64"/>
      <c r="N159" s="64"/>
      <c r="O159" s="64"/>
      <c r="P159" s="64"/>
      <c r="Q159" s="64"/>
      <c r="T159" s="64"/>
      <c r="U159" s="64"/>
      <c r="V159" s="64"/>
      <c r="W159" s="64"/>
      <c r="X159" s="64"/>
      <c r="AA159" s="64"/>
      <c r="AB159" s="64"/>
      <c r="AC159" s="64"/>
      <c r="AD159" s="65"/>
      <c r="AE159" s="65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I160" s="64"/>
      <c r="J160" s="64"/>
      <c r="M160" s="64"/>
      <c r="N160" s="64"/>
      <c r="O160" s="64"/>
      <c r="P160" s="64"/>
      <c r="Q160" s="64"/>
      <c r="T160" s="64"/>
      <c r="U160" s="64"/>
      <c r="V160" s="64"/>
      <c r="W160" s="64"/>
      <c r="X160" s="64"/>
      <c r="AA160" s="64"/>
      <c r="AB160" s="64"/>
      <c r="AC160" s="64"/>
      <c r="AD160" s="65"/>
      <c r="AE160" s="65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I161" s="64"/>
      <c r="J161" s="64"/>
      <c r="M161" s="64"/>
      <c r="N161" s="64"/>
      <c r="O161" s="64"/>
      <c r="P161" s="64"/>
      <c r="Q161" s="64"/>
      <c r="T161" s="64"/>
      <c r="U161" s="64"/>
      <c r="V161" s="64"/>
      <c r="W161" s="64"/>
      <c r="X161" s="64"/>
      <c r="AA161" s="64"/>
      <c r="AB161" s="64"/>
      <c r="AC161" s="64"/>
      <c r="AD161" s="65"/>
      <c r="AE161" s="65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I162" s="64"/>
      <c r="J162" s="64"/>
      <c r="M162" s="64"/>
      <c r="N162" s="64"/>
      <c r="O162" s="64"/>
      <c r="P162" s="64"/>
      <c r="Q162" s="64"/>
      <c r="T162" s="64"/>
      <c r="U162" s="64"/>
      <c r="V162" s="64"/>
      <c r="W162" s="64"/>
      <c r="X162" s="64"/>
      <c r="AA162" s="64"/>
      <c r="AB162" s="64"/>
      <c r="AC162" s="64"/>
      <c r="AD162" s="65"/>
      <c r="AE162" s="65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I163" s="64"/>
      <c r="J163" s="64"/>
      <c r="M163" s="64"/>
      <c r="N163" s="64"/>
      <c r="O163" s="64"/>
      <c r="P163" s="64"/>
      <c r="Q163" s="64"/>
      <c r="T163" s="64"/>
      <c r="U163" s="64"/>
      <c r="V163" s="64"/>
      <c r="W163" s="64"/>
      <c r="X163" s="64"/>
      <c r="AA163" s="64"/>
      <c r="AB163" s="64"/>
      <c r="AC163" s="64"/>
      <c r="AD163" s="65"/>
      <c r="AE163" s="65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I164" s="64"/>
      <c r="J164" s="64"/>
      <c r="M164" s="64"/>
      <c r="N164" s="64"/>
      <c r="O164" s="64"/>
      <c r="P164" s="64"/>
      <c r="Q164" s="64"/>
      <c r="T164" s="64"/>
      <c r="U164" s="64"/>
      <c r="V164" s="64"/>
      <c r="W164" s="64"/>
      <c r="X164" s="64"/>
      <c r="AA164" s="64"/>
      <c r="AB164" s="64"/>
      <c r="AC164" s="64"/>
      <c r="AD164" s="65"/>
      <c r="AE164" s="65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I165" s="64"/>
      <c r="J165" s="64"/>
      <c r="M165" s="64"/>
      <c r="N165" s="64"/>
      <c r="O165" s="64"/>
      <c r="P165" s="64"/>
      <c r="Q165" s="64"/>
      <c r="T165" s="64"/>
      <c r="U165" s="64"/>
      <c r="V165" s="64"/>
      <c r="W165" s="64"/>
      <c r="X165" s="64"/>
      <c r="AA165" s="64"/>
      <c r="AB165" s="64"/>
      <c r="AC165" s="64"/>
      <c r="AD165" s="65"/>
      <c r="AE165" s="65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I166" s="64"/>
      <c r="J166" s="64"/>
      <c r="M166" s="64"/>
      <c r="N166" s="64"/>
      <c r="O166" s="64"/>
      <c r="P166" s="64"/>
      <c r="Q166" s="64"/>
      <c r="T166" s="64"/>
      <c r="U166" s="64"/>
      <c r="V166" s="64"/>
      <c r="W166" s="64"/>
      <c r="X166" s="64"/>
      <c r="AA166" s="64"/>
      <c r="AB166" s="64"/>
      <c r="AC166" s="64"/>
      <c r="AD166" s="65"/>
      <c r="AE166" s="65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I167" s="64"/>
      <c r="J167" s="64"/>
      <c r="M167" s="64"/>
      <c r="N167" s="64"/>
      <c r="O167" s="64"/>
      <c r="P167" s="64"/>
      <c r="Q167" s="64"/>
      <c r="T167" s="64"/>
      <c r="U167" s="64"/>
      <c r="V167" s="64"/>
      <c r="W167" s="64"/>
      <c r="X167" s="64"/>
      <c r="AA167" s="64"/>
      <c r="AB167" s="64"/>
      <c r="AC167" s="64"/>
      <c r="AD167" s="65"/>
      <c r="AE167" s="65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I168" s="64"/>
      <c r="J168" s="64"/>
      <c r="M168" s="64"/>
      <c r="N168" s="64"/>
      <c r="O168" s="64"/>
      <c r="P168" s="64"/>
      <c r="Q168" s="64"/>
      <c r="T168" s="64"/>
      <c r="U168" s="64"/>
      <c r="V168" s="64"/>
      <c r="W168" s="64"/>
      <c r="X168" s="64"/>
      <c r="AA168" s="64"/>
      <c r="AB168" s="64"/>
      <c r="AC168" s="64"/>
      <c r="AD168" s="65"/>
      <c r="AE168" s="65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I169" s="64"/>
      <c r="J169" s="64"/>
      <c r="M169" s="64"/>
      <c r="N169" s="64"/>
      <c r="O169" s="64"/>
      <c r="P169" s="64"/>
      <c r="Q169" s="64"/>
      <c r="T169" s="64"/>
      <c r="U169" s="64"/>
      <c r="V169" s="64"/>
      <c r="W169" s="64"/>
      <c r="X169" s="64"/>
      <c r="AA169" s="64"/>
      <c r="AB169" s="64"/>
      <c r="AC169" s="64"/>
      <c r="AD169" s="65"/>
      <c r="AE169" s="65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I170" s="64"/>
      <c r="J170" s="64"/>
      <c r="M170" s="64"/>
      <c r="N170" s="64"/>
      <c r="O170" s="64"/>
      <c r="P170" s="64"/>
      <c r="Q170" s="64"/>
      <c r="T170" s="64"/>
      <c r="U170" s="64"/>
      <c r="V170" s="64"/>
      <c r="W170" s="64"/>
      <c r="X170" s="64"/>
      <c r="AA170" s="64"/>
      <c r="AB170" s="64"/>
      <c r="AC170" s="64"/>
      <c r="AD170" s="65"/>
      <c r="AE170" s="65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I171" s="64"/>
      <c r="J171" s="64"/>
      <c r="M171" s="64"/>
      <c r="N171" s="64"/>
      <c r="O171" s="64"/>
      <c r="P171" s="64"/>
      <c r="Q171" s="64"/>
      <c r="T171" s="64"/>
      <c r="U171" s="64"/>
      <c r="V171" s="64"/>
      <c r="W171" s="64"/>
      <c r="X171" s="64"/>
      <c r="AA171" s="64"/>
      <c r="AB171" s="64"/>
      <c r="AC171" s="64"/>
      <c r="AD171" s="65"/>
      <c r="AE171" s="65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I172" s="64"/>
      <c r="J172" s="64"/>
      <c r="M172" s="64"/>
      <c r="N172" s="64"/>
      <c r="O172" s="64"/>
      <c r="P172" s="64"/>
      <c r="Q172" s="64"/>
      <c r="T172" s="64"/>
      <c r="U172" s="64"/>
      <c r="V172" s="64"/>
      <c r="W172" s="64"/>
      <c r="X172" s="64"/>
      <c r="AA172" s="64"/>
      <c r="AB172" s="64"/>
      <c r="AC172" s="64"/>
      <c r="AD172" s="65"/>
      <c r="AE172" s="65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I173" s="64"/>
      <c r="J173" s="64"/>
      <c r="M173" s="64"/>
      <c r="N173" s="64"/>
      <c r="O173" s="64"/>
      <c r="P173" s="64"/>
      <c r="Q173" s="64"/>
      <c r="T173" s="64"/>
      <c r="U173" s="64"/>
      <c r="V173" s="64"/>
      <c r="W173" s="64"/>
      <c r="X173" s="64"/>
      <c r="AA173" s="64"/>
      <c r="AB173" s="64"/>
      <c r="AC173" s="64"/>
      <c r="AD173" s="65"/>
      <c r="AE173" s="65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I174" s="64"/>
      <c r="J174" s="64"/>
      <c r="M174" s="64"/>
      <c r="N174" s="64"/>
      <c r="O174" s="64"/>
      <c r="P174" s="64"/>
      <c r="Q174" s="64"/>
      <c r="T174" s="64"/>
      <c r="U174" s="64"/>
      <c r="V174" s="64"/>
      <c r="W174" s="64"/>
      <c r="X174" s="64"/>
      <c r="AA174" s="64"/>
      <c r="AB174" s="64"/>
      <c r="AC174" s="64"/>
      <c r="AD174" s="65"/>
      <c r="AE174" s="65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I175" s="64"/>
      <c r="J175" s="64"/>
      <c r="M175" s="64"/>
      <c r="N175" s="64"/>
      <c r="O175" s="64"/>
      <c r="P175" s="64"/>
      <c r="Q175" s="64"/>
      <c r="T175" s="64"/>
      <c r="U175" s="64"/>
      <c r="V175" s="64"/>
      <c r="W175" s="64"/>
      <c r="X175" s="64"/>
      <c r="AA175" s="64"/>
      <c r="AB175" s="64"/>
      <c r="AC175" s="64"/>
      <c r="AD175" s="65"/>
      <c r="AE175" s="65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I176" s="64"/>
      <c r="J176" s="64"/>
      <c r="M176" s="64"/>
      <c r="N176" s="64"/>
      <c r="O176" s="64"/>
      <c r="P176" s="64"/>
      <c r="Q176" s="64"/>
      <c r="T176" s="64"/>
      <c r="U176" s="64"/>
      <c r="V176" s="64"/>
      <c r="W176" s="64"/>
      <c r="X176" s="64"/>
      <c r="AA176" s="64"/>
      <c r="AB176" s="64"/>
      <c r="AC176" s="64"/>
      <c r="AD176" s="65"/>
      <c r="AE176" s="65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I177" s="64"/>
      <c r="J177" s="64"/>
      <c r="M177" s="64"/>
      <c r="N177" s="64"/>
      <c r="O177" s="64"/>
      <c r="P177" s="64"/>
      <c r="Q177" s="64"/>
      <c r="T177" s="64"/>
      <c r="U177" s="64"/>
      <c r="V177" s="64"/>
      <c r="W177" s="64"/>
      <c r="X177" s="64"/>
      <c r="AA177" s="64"/>
      <c r="AB177" s="64"/>
      <c r="AC177" s="64"/>
      <c r="AD177" s="65"/>
      <c r="AE177" s="65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I178" s="64"/>
      <c r="J178" s="64"/>
      <c r="M178" s="64"/>
      <c r="N178" s="64"/>
      <c r="O178" s="64"/>
      <c r="P178" s="64"/>
      <c r="Q178" s="64"/>
      <c r="T178" s="64"/>
      <c r="U178" s="64"/>
      <c r="V178" s="64"/>
      <c r="W178" s="64"/>
      <c r="X178" s="64"/>
      <c r="AA178" s="64"/>
      <c r="AB178" s="64"/>
      <c r="AC178" s="64"/>
      <c r="AD178" s="65"/>
      <c r="AE178" s="65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I179" s="64"/>
      <c r="J179" s="64"/>
      <c r="M179" s="64"/>
      <c r="N179" s="64"/>
      <c r="O179" s="64"/>
      <c r="P179" s="64"/>
      <c r="Q179" s="64"/>
      <c r="T179" s="64"/>
      <c r="U179" s="64"/>
      <c r="V179" s="64"/>
      <c r="W179" s="64"/>
      <c r="X179" s="64"/>
      <c r="AA179" s="64"/>
      <c r="AB179" s="64"/>
      <c r="AC179" s="64"/>
      <c r="AD179" s="65"/>
      <c r="AE179" s="65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I180" s="64"/>
      <c r="J180" s="64"/>
      <c r="M180" s="64"/>
      <c r="N180" s="64"/>
      <c r="O180" s="64"/>
      <c r="P180" s="64"/>
      <c r="Q180" s="64"/>
      <c r="T180" s="64"/>
      <c r="U180" s="64"/>
      <c r="V180" s="64"/>
      <c r="W180" s="64"/>
      <c r="X180" s="64"/>
      <c r="AA180" s="64"/>
      <c r="AB180" s="64"/>
      <c r="AC180" s="64"/>
      <c r="AD180" s="65"/>
      <c r="AE180" s="65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I181" s="64"/>
      <c r="J181" s="64"/>
      <c r="M181" s="64"/>
      <c r="N181" s="64"/>
      <c r="O181" s="64"/>
      <c r="P181" s="64"/>
      <c r="Q181" s="64"/>
      <c r="T181" s="64"/>
      <c r="U181" s="64"/>
      <c r="V181" s="64"/>
      <c r="W181" s="64"/>
      <c r="X181" s="64"/>
      <c r="AA181" s="64"/>
      <c r="AB181" s="64"/>
      <c r="AC181" s="64"/>
      <c r="AD181" s="65"/>
      <c r="AE181" s="65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I182" s="64"/>
      <c r="J182" s="64"/>
      <c r="M182" s="64"/>
      <c r="N182" s="64"/>
      <c r="O182" s="64"/>
      <c r="P182" s="64"/>
      <c r="Q182" s="64"/>
      <c r="T182" s="64"/>
      <c r="U182" s="64"/>
      <c r="V182" s="64"/>
      <c r="W182" s="64"/>
      <c r="X182" s="64"/>
      <c r="AA182" s="64"/>
      <c r="AB182" s="64"/>
      <c r="AC182" s="64"/>
      <c r="AD182" s="65"/>
      <c r="AE182" s="65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I183" s="64"/>
      <c r="J183" s="64"/>
      <c r="M183" s="64"/>
      <c r="N183" s="64"/>
      <c r="O183" s="64"/>
      <c r="P183" s="64"/>
      <c r="Q183" s="64"/>
      <c r="T183" s="64"/>
      <c r="U183" s="64"/>
      <c r="V183" s="64"/>
      <c r="W183" s="64"/>
      <c r="X183" s="64"/>
      <c r="AA183" s="64"/>
      <c r="AB183" s="64"/>
      <c r="AC183" s="64"/>
      <c r="AD183" s="65"/>
      <c r="AE183" s="65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I184" s="64"/>
      <c r="J184" s="64"/>
      <c r="M184" s="64"/>
      <c r="N184" s="64"/>
      <c r="O184" s="64"/>
      <c r="P184" s="64"/>
      <c r="Q184" s="64"/>
      <c r="T184" s="64"/>
      <c r="U184" s="64"/>
      <c r="V184" s="64"/>
      <c r="W184" s="64"/>
      <c r="X184" s="64"/>
      <c r="AA184" s="64"/>
      <c r="AB184" s="64"/>
      <c r="AC184" s="64"/>
      <c r="AD184" s="65"/>
      <c r="AE184" s="65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I185" s="64"/>
      <c r="J185" s="64"/>
      <c r="M185" s="64"/>
      <c r="N185" s="64"/>
      <c r="O185" s="64"/>
      <c r="P185" s="64"/>
      <c r="Q185" s="64"/>
      <c r="T185" s="64"/>
      <c r="U185" s="64"/>
      <c r="V185" s="64"/>
      <c r="W185" s="64"/>
      <c r="X185" s="64"/>
      <c r="AA185" s="64"/>
      <c r="AB185" s="64"/>
      <c r="AC185" s="64"/>
      <c r="AD185" s="65"/>
      <c r="AE185" s="65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I186" s="64"/>
      <c r="J186" s="64"/>
      <c r="M186" s="64"/>
      <c r="N186" s="64"/>
      <c r="O186" s="64"/>
      <c r="P186" s="64"/>
      <c r="Q186" s="64"/>
      <c r="T186" s="64"/>
      <c r="U186" s="64"/>
      <c r="V186" s="64"/>
      <c r="W186" s="64"/>
      <c r="X186" s="64"/>
      <c r="AA186" s="64"/>
      <c r="AB186" s="64"/>
      <c r="AC186" s="64"/>
      <c r="AD186" s="65"/>
      <c r="AE186" s="65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I187" s="64"/>
      <c r="J187" s="64"/>
      <c r="M187" s="64"/>
      <c r="N187" s="64"/>
      <c r="O187" s="64"/>
      <c r="P187" s="64"/>
      <c r="Q187" s="64"/>
      <c r="T187" s="64"/>
      <c r="U187" s="64"/>
      <c r="V187" s="64"/>
      <c r="W187" s="64"/>
      <c r="X187" s="64"/>
      <c r="AA187" s="64"/>
      <c r="AB187" s="64"/>
      <c r="AC187" s="64"/>
      <c r="AD187" s="65"/>
      <c r="AE187" s="65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I188" s="64"/>
      <c r="J188" s="64"/>
      <c r="M188" s="64"/>
      <c r="N188" s="64"/>
      <c r="O188" s="64"/>
      <c r="P188" s="64"/>
      <c r="Q188" s="64"/>
      <c r="T188" s="64"/>
      <c r="U188" s="64"/>
      <c r="V188" s="64"/>
      <c r="W188" s="64"/>
      <c r="X188" s="64"/>
      <c r="AA188" s="64"/>
      <c r="AB188" s="64"/>
      <c r="AC188" s="64"/>
      <c r="AD188" s="65"/>
      <c r="AE188" s="65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I189" s="64"/>
      <c r="J189" s="64"/>
      <c r="M189" s="64"/>
      <c r="N189" s="64"/>
      <c r="O189" s="64"/>
      <c r="P189" s="64"/>
      <c r="Q189" s="64"/>
      <c r="T189" s="64"/>
      <c r="U189" s="64"/>
      <c r="V189" s="64"/>
      <c r="W189" s="64"/>
      <c r="X189" s="64"/>
      <c r="AA189" s="64"/>
      <c r="AB189" s="64"/>
      <c r="AC189" s="64"/>
      <c r="AD189" s="65"/>
      <c r="AE189" s="65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I190" s="64"/>
      <c r="J190" s="64"/>
      <c r="M190" s="64"/>
      <c r="N190" s="64"/>
      <c r="O190" s="64"/>
      <c r="P190" s="64"/>
      <c r="Q190" s="64"/>
      <c r="T190" s="64"/>
      <c r="U190" s="64"/>
      <c r="V190" s="64"/>
      <c r="W190" s="64"/>
      <c r="X190" s="64"/>
      <c r="AA190" s="64"/>
      <c r="AB190" s="64"/>
      <c r="AC190" s="64"/>
      <c r="AD190" s="65"/>
      <c r="AE190" s="65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I191" s="64"/>
      <c r="J191" s="64"/>
      <c r="M191" s="64"/>
      <c r="N191" s="64"/>
      <c r="O191" s="64"/>
      <c r="P191" s="64"/>
      <c r="Q191" s="64"/>
      <c r="T191" s="64"/>
      <c r="U191" s="64"/>
      <c r="V191" s="64"/>
      <c r="W191" s="64"/>
      <c r="X191" s="64"/>
      <c r="AA191" s="64"/>
      <c r="AB191" s="64"/>
      <c r="AC191" s="64"/>
      <c r="AD191" s="65"/>
      <c r="AE191" s="65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I192" s="64"/>
      <c r="J192" s="64"/>
      <c r="M192" s="64"/>
      <c r="N192" s="64"/>
      <c r="O192" s="64"/>
      <c r="P192" s="64"/>
      <c r="Q192" s="64"/>
      <c r="T192" s="64"/>
      <c r="U192" s="64"/>
      <c r="V192" s="64"/>
      <c r="W192" s="64"/>
      <c r="X192" s="64"/>
      <c r="AA192" s="64"/>
      <c r="AB192" s="64"/>
      <c r="AC192" s="64"/>
      <c r="AD192" s="65"/>
      <c r="AE192" s="65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I193" s="64"/>
      <c r="J193" s="64"/>
      <c r="M193" s="64"/>
      <c r="N193" s="64"/>
      <c r="O193" s="64"/>
      <c r="P193" s="64"/>
      <c r="Q193" s="64"/>
      <c r="T193" s="64"/>
      <c r="U193" s="64"/>
      <c r="V193" s="64"/>
      <c r="W193" s="64"/>
      <c r="X193" s="64"/>
      <c r="AA193" s="64"/>
      <c r="AB193" s="64"/>
      <c r="AC193" s="64"/>
      <c r="AD193" s="65"/>
      <c r="AE193" s="65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I194" s="64"/>
      <c r="J194" s="64"/>
      <c r="M194" s="64"/>
      <c r="N194" s="64"/>
      <c r="O194" s="64"/>
      <c r="P194" s="64"/>
      <c r="Q194" s="64"/>
      <c r="T194" s="64"/>
      <c r="U194" s="64"/>
      <c r="V194" s="64"/>
      <c r="W194" s="64"/>
      <c r="X194" s="64"/>
      <c r="AA194" s="64"/>
      <c r="AB194" s="64"/>
      <c r="AC194" s="64"/>
      <c r="AD194" s="65"/>
      <c r="AE194" s="65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I195" s="64"/>
      <c r="J195" s="64"/>
      <c r="M195" s="64"/>
      <c r="N195" s="64"/>
      <c r="O195" s="64"/>
      <c r="P195" s="64"/>
      <c r="Q195" s="64"/>
      <c r="T195" s="64"/>
      <c r="U195" s="64"/>
      <c r="V195" s="64"/>
      <c r="W195" s="64"/>
      <c r="X195" s="64"/>
      <c r="AA195" s="64"/>
      <c r="AB195" s="64"/>
      <c r="AC195" s="64"/>
      <c r="AD195" s="65"/>
      <c r="AE195" s="65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I196" s="64"/>
      <c r="J196" s="64"/>
      <c r="M196" s="64"/>
      <c r="N196" s="64"/>
      <c r="O196" s="64"/>
      <c r="P196" s="64"/>
      <c r="Q196" s="64"/>
      <c r="T196" s="64"/>
      <c r="U196" s="64"/>
      <c r="V196" s="64"/>
      <c r="W196" s="64"/>
      <c r="X196" s="64"/>
      <c r="AA196" s="64"/>
      <c r="AB196" s="64"/>
      <c r="AC196" s="64"/>
      <c r="AD196" s="65"/>
      <c r="AE196" s="65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I197" s="64"/>
      <c r="J197" s="64"/>
      <c r="M197" s="64"/>
      <c r="N197" s="64"/>
      <c r="O197" s="64"/>
      <c r="P197" s="64"/>
      <c r="Q197" s="64"/>
      <c r="T197" s="64"/>
      <c r="U197" s="64"/>
      <c r="V197" s="64"/>
      <c r="W197" s="64"/>
      <c r="X197" s="64"/>
      <c r="AA197" s="64"/>
      <c r="AB197" s="64"/>
      <c r="AC197" s="64"/>
      <c r="AD197" s="65"/>
      <c r="AE197" s="65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I198" s="64"/>
      <c r="J198" s="64"/>
      <c r="M198" s="64"/>
      <c r="N198" s="64"/>
      <c r="O198" s="64"/>
      <c r="P198" s="64"/>
      <c r="Q198" s="64"/>
      <c r="T198" s="64"/>
      <c r="U198" s="64"/>
      <c r="V198" s="64"/>
      <c r="W198" s="64"/>
      <c r="X198" s="64"/>
      <c r="AA198" s="64"/>
      <c r="AB198" s="64"/>
      <c r="AC198" s="64"/>
      <c r="AD198" s="65"/>
      <c r="AE198" s="65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I199" s="64"/>
      <c r="J199" s="64"/>
      <c r="M199" s="64"/>
      <c r="N199" s="64"/>
      <c r="O199" s="64"/>
      <c r="P199" s="64"/>
      <c r="Q199" s="64"/>
      <c r="T199" s="64"/>
      <c r="U199" s="64"/>
      <c r="V199" s="64"/>
      <c r="W199" s="64"/>
      <c r="X199" s="64"/>
      <c r="AA199" s="64"/>
      <c r="AB199" s="64"/>
      <c r="AC199" s="64"/>
      <c r="AD199" s="65"/>
      <c r="AE199" s="65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I200" s="64"/>
      <c r="J200" s="64"/>
      <c r="M200" s="64"/>
      <c r="N200" s="64"/>
      <c r="O200" s="64"/>
      <c r="P200" s="64"/>
      <c r="Q200" s="64"/>
      <c r="T200" s="64"/>
      <c r="U200" s="64"/>
      <c r="V200" s="64"/>
      <c r="W200" s="64"/>
      <c r="X200" s="64"/>
      <c r="AA200" s="64"/>
      <c r="AB200" s="64"/>
      <c r="AC200" s="64"/>
      <c r="AD200" s="65"/>
      <c r="AE200" s="65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I201" s="64"/>
      <c r="J201" s="64"/>
      <c r="M201" s="64"/>
      <c r="N201" s="64"/>
      <c r="O201" s="64"/>
      <c r="P201" s="64"/>
      <c r="Q201" s="64"/>
      <c r="T201" s="64"/>
      <c r="U201" s="64"/>
      <c r="V201" s="64"/>
      <c r="W201" s="64"/>
      <c r="X201" s="64"/>
      <c r="AA201" s="64"/>
      <c r="AB201" s="64"/>
      <c r="AC201" s="64"/>
      <c r="AD201" s="65"/>
      <c r="AE201" s="65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I202" s="64"/>
      <c r="J202" s="64"/>
      <c r="M202" s="64"/>
      <c r="N202" s="64"/>
      <c r="O202" s="64"/>
      <c r="P202" s="64"/>
      <c r="Q202" s="64"/>
      <c r="T202" s="64"/>
      <c r="U202" s="64"/>
      <c r="V202" s="64"/>
      <c r="W202" s="64"/>
      <c r="X202" s="64"/>
      <c r="AA202" s="64"/>
      <c r="AB202" s="64"/>
      <c r="AC202" s="64"/>
      <c r="AD202" s="65"/>
      <c r="AE202" s="65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I203" s="64"/>
      <c r="J203" s="64"/>
      <c r="M203" s="64"/>
      <c r="N203" s="64"/>
      <c r="O203" s="64"/>
      <c r="P203" s="64"/>
      <c r="Q203" s="64"/>
      <c r="T203" s="64"/>
      <c r="U203" s="64"/>
      <c r="V203" s="64"/>
      <c r="W203" s="64"/>
      <c r="X203" s="64"/>
      <c r="AA203" s="64"/>
      <c r="AB203" s="64"/>
      <c r="AC203" s="64"/>
      <c r="AD203" s="65"/>
      <c r="AE203" s="65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I204" s="64"/>
      <c r="J204" s="64"/>
      <c r="M204" s="64"/>
      <c r="N204" s="64"/>
      <c r="O204" s="64"/>
      <c r="P204" s="64"/>
      <c r="Q204" s="64"/>
      <c r="T204" s="64"/>
      <c r="U204" s="64"/>
      <c r="V204" s="64"/>
      <c r="W204" s="64"/>
      <c r="X204" s="64"/>
      <c r="AA204" s="64"/>
      <c r="AB204" s="64"/>
      <c r="AC204" s="64"/>
      <c r="AD204" s="65"/>
      <c r="AE204" s="65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I205" s="64"/>
      <c r="J205" s="64"/>
      <c r="M205" s="64"/>
      <c r="N205" s="64"/>
      <c r="O205" s="64"/>
      <c r="P205" s="64"/>
      <c r="Q205" s="64"/>
      <c r="T205" s="64"/>
      <c r="U205" s="64"/>
      <c r="V205" s="64"/>
      <c r="W205" s="64"/>
      <c r="X205" s="64"/>
      <c r="AA205" s="64"/>
      <c r="AB205" s="64"/>
      <c r="AC205" s="64"/>
      <c r="AD205" s="65"/>
      <c r="AE205" s="65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I206" s="64"/>
      <c r="J206" s="64"/>
      <c r="M206" s="64"/>
      <c r="N206" s="64"/>
      <c r="O206" s="64"/>
      <c r="P206" s="64"/>
      <c r="Q206" s="64"/>
      <c r="T206" s="64"/>
      <c r="U206" s="64"/>
      <c r="V206" s="64"/>
      <c r="W206" s="64"/>
      <c r="X206" s="64"/>
      <c r="AA206" s="64"/>
      <c r="AB206" s="64"/>
      <c r="AC206" s="64"/>
      <c r="AD206" s="65"/>
      <c r="AE206" s="65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I207" s="64"/>
      <c r="J207" s="64"/>
      <c r="M207" s="64"/>
      <c r="N207" s="64"/>
      <c r="O207" s="64"/>
      <c r="P207" s="64"/>
      <c r="Q207" s="64"/>
      <c r="T207" s="64"/>
      <c r="U207" s="64"/>
      <c r="V207" s="64"/>
      <c r="W207" s="64"/>
      <c r="X207" s="64"/>
      <c r="AA207" s="64"/>
      <c r="AB207" s="64"/>
      <c r="AC207" s="64"/>
      <c r="AD207" s="65"/>
      <c r="AE207" s="65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I208" s="64"/>
      <c r="J208" s="64"/>
      <c r="M208" s="64"/>
      <c r="N208" s="64"/>
      <c r="O208" s="64"/>
      <c r="P208" s="64"/>
      <c r="Q208" s="64"/>
      <c r="T208" s="64"/>
      <c r="U208" s="64"/>
      <c r="V208" s="64"/>
      <c r="W208" s="64"/>
      <c r="X208" s="64"/>
      <c r="AA208" s="64"/>
      <c r="AB208" s="64"/>
      <c r="AC208" s="64"/>
      <c r="AD208" s="65"/>
      <c r="AE208" s="65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I209" s="64"/>
      <c r="J209" s="64"/>
      <c r="M209" s="64"/>
      <c r="N209" s="64"/>
      <c r="O209" s="64"/>
      <c r="P209" s="64"/>
      <c r="Q209" s="64"/>
      <c r="T209" s="64"/>
      <c r="U209" s="64"/>
      <c r="V209" s="64"/>
      <c r="W209" s="64"/>
      <c r="X209" s="64"/>
      <c r="AA209" s="64"/>
      <c r="AB209" s="64"/>
      <c r="AC209" s="64"/>
      <c r="AD209" s="65"/>
      <c r="AE209" s="65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I210" s="64"/>
      <c r="J210" s="64"/>
      <c r="M210" s="64"/>
      <c r="N210" s="64"/>
      <c r="O210" s="64"/>
      <c r="P210" s="64"/>
      <c r="Q210" s="64"/>
      <c r="T210" s="64"/>
      <c r="U210" s="64"/>
      <c r="V210" s="64"/>
      <c r="W210" s="64"/>
      <c r="X210" s="64"/>
      <c r="AA210" s="64"/>
      <c r="AB210" s="64"/>
      <c r="AC210" s="64"/>
      <c r="AD210" s="65"/>
      <c r="AE210" s="65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I211" s="64"/>
      <c r="J211" s="64"/>
      <c r="M211" s="64"/>
      <c r="N211" s="64"/>
      <c r="O211" s="64"/>
      <c r="P211" s="64"/>
      <c r="Q211" s="64"/>
      <c r="T211" s="64"/>
      <c r="U211" s="64"/>
      <c r="V211" s="64"/>
      <c r="W211" s="64"/>
      <c r="X211" s="64"/>
      <c r="AA211" s="64"/>
      <c r="AB211" s="64"/>
      <c r="AC211" s="64"/>
      <c r="AD211" s="65"/>
      <c r="AE211" s="65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I212" s="64"/>
      <c r="J212" s="64"/>
      <c r="M212" s="64"/>
      <c r="N212" s="64"/>
      <c r="O212" s="64"/>
      <c r="P212" s="64"/>
      <c r="Q212" s="64"/>
      <c r="T212" s="64"/>
      <c r="U212" s="64"/>
      <c r="V212" s="64"/>
      <c r="W212" s="64"/>
      <c r="X212" s="64"/>
      <c r="AA212" s="64"/>
      <c r="AB212" s="64"/>
      <c r="AC212" s="64"/>
      <c r="AD212" s="65"/>
      <c r="AE212" s="65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I213" s="64"/>
      <c r="J213" s="64"/>
      <c r="M213" s="64"/>
      <c r="N213" s="64"/>
      <c r="O213" s="64"/>
      <c r="P213" s="64"/>
      <c r="Q213" s="64"/>
      <c r="T213" s="64"/>
      <c r="U213" s="64"/>
      <c r="V213" s="64"/>
      <c r="W213" s="64"/>
      <c r="X213" s="64"/>
      <c r="AA213" s="64"/>
      <c r="AB213" s="64"/>
      <c r="AC213" s="64"/>
      <c r="AD213" s="65"/>
      <c r="AE213" s="65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I214" s="64"/>
      <c r="J214" s="64"/>
      <c r="M214" s="64"/>
      <c r="N214" s="64"/>
      <c r="O214" s="64"/>
      <c r="P214" s="64"/>
      <c r="Q214" s="64"/>
      <c r="T214" s="64"/>
      <c r="U214" s="64"/>
      <c r="V214" s="64"/>
      <c r="W214" s="64"/>
      <c r="X214" s="64"/>
      <c r="AA214" s="64"/>
      <c r="AB214" s="64"/>
      <c r="AC214" s="64"/>
      <c r="AD214" s="65"/>
      <c r="AE214" s="65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I215" s="64"/>
      <c r="J215" s="64"/>
      <c r="M215" s="64"/>
      <c r="N215" s="64"/>
      <c r="O215" s="64"/>
      <c r="P215" s="64"/>
      <c r="Q215" s="64"/>
      <c r="T215" s="64"/>
      <c r="U215" s="64"/>
      <c r="V215" s="64"/>
      <c r="W215" s="64"/>
      <c r="X215" s="64"/>
      <c r="AA215" s="64"/>
      <c r="AB215" s="64"/>
      <c r="AC215" s="64"/>
      <c r="AD215" s="65"/>
      <c r="AE215" s="65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I216" s="64"/>
      <c r="J216" s="64"/>
      <c r="M216" s="64"/>
      <c r="N216" s="64"/>
      <c r="O216" s="64"/>
      <c r="P216" s="64"/>
      <c r="Q216" s="64"/>
      <c r="T216" s="64"/>
      <c r="U216" s="64"/>
      <c r="V216" s="64"/>
      <c r="W216" s="64"/>
      <c r="X216" s="64"/>
      <c r="AA216" s="64"/>
      <c r="AB216" s="64"/>
      <c r="AC216" s="64"/>
      <c r="AD216" s="65"/>
      <c r="AE216" s="65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I217" s="64"/>
      <c r="J217" s="64"/>
      <c r="M217" s="64"/>
      <c r="N217" s="64"/>
      <c r="O217" s="64"/>
      <c r="P217" s="64"/>
      <c r="Q217" s="64"/>
      <c r="T217" s="64"/>
      <c r="U217" s="64"/>
      <c r="V217" s="64"/>
      <c r="W217" s="64"/>
      <c r="X217" s="64"/>
      <c r="AA217" s="64"/>
      <c r="AB217" s="64"/>
      <c r="AC217" s="64"/>
      <c r="AD217" s="65"/>
      <c r="AE217" s="65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I218" s="64"/>
      <c r="J218" s="64"/>
      <c r="M218" s="64"/>
      <c r="N218" s="64"/>
      <c r="O218" s="64"/>
      <c r="P218" s="64"/>
      <c r="Q218" s="64"/>
      <c r="T218" s="64"/>
      <c r="U218" s="64"/>
      <c r="V218" s="64"/>
      <c r="W218" s="64"/>
      <c r="X218" s="64"/>
      <c r="AA218" s="64"/>
      <c r="AB218" s="64"/>
      <c r="AC218" s="64"/>
      <c r="AD218" s="65"/>
      <c r="AE218" s="65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I219" s="64"/>
      <c r="J219" s="64"/>
      <c r="M219" s="64"/>
      <c r="N219" s="64"/>
      <c r="O219" s="64"/>
      <c r="P219" s="64"/>
      <c r="Q219" s="64"/>
      <c r="T219" s="64"/>
      <c r="U219" s="64"/>
      <c r="V219" s="64"/>
      <c r="W219" s="64"/>
      <c r="X219" s="64"/>
      <c r="AA219" s="64"/>
      <c r="AB219" s="64"/>
      <c r="AC219" s="64"/>
      <c r="AD219" s="65"/>
      <c r="AE219" s="65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I220" s="64"/>
      <c r="J220" s="64"/>
      <c r="M220" s="64"/>
      <c r="N220" s="64"/>
      <c r="O220" s="64"/>
      <c r="P220" s="64"/>
      <c r="Q220" s="64"/>
      <c r="T220" s="64"/>
      <c r="U220" s="64"/>
      <c r="V220" s="64"/>
      <c r="W220" s="64"/>
      <c r="X220" s="64"/>
      <c r="AA220" s="64"/>
      <c r="AB220" s="64"/>
      <c r="AC220" s="64"/>
      <c r="AD220" s="65"/>
      <c r="AE220" s="65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I221" s="64"/>
      <c r="J221" s="64"/>
      <c r="M221" s="64"/>
      <c r="N221" s="64"/>
      <c r="O221" s="64"/>
      <c r="P221" s="64"/>
      <c r="Q221" s="64"/>
      <c r="T221" s="64"/>
      <c r="U221" s="64"/>
      <c r="V221" s="64"/>
      <c r="W221" s="64"/>
      <c r="X221" s="64"/>
      <c r="AA221" s="64"/>
      <c r="AB221" s="64"/>
      <c r="AC221" s="64"/>
      <c r="AD221" s="65"/>
      <c r="AE221" s="65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I222" s="64"/>
      <c r="J222" s="64"/>
      <c r="M222" s="64"/>
      <c r="N222" s="64"/>
      <c r="O222" s="64"/>
      <c r="P222" s="64"/>
      <c r="Q222" s="64"/>
      <c r="T222" s="64"/>
      <c r="U222" s="64"/>
      <c r="V222" s="64"/>
      <c r="W222" s="64"/>
      <c r="X222" s="64"/>
      <c r="AA222" s="64"/>
      <c r="AB222" s="64"/>
      <c r="AC222" s="64"/>
      <c r="AD222" s="65"/>
      <c r="AE222" s="65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I223" s="64"/>
      <c r="J223" s="64"/>
      <c r="M223" s="64"/>
      <c r="N223" s="64"/>
      <c r="O223" s="64"/>
      <c r="P223" s="64"/>
      <c r="Q223" s="64"/>
      <c r="T223" s="64"/>
      <c r="U223" s="64"/>
      <c r="V223" s="64"/>
      <c r="W223" s="64"/>
      <c r="X223" s="64"/>
      <c r="AA223" s="64"/>
      <c r="AB223" s="64"/>
      <c r="AC223" s="64"/>
      <c r="AD223" s="65"/>
      <c r="AE223" s="65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I224" s="64"/>
      <c r="J224" s="64"/>
      <c r="M224" s="64"/>
      <c r="N224" s="64"/>
      <c r="O224" s="64"/>
      <c r="P224" s="64"/>
      <c r="Q224" s="64"/>
      <c r="T224" s="64"/>
      <c r="U224" s="64"/>
      <c r="V224" s="64"/>
      <c r="W224" s="64"/>
      <c r="X224" s="64"/>
      <c r="AA224" s="64"/>
      <c r="AB224" s="64"/>
      <c r="AC224" s="64"/>
      <c r="AD224" s="65"/>
      <c r="AE224" s="65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I225" s="64"/>
      <c r="J225" s="64"/>
      <c r="M225" s="64"/>
      <c r="N225" s="64"/>
      <c r="O225" s="64"/>
      <c r="P225" s="64"/>
      <c r="Q225" s="64"/>
      <c r="T225" s="64"/>
      <c r="U225" s="64"/>
      <c r="V225" s="64"/>
      <c r="W225" s="64"/>
      <c r="X225" s="64"/>
      <c r="AA225" s="64"/>
      <c r="AB225" s="64"/>
      <c r="AC225" s="64"/>
      <c r="AD225" s="65"/>
      <c r="AE225" s="65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I226" s="64"/>
      <c r="J226" s="64"/>
      <c r="M226" s="64"/>
      <c r="N226" s="64"/>
      <c r="O226" s="64"/>
      <c r="P226" s="64"/>
      <c r="Q226" s="64"/>
      <c r="T226" s="64"/>
      <c r="U226" s="64"/>
      <c r="V226" s="64"/>
      <c r="W226" s="64"/>
      <c r="X226" s="64"/>
      <c r="AA226" s="64"/>
      <c r="AB226" s="64"/>
      <c r="AC226" s="64"/>
      <c r="AD226" s="65"/>
      <c r="AE226" s="65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I227" s="64"/>
      <c r="J227" s="64"/>
      <c r="M227" s="64"/>
      <c r="N227" s="64"/>
      <c r="O227" s="64"/>
      <c r="P227" s="64"/>
      <c r="Q227" s="64"/>
      <c r="T227" s="64"/>
      <c r="U227" s="64"/>
      <c r="V227" s="64"/>
      <c r="W227" s="64"/>
      <c r="X227" s="64"/>
      <c r="AA227" s="64"/>
      <c r="AB227" s="64"/>
      <c r="AC227" s="64"/>
      <c r="AD227" s="65"/>
      <c r="AE227" s="65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I228" s="64"/>
      <c r="J228" s="64"/>
      <c r="M228" s="64"/>
      <c r="N228" s="64"/>
      <c r="O228" s="64"/>
      <c r="P228" s="64"/>
      <c r="Q228" s="64"/>
      <c r="T228" s="64"/>
      <c r="U228" s="64"/>
      <c r="V228" s="64"/>
      <c r="W228" s="64"/>
      <c r="X228" s="64"/>
      <c r="AA228" s="64"/>
      <c r="AB228" s="64"/>
      <c r="AC228" s="64"/>
      <c r="AD228" s="65"/>
      <c r="AE228" s="65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I229" s="64"/>
      <c r="J229" s="64"/>
      <c r="M229" s="64"/>
      <c r="N229" s="64"/>
      <c r="O229" s="64"/>
      <c r="P229" s="64"/>
      <c r="Q229" s="64"/>
      <c r="T229" s="64"/>
      <c r="U229" s="64"/>
      <c r="V229" s="64"/>
      <c r="W229" s="64"/>
      <c r="X229" s="64"/>
      <c r="AA229" s="64"/>
      <c r="AB229" s="64"/>
      <c r="AC229" s="64"/>
      <c r="AD229" s="65"/>
      <c r="AE229" s="65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I230" s="64"/>
      <c r="J230" s="64"/>
      <c r="M230" s="64"/>
      <c r="N230" s="64"/>
      <c r="O230" s="64"/>
      <c r="P230" s="64"/>
      <c r="Q230" s="64"/>
      <c r="T230" s="64"/>
      <c r="U230" s="64"/>
      <c r="V230" s="64"/>
      <c r="W230" s="64"/>
      <c r="X230" s="64"/>
      <c r="AA230" s="64"/>
      <c r="AB230" s="64"/>
      <c r="AC230" s="64"/>
      <c r="AD230" s="65"/>
      <c r="AE230" s="65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I231" s="64"/>
      <c r="J231" s="64"/>
      <c r="M231" s="64"/>
      <c r="N231" s="64"/>
      <c r="O231" s="64"/>
      <c r="P231" s="64"/>
      <c r="Q231" s="64"/>
      <c r="T231" s="64"/>
      <c r="U231" s="64"/>
      <c r="V231" s="64"/>
      <c r="W231" s="64"/>
      <c r="X231" s="64"/>
      <c r="AA231" s="64"/>
      <c r="AB231" s="64"/>
      <c r="AC231" s="64"/>
      <c r="AD231" s="65"/>
      <c r="AE231" s="65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I232" s="64"/>
      <c r="J232" s="64"/>
      <c r="M232" s="64"/>
      <c r="N232" s="64"/>
      <c r="O232" s="64"/>
      <c r="P232" s="64"/>
      <c r="Q232" s="64"/>
      <c r="T232" s="64"/>
      <c r="U232" s="64"/>
      <c r="V232" s="64"/>
      <c r="W232" s="64"/>
      <c r="X232" s="64"/>
      <c r="AA232" s="64"/>
      <c r="AB232" s="64"/>
      <c r="AC232" s="64"/>
      <c r="AD232" s="65"/>
      <c r="AE232" s="65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I233" s="64"/>
      <c r="J233" s="64"/>
      <c r="M233" s="64"/>
      <c r="N233" s="64"/>
      <c r="O233" s="64"/>
      <c r="P233" s="64"/>
      <c r="Q233" s="64"/>
      <c r="T233" s="64"/>
      <c r="U233" s="64"/>
      <c r="V233" s="64"/>
      <c r="W233" s="64"/>
      <c r="X233" s="64"/>
      <c r="AA233" s="64"/>
      <c r="AB233" s="64"/>
      <c r="AC233" s="64"/>
      <c r="AD233" s="65"/>
      <c r="AE233" s="65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I234" s="64"/>
      <c r="J234" s="64"/>
      <c r="M234" s="64"/>
      <c r="N234" s="64"/>
      <c r="O234" s="64"/>
      <c r="P234" s="64"/>
      <c r="Q234" s="64"/>
      <c r="T234" s="64"/>
      <c r="U234" s="64"/>
      <c r="V234" s="64"/>
      <c r="W234" s="64"/>
      <c r="X234" s="64"/>
      <c r="AA234" s="64"/>
      <c r="AB234" s="64"/>
      <c r="AC234" s="64"/>
      <c r="AD234" s="65"/>
      <c r="AE234" s="65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I235" s="64"/>
      <c r="J235" s="64"/>
      <c r="M235" s="64"/>
      <c r="N235" s="64"/>
      <c r="O235" s="64"/>
      <c r="P235" s="64"/>
      <c r="Q235" s="64"/>
      <c r="T235" s="64"/>
      <c r="U235" s="64"/>
      <c r="V235" s="64"/>
      <c r="W235" s="64"/>
      <c r="X235" s="64"/>
      <c r="AA235" s="64"/>
      <c r="AB235" s="64"/>
      <c r="AC235" s="64"/>
      <c r="AD235" s="65"/>
      <c r="AE235" s="65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I236" s="64"/>
      <c r="J236" s="64"/>
      <c r="M236" s="64"/>
      <c r="N236" s="64"/>
      <c r="O236" s="64"/>
      <c r="P236" s="64"/>
      <c r="Q236" s="64"/>
      <c r="T236" s="64"/>
      <c r="U236" s="64"/>
      <c r="V236" s="64"/>
      <c r="W236" s="64"/>
      <c r="X236" s="64"/>
      <c r="AA236" s="64"/>
      <c r="AB236" s="64"/>
      <c r="AC236" s="64"/>
      <c r="AD236" s="65"/>
      <c r="AE236" s="65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I237" s="64"/>
      <c r="J237" s="64"/>
      <c r="M237" s="64"/>
      <c r="N237" s="64"/>
      <c r="O237" s="64"/>
      <c r="P237" s="64"/>
      <c r="Q237" s="64"/>
      <c r="T237" s="64"/>
      <c r="U237" s="64"/>
      <c r="V237" s="64"/>
      <c r="W237" s="64"/>
      <c r="X237" s="64"/>
      <c r="AA237" s="64"/>
      <c r="AB237" s="64"/>
      <c r="AC237" s="64"/>
      <c r="AD237" s="65"/>
      <c r="AE237" s="65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I238" s="64"/>
      <c r="J238" s="64"/>
      <c r="M238" s="64"/>
      <c r="N238" s="64"/>
      <c r="O238" s="64"/>
      <c r="P238" s="64"/>
      <c r="Q238" s="64"/>
      <c r="T238" s="64"/>
      <c r="U238" s="64"/>
      <c r="V238" s="64"/>
      <c r="W238" s="64"/>
      <c r="X238" s="64"/>
      <c r="AA238" s="64"/>
      <c r="AB238" s="64"/>
      <c r="AC238" s="64"/>
      <c r="AD238" s="65"/>
      <c r="AE238" s="65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I239" s="64"/>
      <c r="J239" s="64"/>
      <c r="M239" s="64"/>
      <c r="N239" s="64"/>
      <c r="O239" s="64"/>
      <c r="P239" s="64"/>
      <c r="Q239" s="64"/>
      <c r="T239" s="64"/>
      <c r="U239" s="64"/>
      <c r="V239" s="64"/>
      <c r="W239" s="64"/>
      <c r="X239" s="64"/>
      <c r="AA239" s="64"/>
      <c r="AB239" s="64"/>
      <c r="AC239" s="64"/>
      <c r="AD239" s="65"/>
      <c r="AE239" s="65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I240" s="64"/>
      <c r="J240" s="64"/>
      <c r="M240" s="64"/>
      <c r="N240" s="64"/>
      <c r="O240" s="64"/>
      <c r="P240" s="64"/>
      <c r="Q240" s="64"/>
      <c r="T240" s="64"/>
      <c r="U240" s="64"/>
      <c r="V240" s="64"/>
      <c r="W240" s="64"/>
      <c r="X240" s="64"/>
      <c r="AA240" s="64"/>
      <c r="AB240" s="64"/>
      <c r="AC240" s="64"/>
      <c r="AD240" s="65"/>
      <c r="AE240" s="65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I241" s="64"/>
      <c r="J241" s="64"/>
      <c r="M241" s="64"/>
      <c r="N241" s="64"/>
      <c r="O241" s="64"/>
      <c r="P241" s="64"/>
      <c r="Q241" s="64"/>
      <c r="T241" s="64"/>
      <c r="U241" s="64"/>
      <c r="V241" s="64"/>
      <c r="W241" s="64"/>
      <c r="X241" s="64"/>
      <c r="AA241" s="64"/>
      <c r="AB241" s="64"/>
      <c r="AC241" s="64"/>
      <c r="AD241" s="65"/>
      <c r="AE241" s="65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I242" s="64"/>
      <c r="J242" s="64"/>
      <c r="M242" s="64"/>
      <c r="N242" s="64"/>
      <c r="O242" s="64"/>
      <c r="P242" s="64"/>
      <c r="Q242" s="64"/>
      <c r="T242" s="64"/>
      <c r="U242" s="64"/>
      <c r="V242" s="64"/>
      <c r="W242" s="64"/>
      <c r="X242" s="64"/>
      <c r="AA242" s="64"/>
      <c r="AB242" s="64"/>
      <c r="AC242" s="64"/>
      <c r="AD242" s="65"/>
      <c r="AE242" s="65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I243" s="64"/>
      <c r="J243" s="64"/>
      <c r="M243" s="64"/>
      <c r="N243" s="64"/>
      <c r="O243" s="64"/>
      <c r="P243" s="64"/>
      <c r="Q243" s="64"/>
      <c r="T243" s="64"/>
      <c r="U243" s="64"/>
      <c r="V243" s="64"/>
      <c r="W243" s="64"/>
      <c r="X243" s="64"/>
      <c r="AA243" s="64"/>
      <c r="AB243" s="64"/>
      <c r="AC243" s="64"/>
      <c r="AD243" s="65"/>
      <c r="AE243" s="65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I244" s="64"/>
      <c r="J244" s="64"/>
      <c r="M244" s="64"/>
      <c r="N244" s="64"/>
      <c r="O244" s="64"/>
      <c r="P244" s="64"/>
      <c r="Q244" s="64"/>
      <c r="T244" s="64"/>
      <c r="U244" s="64"/>
      <c r="V244" s="64"/>
      <c r="W244" s="64"/>
      <c r="X244" s="64"/>
      <c r="AA244" s="64"/>
      <c r="AB244" s="64"/>
      <c r="AC244" s="64"/>
      <c r="AD244" s="65"/>
      <c r="AE244" s="65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I245" s="64"/>
      <c r="J245" s="64"/>
      <c r="M245" s="64"/>
      <c r="N245" s="64"/>
      <c r="O245" s="64"/>
      <c r="P245" s="64"/>
      <c r="Q245" s="64"/>
      <c r="T245" s="64"/>
      <c r="U245" s="64"/>
      <c r="V245" s="64"/>
      <c r="W245" s="64"/>
      <c r="X245" s="64"/>
      <c r="AA245" s="64"/>
      <c r="AB245" s="64"/>
      <c r="AC245" s="64"/>
      <c r="AD245" s="65"/>
      <c r="AE245" s="65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I246" s="64"/>
      <c r="J246" s="64"/>
      <c r="M246" s="64"/>
      <c r="N246" s="64"/>
      <c r="O246" s="64"/>
      <c r="P246" s="64"/>
      <c r="Q246" s="64"/>
      <c r="T246" s="64"/>
      <c r="U246" s="64"/>
      <c r="V246" s="64"/>
      <c r="W246" s="64"/>
      <c r="X246" s="64"/>
      <c r="AA246" s="64"/>
      <c r="AB246" s="64"/>
      <c r="AC246" s="64"/>
      <c r="AD246" s="65"/>
      <c r="AE246" s="65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I247" s="64"/>
      <c r="J247" s="64"/>
      <c r="M247" s="64"/>
      <c r="N247" s="64"/>
      <c r="O247" s="64"/>
      <c r="P247" s="64"/>
      <c r="Q247" s="64"/>
      <c r="T247" s="64"/>
      <c r="U247" s="64"/>
      <c r="V247" s="64"/>
      <c r="W247" s="64"/>
      <c r="X247" s="64"/>
      <c r="AA247" s="64"/>
      <c r="AB247" s="64"/>
      <c r="AC247" s="64"/>
      <c r="AD247" s="65"/>
      <c r="AE247" s="65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I248" s="64"/>
      <c r="J248" s="64"/>
      <c r="M248" s="64"/>
      <c r="N248" s="64"/>
      <c r="O248" s="64"/>
      <c r="P248" s="64"/>
      <c r="Q248" s="64"/>
      <c r="T248" s="64"/>
      <c r="U248" s="64"/>
      <c r="V248" s="64"/>
      <c r="W248" s="64"/>
      <c r="X248" s="64"/>
      <c r="AA248" s="64"/>
      <c r="AB248" s="64"/>
      <c r="AC248" s="64"/>
      <c r="AD248" s="65"/>
      <c r="AE248" s="65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I249" s="64"/>
      <c r="J249" s="64"/>
      <c r="M249" s="64"/>
      <c r="N249" s="64"/>
      <c r="O249" s="64"/>
      <c r="P249" s="64"/>
      <c r="Q249" s="64"/>
      <c r="T249" s="64"/>
      <c r="U249" s="64"/>
      <c r="V249" s="64"/>
      <c r="W249" s="64"/>
      <c r="X249" s="64"/>
      <c r="AA249" s="64"/>
      <c r="AB249" s="64"/>
      <c r="AC249" s="64"/>
      <c r="AD249" s="65"/>
      <c r="AE249" s="65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I250" s="64"/>
      <c r="J250" s="64"/>
      <c r="M250" s="64"/>
      <c r="N250" s="64"/>
      <c r="O250" s="64"/>
      <c r="P250" s="64"/>
      <c r="Q250" s="64"/>
      <c r="T250" s="64"/>
      <c r="U250" s="64"/>
      <c r="V250" s="64"/>
      <c r="W250" s="64"/>
      <c r="X250" s="64"/>
      <c r="AA250" s="64"/>
      <c r="AB250" s="64"/>
      <c r="AC250" s="64"/>
      <c r="AD250" s="65"/>
      <c r="AE250" s="65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I251" s="64"/>
      <c r="J251" s="64"/>
      <c r="M251" s="64"/>
      <c r="N251" s="64"/>
      <c r="O251" s="64"/>
      <c r="P251" s="64"/>
      <c r="Q251" s="64"/>
      <c r="T251" s="64"/>
      <c r="U251" s="64"/>
      <c r="V251" s="64"/>
      <c r="W251" s="64"/>
      <c r="X251" s="64"/>
      <c r="AA251" s="64"/>
      <c r="AB251" s="64"/>
      <c r="AC251" s="64"/>
      <c r="AD251" s="65"/>
      <c r="AE251" s="65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I252" s="64"/>
      <c r="J252" s="64"/>
      <c r="M252" s="64"/>
      <c r="N252" s="64"/>
      <c r="O252" s="64"/>
      <c r="P252" s="64"/>
      <c r="Q252" s="64"/>
      <c r="T252" s="64"/>
      <c r="U252" s="64"/>
      <c r="V252" s="64"/>
      <c r="W252" s="64"/>
      <c r="X252" s="64"/>
      <c r="AA252" s="64"/>
      <c r="AB252" s="64"/>
      <c r="AC252" s="64"/>
      <c r="AD252" s="65"/>
      <c r="AE252" s="65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I253" s="64"/>
      <c r="J253" s="64"/>
      <c r="M253" s="64"/>
      <c r="N253" s="64"/>
      <c r="O253" s="64"/>
      <c r="P253" s="64"/>
      <c r="Q253" s="64"/>
      <c r="T253" s="64"/>
      <c r="U253" s="64"/>
      <c r="V253" s="64"/>
      <c r="W253" s="64"/>
      <c r="X253" s="64"/>
      <c r="AA253" s="64"/>
      <c r="AB253" s="64"/>
      <c r="AC253" s="64"/>
      <c r="AD253" s="65"/>
      <c r="AE253" s="65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I254" s="64"/>
      <c r="J254" s="64"/>
      <c r="M254" s="64"/>
      <c r="N254" s="64"/>
      <c r="O254" s="64"/>
      <c r="P254" s="64"/>
      <c r="Q254" s="64"/>
      <c r="T254" s="64"/>
      <c r="U254" s="64"/>
      <c r="V254" s="64"/>
      <c r="W254" s="64"/>
      <c r="X254" s="64"/>
      <c r="AA254" s="64"/>
      <c r="AB254" s="64"/>
      <c r="AC254" s="64"/>
      <c r="AD254" s="65"/>
      <c r="AE254" s="65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I255" s="64"/>
      <c r="J255" s="64"/>
      <c r="M255" s="64"/>
      <c r="N255" s="64"/>
      <c r="O255" s="64"/>
      <c r="P255" s="64"/>
      <c r="Q255" s="64"/>
      <c r="T255" s="64"/>
      <c r="U255" s="64"/>
      <c r="V255" s="64"/>
      <c r="W255" s="64"/>
      <c r="X255" s="64"/>
      <c r="AA255" s="64"/>
      <c r="AB255" s="64"/>
      <c r="AC255" s="64"/>
      <c r="AD255" s="65"/>
      <c r="AE255" s="65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I256" s="64"/>
      <c r="J256" s="64"/>
      <c r="M256" s="64"/>
      <c r="N256" s="64"/>
      <c r="O256" s="64"/>
      <c r="P256" s="64"/>
      <c r="Q256" s="64"/>
      <c r="T256" s="64"/>
      <c r="U256" s="64"/>
      <c r="V256" s="64"/>
      <c r="W256" s="64"/>
      <c r="X256" s="64"/>
      <c r="AA256" s="64"/>
      <c r="AB256" s="64"/>
      <c r="AC256" s="64"/>
      <c r="AD256" s="65"/>
      <c r="AE256" s="65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I257" s="64"/>
      <c r="J257" s="64"/>
      <c r="M257" s="64"/>
      <c r="N257" s="64"/>
      <c r="O257" s="64"/>
      <c r="P257" s="64"/>
      <c r="Q257" s="64"/>
      <c r="T257" s="64"/>
      <c r="U257" s="64"/>
      <c r="V257" s="64"/>
      <c r="W257" s="64"/>
      <c r="X257" s="64"/>
      <c r="AA257" s="64"/>
      <c r="AB257" s="64"/>
      <c r="AC257" s="64"/>
      <c r="AD257" s="65"/>
      <c r="AE257" s="65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I258" s="64"/>
      <c r="J258" s="64"/>
      <c r="M258" s="64"/>
      <c r="N258" s="64"/>
      <c r="O258" s="64"/>
      <c r="P258" s="64"/>
      <c r="Q258" s="64"/>
      <c r="T258" s="64"/>
      <c r="U258" s="64"/>
      <c r="V258" s="64"/>
      <c r="W258" s="64"/>
      <c r="X258" s="64"/>
      <c r="AA258" s="64"/>
      <c r="AB258" s="64"/>
      <c r="AC258" s="64"/>
      <c r="AD258" s="65"/>
      <c r="AE258" s="65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I259" s="64"/>
      <c r="J259" s="64"/>
      <c r="M259" s="64"/>
      <c r="N259" s="64"/>
      <c r="O259" s="64"/>
      <c r="P259" s="64"/>
      <c r="Q259" s="64"/>
      <c r="T259" s="64"/>
      <c r="U259" s="64"/>
      <c r="V259" s="64"/>
      <c r="W259" s="64"/>
      <c r="X259" s="64"/>
      <c r="AA259" s="64"/>
      <c r="AB259" s="64"/>
      <c r="AC259" s="64"/>
      <c r="AD259" s="65"/>
      <c r="AE259" s="65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I260" s="64"/>
      <c r="J260" s="64"/>
      <c r="M260" s="64"/>
      <c r="N260" s="64"/>
      <c r="O260" s="64"/>
      <c r="P260" s="64"/>
      <c r="Q260" s="64"/>
      <c r="T260" s="64"/>
      <c r="U260" s="64"/>
      <c r="V260" s="64"/>
      <c r="W260" s="64"/>
      <c r="X260" s="64"/>
      <c r="AA260" s="64"/>
      <c r="AB260" s="64"/>
      <c r="AC260" s="64"/>
      <c r="AD260" s="65"/>
      <c r="AE260" s="65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I261" s="64"/>
      <c r="J261" s="64"/>
      <c r="M261" s="64"/>
      <c r="N261" s="64"/>
      <c r="O261" s="64"/>
      <c r="P261" s="64"/>
      <c r="Q261" s="64"/>
      <c r="T261" s="64"/>
      <c r="U261" s="64"/>
      <c r="V261" s="64"/>
      <c r="W261" s="64"/>
      <c r="X261" s="64"/>
      <c r="AA261" s="64"/>
      <c r="AB261" s="64"/>
      <c r="AC261" s="64"/>
      <c r="AD261" s="65"/>
      <c r="AE261" s="65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I262" s="64"/>
      <c r="J262" s="64"/>
      <c r="M262" s="64"/>
      <c r="N262" s="64"/>
      <c r="O262" s="64"/>
      <c r="P262" s="64"/>
      <c r="Q262" s="64"/>
      <c r="T262" s="64"/>
      <c r="U262" s="64"/>
      <c r="V262" s="64"/>
      <c r="W262" s="64"/>
      <c r="X262" s="64"/>
      <c r="AA262" s="64"/>
      <c r="AB262" s="64"/>
      <c r="AC262" s="64"/>
      <c r="AD262" s="65"/>
      <c r="AE262" s="65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I263" s="64"/>
      <c r="J263" s="64"/>
      <c r="M263" s="64"/>
      <c r="N263" s="64"/>
      <c r="O263" s="64"/>
      <c r="P263" s="64"/>
      <c r="Q263" s="64"/>
      <c r="T263" s="64"/>
      <c r="U263" s="64"/>
      <c r="V263" s="64"/>
      <c r="W263" s="64"/>
      <c r="X263" s="64"/>
      <c r="AA263" s="64"/>
      <c r="AB263" s="64"/>
      <c r="AC263" s="64"/>
      <c r="AD263" s="65"/>
      <c r="AE263" s="65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I264" s="64"/>
      <c r="J264" s="64"/>
      <c r="M264" s="64"/>
      <c r="N264" s="64"/>
      <c r="O264" s="64"/>
      <c r="P264" s="64"/>
      <c r="Q264" s="64"/>
      <c r="T264" s="64"/>
      <c r="U264" s="64"/>
      <c r="V264" s="64"/>
      <c r="W264" s="64"/>
      <c r="X264" s="64"/>
      <c r="AA264" s="64"/>
      <c r="AB264" s="64"/>
      <c r="AC264" s="64"/>
      <c r="AD264" s="65"/>
      <c r="AE264" s="65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I265" s="64"/>
      <c r="J265" s="64"/>
      <c r="M265" s="64"/>
      <c r="N265" s="64"/>
      <c r="O265" s="64"/>
      <c r="P265" s="64"/>
      <c r="Q265" s="64"/>
      <c r="T265" s="64"/>
      <c r="U265" s="64"/>
      <c r="V265" s="64"/>
      <c r="W265" s="64"/>
      <c r="X265" s="64"/>
      <c r="AA265" s="64"/>
      <c r="AB265" s="64"/>
      <c r="AC265" s="64"/>
      <c r="AD265" s="65"/>
      <c r="AE265" s="65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I266" s="64"/>
      <c r="J266" s="64"/>
      <c r="M266" s="64"/>
      <c r="N266" s="64"/>
      <c r="O266" s="64"/>
      <c r="P266" s="64"/>
      <c r="Q266" s="64"/>
      <c r="T266" s="64"/>
      <c r="U266" s="64"/>
      <c r="V266" s="64"/>
      <c r="W266" s="64"/>
      <c r="X266" s="64"/>
      <c r="AA266" s="64"/>
      <c r="AB266" s="64"/>
      <c r="AC266" s="64"/>
      <c r="AD266" s="65"/>
      <c r="AE266" s="65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I267" s="64"/>
      <c r="J267" s="64"/>
      <c r="M267" s="64"/>
      <c r="N267" s="64"/>
      <c r="O267" s="64"/>
      <c r="P267" s="64"/>
      <c r="Q267" s="64"/>
      <c r="T267" s="64"/>
      <c r="U267" s="64"/>
      <c r="V267" s="64"/>
      <c r="W267" s="64"/>
      <c r="X267" s="64"/>
      <c r="AA267" s="64"/>
      <c r="AB267" s="64"/>
      <c r="AC267" s="64"/>
      <c r="AD267" s="65"/>
      <c r="AE267" s="65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I268" s="64"/>
      <c r="J268" s="64"/>
      <c r="M268" s="64"/>
      <c r="N268" s="64"/>
      <c r="O268" s="64"/>
      <c r="P268" s="64"/>
      <c r="Q268" s="64"/>
      <c r="T268" s="64"/>
      <c r="U268" s="64"/>
      <c r="V268" s="64"/>
      <c r="W268" s="64"/>
      <c r="X268" s="64"/>
      <c r="AA268" s="64"/>
      <c r="AB268" s="64"/>
      <c r="AC268" s="64"/>
      <c r="AD268" s="65"/>
      <c r="AE268" s="65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I269" s="64"/>
      <c r="J269" s="64"/>
      <c r="M269" s="64"/>
      <c r="N269" s="64"/>
      <c r="O269" s="64"/>
      <c r="P269" s="64"/>
      <c r="Q269" s="64"/>
      <c r="T269" s="64"/>
      <c r="U269" s="64"/>
      <c r="V269" s="64"/>
      <c r="W269" s="64"/>
      <c r="X269" s="64"/>
      <c r="AA269" s="64"/>
      <c r="AB269" s="64"/>
      <c r="AC269" s="64"/>
      <c r="AD269" s="65"/>
      <c r="AE269" s="65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I270" s="64"/>
      <c r="J270" s="64"/>
      <c r="M270" s="64"/>
      <c r="N270" s="64"/>
      <c r="O270" s="64"/>
      <c r="P270" s="64"/>
      <c r="Q270" s="64"/>
      <c r="T270" s="64"/>
      <c r="U270" s="64"/>
      <c r="V270" s="64"/>
      <c r="W270" s="64"/>
      <c r="X270" s="64"/>
      <c r="AA270" s="64"/>
      <c r="AB270" s="64"/>
      <c r="AC270" s="64"/>
      <c r="AD270" s="65"/>
      <c r="AE270" s="65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I271" s="64"/>
      <c r="J271" s="64"/>
      <c r="M271" s="64"/>
      <c r="N271" s="64"/>
      <c r="O271" s="64"/>
      <c r="P271" s="64"/>
      <c r="Q271" s="64"/>
      <c r="T271" s="64"/>
      <c r="U271" s="64"/>
      <c r="V271" s="64"/>
      <c r="W271" s="64"/>
      <c r="X271" s="64"/>
      <c r="AA271" s="64"/>
      <c r="AB271" s="64"/>
      <c r="AC271" s="64"/>
      <c r="AD271" s="65"/>
      <c r="AE271" s="65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I272" s="64"/>
      <c r="J272" s="64"/>
      <c r="M272" s="64"/>
      <c r="N272" s="64"/>
      <c r="O272" s="64"/>
      <c r="P272" s="64"/>
      <c r="Q272" s="64"/>
      <c r="T272" s="64"/>
      <c r="U272" s="64"/>
      <c r="V272" s="64"/>
      <c r="W272" s="64"/>
      <c r="X272" s="64"/>
      <c r="AA272" s="64"/>
      <c r="AB272" s="64"/>
      <c r="AC272" s="64"/>
      <c r="AD272" s="65"/>
      <c r="AE272" s="65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I273" s="64"/>
      <c r="J273" s="64"/>
      <c r="M273" s="64"/>
      <c r="N273" s="64"/>
      <c r="O273" s="64"/>
      <c r="P273" s="64"/>
      <c r="Q273" s="64"/>
      <c r="T273" s="64"/>
      <c r="U273" s="64"/>
      <c r="V273" s="64"/>
      <c r="W273" s="64"/>
      <c r="X273" s="64"/>
      <c r="AA273" s="64"/>
      <c r="AB273" s="64"/>
      <c r="AC273" s="64"/>
      <c r="AD273" s="65"/>
      <c r="AE273" s="65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I274" s="64"/>
      <c r="J274" s="64"/>
      <c r="M274" s="64"/>
      <c r="N274" s="64"/>
      <c r="O274" s="64"/>
      <c r="P274" s="64"/>
      <c r="Q274" s="64"/>
      <c r="T274" s="64"/>
      <c r="U274" s="64"/>
      <c r="V274" s="64"/>
      <c r="W274" s="64"/>
      <c r="X274" s="64"/>
      <c r="AA274" s="64"/>
      <c r="AB274" s="64"/>
      <c r="AC274" s="64"/>
      <c r="AD274" s="65"/>
      <c r="AE274" s="65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I275" s="64"/>
      <c r="J275" s="64"/>
      <c r="M275" s="64"/>
      <c r="N275" s="64"/>
      <c r="O275" s="64"/>
      <c r="P275" s="64"/>
      <c r="Q275" s="64"/>
      <c r="T275" s="64"/>
      <c r="U275" s="64"/>
      <c r="V275" s="64"/>
      <c r="W275" s="64"/>
      <c r="X275" s="64"/>
      <c r="AA275" s="64"/>
      <c r="AB275" s="64"/>
      <c r="AC275" s="64"/>
      <c r="AD275" s="65"/>
      <c r="AE275" s="65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I276" s="64"/>
      <c r="J276" s="64"/>
      <c r="M276" s="64"/>
      <c r="N276" s="64"/>
      <c r="O276" s="64"/>
      <c r="P276" s="64"/>
      <c r="Q276" s="64"/>
      <c r="T276" s="64"/>
      <c r="U276" s="64"/>
      <c r="V276" s="64"/>
      <c r="W276" s="64"/>
      <c r="X276" s="64"/>
      <c r="AA276" s="64"/>
      <c r="AB276" s="64"/>
      <c r="AC276" s="64"/>
      <c r="AD276" s="65"/>
      <c r="AE276" s="65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I277" s="64"/>
      <c r="J277" s="64"/>
      <c r="M277" s="64"/>
      <c r="N277" s="64"/>
      <c r="O277" s="64"/>
      <c r="P277" s="64"/>
      <c r="Q277" s="64"/>
      <c r="T277" s="64"/>
      <c r="U277" s="64"/>
      <c r="V277" s="64"/>
      <c r="W277" s="64"/>
      <c r="X277" s="64"/>
      <c r="AA277" s="64"/>
      <c r="AB277" s="64"/>
      <c r="AC277" s="64"/>
      <c r="AD277" s="65"/>
      <c r="AE277" s="65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I278" s="64"/>
      <c r="J278" s="64"/>
      <c r="M278" s="64"/>
      <c r="N278" s="64"/>
      <c r="O278" s="64"/>
      <c r="P278" s="64"/>
      <c r="Q278" s="64"/>
      <c r="T278" s="64"/>
      <c r="U278" s="64"/>
      <c r="V278" s="64"/>
      <c r="W278" s="64"/>
      <c r="X278" s="64"/>
      <c r="AA278" s="64"/>
      <c r="AB278" s="64"/>
      <c r="AC278" s="64"/>
      <c r="AD278" s="65"/>
      <c r="AE278" s="65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I279" s="64"/>
      <c r="J279" s="64"/>
      <c r="M279" s="64"/>
      <c r="N279" s="64"/>
      <c r="O279" s="64"/>
      <c r="P279" s="64"/>
      <c r="Q279" s="64"/>
      <c r="T279" s="64"/>
      <c r="U279" s="64"/>
      <c r="V279" s="64"/>
      <c r="W279" s="64"/>
      <c r="X279" s="64"/>
      <c r="AA279" s="64"/>
      <c r="AB279" s="64"/>
      <c r="AC279" s="64"/>
      <c r="AD279" s="65"/>
      <c r="AE279" s="65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I280" s="64"/>
      <c r="J280" s="64"/>
      <c r="M280" s="64"/>
      <c r="N280" s="64"/>
      <c r="O280" s="64"/>
      <c r="P280" s="64"/>
      <c r="Q280" s="64"/>
      <c r="T280" s="64"/>
      <c r="U280" s="64"/>
      <c r="V280" s="64"/>
      <c r="W280" s="64"/>
      <c r="X280" s="64"/>
      <c r="AA280" s="64"/>
      <c r="AB280" s="64"/>
      <c r="AC280" s="64"/>
      <c r="AD280" s="65"/>
      <c r="AE280" s="65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I281" s="64"/>
      <c r="J281" s="64"/>
      <c r="M281" s="64"/>
      <c r="N281" s="64"/>
      <c r="O281" s="64"/>
      <c r="P281" s="64"/>
      <c r="Q281" s="64"/>
      <c r="T281" s="64"/>
      <c r="U281" s="64"/>
      <c r="V281" s="64"/>
      <c r="W281" s="64"/>
      <c r="X281" s="64"/>
      <c r="AA281" s="64"/>
      <c r="AB281" s="64"/>
      <c r="AC281" s="64"/>
      <c r="AD281" s="65"/>
      <c r="AE281" s="65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I282" s="64"/>
      <c r="J282" s="64"/>
      <c r="M282" s="64"/>
      <c r="N282" s="64"/>
      <c r="O282" s="64"/>
      <c r="P282" s="64"/>
      <c r="Q282" s="64"/>
      <c r="T282" s="64"/>
      <c r="U282" s="64"/>
      <c r="V282" s="64"/>
      <c r="W282" s="64"/>
      <c r="X282" s="64"/>
      <c r="AA282" s="64"/>
      <c r="AB282" s="64"/>
      <c r="AC282" s="64"/>
      <c r="AD282" s="65"/>
      <c r="AE282" s="65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I283" s="64"/>
      <c r="J283" s="64"/>
      <c r="M283" s="64"/>
      <c r="N283" s="64"/>
      <c r="O283" s="64"/>
      <c r="P283" s="64"/>
      <c r="Q283" s="64"/>
      <c r="T283" s="64"/>
      <c r="U283" s="64"/>
      <c r="V283" s="64"/>
      <c r="W283" s="64"/>
      <c r="X283" s="64"/>
      <c r="AA283" s="64"/>
      <c r="AB283" s="64"/>
      <c r="AC283" s="64"/>
      <c r="AD283" s="65"/>
      <c r="AE283" s="65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I284" s="64"/>
      <c r="J284" s="64"/>
      <c r="M284" s="64"/>
      <c r="N284" s="64"/>
      <c r="O284" s="64"/>
      <c r="P284" s="64"/>
      <c r="Q284" s="64"/>
      <c r="T284" s="64"/>
      <c r="U284" s="64"/>
      <c r="V284" s="64"/>
      <c r="W284" s="64"/>
      <c r="X284" s="64"/>
      <c r="AA284" s="64"/>
      <c r="AB284" s="64"/>
      <c r="AC284" s="64"/>
      <c r="AD284" s="65"/>
      <c r="AE284" s="65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I285" s="64"/>
      <c r="J285" s="64"/>
      <c r="M285" s="64"/>
      <c r="N285" s="64"/>
      <c r="O285" s="64"/>
      <c r="P285" s="64"/>
      <c r="Q285" s="64"/>
      <c r="T285" s="64"/>
      <c r="U285" s="64"/>
      <c r="V285" s="64"/>
      <c r="W285" s="64"/>
      <c r="X285" s="64"/>
      <c r="AA285" s="64"/>
      <c r="AB285" s="64"/>
      <c r="AC285" s="64"/>
      <c r="AD285" s="65"/>
      <c r="AE285" s="65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I286" s="64"/>
      <c r="J286" s="64"/>
      <c r="M286" s="64"/>
      <c r="N286" s="64"/>
      <c r="O286" s="64"/>
      <c r="P286" s="64"/>
      <c r="Q286" s="64"/>
      <c r="T286" s="64"/>
      <c r="U286" s="64"/>
      <c r="V286" s="64"/>
      <c r="W286" s="64"/>
      <c r="X286" s="64"/>
      <c r="AA286" s="64"/>
      <c r="AB286" s="64"/>
      <c r="AC286" s="64"/>
      <c r="AD286" s="65"/>
      <c r="AE286" s="65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I287" s="64"/>
      <c r="J287" s="64"/>
      <c r="M287" s="64"/>
      <c r="N287" s="64"/>
      <c r="O287" s="64"/>
      <c r="P287" s="64"/>
      <c r="Q287" s="64"/>
      <c r="T287" s="64"/>
      <c r="U287" s="64"/>
      <c r="V287" s="64"/>
      <c r="W287" s="64"/>
      <c r="X287" s="64"/>
      <c r="AA287" s="64"/>
      <c r="AB287" s="64"/>
      <c r="AC287" s="64"/>
      <c r="AD287" s="65"/>
      <c r="AE287" s="65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I288" s="64"/>
      <c r="J288" s="64"/>
      <c r="M288" s="64"/>
      <c r="N288" s="64"/>
      <c r="O288" s="64"/>
      <c r="P288" s="64"/>
      <c r="Q288" s="64"/>
      <c r="T288" s="64"/>
      <c r="U288" s="64"/>
      <c r="V288" s="64"/>
      <c r="W288" s="64"/>
      <c r="X288" s="64"/>
      <c r="AA288" s="64"/>
      <c r="AB288" s="64"/>
      <c r="AC288" s="64"/>
      <c r="AD288" s="65"/>
      <c r="AE288" s="65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I289" s="64"/>
      <c r="J289" s="64"/>
      <c r="M289" s="64"/>
      <c r="N289" s="64"/>
      <c r="O289" s="64"/>
      <c r="P289" s="64"/>
      <c r="Q289" s="64"/>
      <c r="T289" s="64"/>
      <c r="U289" s="64"/>
      <c r="V289" s="64"/>
      <c r="W289" s="64"/>
      <c r="X289" s="64"/>
      <c r="AA289" s="64"/>
      <c r="AB289" s="64"/>
      <c r="AC289" s="64"/>
      <c r="AD289" s="65"/>
      <c r="AE289" s="65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I290" s="64"/>
      <c r="J290" s="64"/>
      <c r="M290" s="64"/>
      <c r="N290" s="64"/>
      <c r="O290" s="64"/>
      <c r="P290" s="64"/>
      <c r="Q290" s="64"/>
      <c r="T290" s="64"/>
      <c r="U290" s="64"/>
      <c r="V290" s="64"/>
      <c r="W290" s="64"/>
      <c r="X290" s="64"/>
      <c r="AA290" s="64"/>
      <c r="AB290" s="64"/>
      <c r="AC290" s="64"/>
      <c r="AD290" s="65"/>
      <c r="AE290" s="65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I291" s="64"/>
      <c r="J291" s="64"/>
      <c r="M291" s="64"/>
      <c r="N291" s="64"/>
      <c r="O291" s="64"/>
      <c r="P291" s="64"/>
      <c r="Q291" s="64"/>
      <c r="T291" s="64"/>
      <c r="U291" s="64"/>
      <c r="V291" s="64"/>
      <c r="W291" s="64"/>
      <c r="X291" s="64"/>
      <c r="AA291" s="64"/>
      <c r="AB291" s="64"/>
      <c r="AC291" s="64"/>
      <c r="AD291" s="65"/>
      <c r="AE291" s="65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I292" s="64"/>
      <c r="J292" s="64"/>
      <c r="M292" s="64"/>
      <c r="N292" s="64"/>
      <c r="O292" s="64"/>
      <c r="P292" s="64"/>
      <c r="Q292" s="64"/>
      <c r="T292" s="64"/>
      <c r="U292" s="64"/>
      <c r="V292" s="64"/>
      <c r="W292" s="64"/>
      <c r="X292" s="64"/>
      <c r="AA292" s="64"/>
      <c r="AB292" s="64"/>
      <c r="AC292" s="64"/>
      <c r="AD292" s="65"/>
      <c r="AE292" s="65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I293" s="64"/>
      <c r="J293" s="64"/>
      <c r="M293" s="64"/>
      <c r="N293" s="64"/>
      <c r="O293" s="64"/>
      <c r="P293" s="64"/>
      <c r="Q293" s="64"/>
      <c r="T293" s="64"/>
      <c r="U293" s="64"/>
      <c r="V293" s="64"/>
      <c r="W293" s="64"/>
      <c r="X293" s="64"/>
      <c r="AA293" s="64"/>
      <c r="AB293" s="64"/>
      <c r="AC293" s="64"/>
      <c r="AD293" s="65"/>
      <c r="AE293" s="65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I294" s="64"/>
      <c r="J294" s="64"/>
      <c r="M294" s="64"/>
      <c r="N294" s="64"/>
      <c r="O294" s="64"/>
      <c r="P294" s="64"/>
      <c r="Q294" s="64"/>
      <c r="T294" s="64"/>
      <c r="U294" s="64"/>
      <c r="V294" s="64"/>
      <c r="W294" s="64"/>
      <c r="X294" s="64"/>
      <c r="AA294" s="64"/>
      <c r="AB294" s="64"/>
      <c r="AC294" s="64"/>
      <c r="AD294" s="65"/>
      <c r="AE294" s="65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I295" s="64"/>
      <c r="J295" s="64"/>
      <c r="M295" s="64"/>
      <c r="N295" s="64"/>
      <c r="O295" s="64"/>
      <c r="P295" s="64"/>
      <c r="Q295" s="64"/>
      <c r="T295" s="64"/>
      <c r="U295" s="64"/>
      <c r="V295" s="64"/>
      <c r="W295" s="64"/>
      <c r="X295" s="64"/>
      <c r="AA295" s="64"/>
      <c r="AB295" s="64"/>
      <c r="AC295" s="64"/>
      <c r="AD295" s="65"/>
      <c r="AE295" s="65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I296" s="64"/>
      <c r="J296" s="64"/>
      <c r="M296" s="64"/>
      <c r="N296" s="64"/>
      <c r="O296" s="64"/>
      <c r="P296" s="64"/>
      <c r="Q296" s="64"/>
      <c r="T296" s="64"/>
      <c r="U296" s="64"/>
      <c r="V296" s="64"/>
      <c r="W296" s="64"/>
      <c r="X296" s="64"/>
      <c r="AA296" s="64"/>
      <c r="AB296" s="64"/>
      <c r="AC296" s="64"/>
      <c r="AD296" s="65"/>
      <c r="AE296" s="65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I297" s="64"/>
      <c r="J297" s="64"/>
      <c r="M297" s="64"/>
      <c r="N297" s="64"/>
      <c r="O297" s="64"/>
      <c r="P297" s="64"/>
      <c r="Q297" s="64"/>
      <c r="T297" s="64"/>
      <c r="U297" s="64"/>
      <c r="V297" s="64"/>
      <c r="W297" s="64"/>
      <c r="X297" s="64"/>
      <c r="AA297" s="64"/>
      <c r="AB297" s="64"/>
      <c r="AC297" s="64"/>
      <c r="AD297" s="65"/>
      <c r="AE297" s="65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I298" s="64"/>
      <c r="J298" s="64"/>
      <c r="M298" s="64"/>
      <c r="N298" s="64"/>
      <c r="O298" s="64"/>
      <c r="P298" s="64"/>
      <c r="Q298" s="64"/>
      <c r="T298" s="64"/>
      <c r="U298" s="64"/>
      <c r="V298" s="64"/>
      <c r="W298" s="64"/>
      <c r="X298" s="64"/>
      <c r="AA298" s="64"/>
      <c r="AB298" s="64"/>
      <c r="AC298" s="64"/>
      <c r="AD298" s="65"/>
      <c r="AE298" s="65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I299" s="64"/>
      <c r="J299" s="64"/>
      <c r="M299" s="64"/>
      <c r="N299" s="64"/>
      <c r="O299" s="64"/>
      <c r="P299" s="64"/>
      <c r="Q299" s="64"/>
      <c r="T299" s="64"/>
      <c r="U299" s="64"/>
      <c r="V299" s="64"/>
      <c r="W299" s="64"/>
      <c r="X299" s="64"/>
      <c r="AA299" s="64"/>
      <c r="AB299" s="64"/>
      <c r="AC299" s="64"/>
      <c r="AD299" s="65"/>
      <c r="AE299" s="65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I300" s="64"/>
      <c r="J300" s="64"/>
      <c r="M300" s="64"/>
      <c r="N300" s="64"/>
      <c r="O300" s="64"/>
      <c r="P300" s="64"/>
      <c r="Q300" s="64"/>
      <c r="T300" s="64"/>
      <c r="U300" s="64"/>
      <c r="V300" s="64"/>
      <c r="W300" s="64"/>
      <c r="X300" s="64"/>
      <c r="AA300" s="64"/>
      <c r="AB300" s="64"/>
      <c r="AC300" s="64"/>
      <c r="AD300" s="65"/>
      <c r="AE300" s="65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I301" s="64"/>
      <c r="J301" s="64"/>
      <c r="M301" s="64"/>
      <c r="N301" s="64"/>
      <c r="O301" s="64"/>
      <c r="P301" s="64"/>
      <c r="Q301" s="64"/>
      <c r="T301" s="64"/>
      <c r="U301" s="64"/>
      <c r="V301" s="64"/>
      <c r="W301" s="64"/>
      <c r="X301" s="64"/>
      <c r="AA301" s="64"/>
      <c r="AB301" s="64"/>
      <c r="AC301" s="64"/>
      <c r="AD301" s="65"/>
      <c r="AE301" s="65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I302" s="64"/>
      <c r="J302" s="64"/>
      <c r="M302" s="64"/>
      <c r="N302" s="64"/>
      <c r="O302" s="64"/>
      <c r="P302" s="64"/>
      <c r="Q302" s="64"/>
      <c r="T302" s="64"/>
      <c r="U302" s="64"/>
      <c r="V302" s="64"/>
      <c r="W302" s="64"/>
      <c r="X302" s="64"/>
      <c r="AA302" s="64"/>
      <c r="AB302" s="64"/>
      <c r="AC302" s="64"/>
      <c r="AD302" s="65"/>
      <c r="AE302" s="65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I303" s="64"/>
      <c r="J303" s="64"/>
      <c r="M303" s="64"/>
      <c r="N303" s="64"/>
      <c r="O303" s="64"/>
      <c r="P303" s="64"/>
      <c r="Q303" s="64"/>
      <c r="T303" s="64"/>
      <c r="U303" s="64"/>
      <c r="V303" s="64"/>
      <c r="W303" s="64"/>
      <c r="X303" s="64"/>
      <c r="AA303" s="64"/>
      <c r="AB303" s="64"/>
      <c r="AC303" s="64"/>
      <c r="AD303" s="65"/>
      <c r="AE303" s="65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I304" s="64"/>
      <c r="J304" s="64"/>
      <c r="M304" s="64"/>
      <c r="N304" s="64"/>
      <c r="O304" s="64"/>
      <c r="P304" s="64"/>
      <c r="Q304" s="64"/>
      <c r="T304" s="64"/>
      <c r="U304" s="64"/>
      <c r="V304" s="64"/>
      <c r="W304" s="64"/>
      <c r="X304" s="64"/>
      <c r="AA304" s="64"/>
      <c r="AB304" s="64"/>
      <c r="AC304" s="64"/>
      <c r="AD304" s="65"/>
      <c r="AE304" s="65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I305" s="64"/>
      <c r="J305" s="64"/>
      <c r="M305" s="64"/>
      <c r="N305" s="64"/>
      <c r="O305" s="64"/>
      <c r="P305" s="64"/>
      <c r="Q305" s="64"/>
      <c r="T305" s="64"/>
      <c r="U305" s="64"/>
      <c r="V305" s="64"/>
      <c r="W305" s="64"/>
      <c r="X305" s="64"/>
      <c r="AA305" s="64"/>
      <c r="AB305" s="64"/>
      <c r="AC305" s="64"/>
      <c r="AD305" s="65"/>
      <c r="AE305" s="65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I306" s="64"/>
      <c r="J306" s="64"/>
      <c r="M306" s="64"/>
      <c r="N306" s="64"/>
      <c r="O306" s="64"/>
      <c r="P306" s="64"/>
      <c r="Q306" s="64"/>
      <c r="T306" s="64"/>
      <c r="U306" s="64"/>
      <c r="V306" s="64"/>
      <c r="W306" s="64"/>
      <c r="X306" s="64"/>
      <c r="AA306" s="64"/>
      <c r="AB306" s="64"/>
      <c r="AC306" s="64"/>
      <c r="AD306" s="65"/>
      <c r="AE306" s="65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I307" s="64"/>
      <c r="J307" s="64"/>
      <c r="M307" s="64"/>
      <c r="N307" s="64"/>
      <c r="O307" s="64"/>
      <c r="P307" s="64"/>
      <c r="Q307" s="64"/>
      <c r="T307" s="64"/>
      <c r="U307" s="64"/>
      <c r="V307" s="64"/>
      <c r="W307" s="64"/>
      <c r="X307" s="64"/>
      <c r="AA307" s="64"/>
      <c r="AB307" s="64"/>
      <c r="AC307" s="64"/>
      <c r="AD307" s="65"/>
      <c r="AE307" s="65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I308" s="64"/>
      <c r="J308" s="64"/>
      <c r="M308" s="64"/>
      <c r="N308" s="64"/>
      <c r="O308" s="64"/>
      <c r="P308" s="64"/>
      <c r="Q308" s="64"/>
      <c r="T308" s="64"/>
      <c r="U308" s="64"/>
      <c r="V308" s="64"/>
      <c r="W308" s="64"/>
      <c r="X308" s="64"/>
      <c r="AA308" s="64"/>
      <c r="AB308" s="64"/>
      <c r="AC308" s="64"/>
      <c r="AD308" s="65"/>
      <c r="AE308" s="65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I309" s="64"/>
      <c r="J309" s="64"/>
      <c r="M309" s="64"/>
      <c r="N309" s="64"/>
      <c r="O309" s="64"/>
      <c r="P309" s="64"/>
      <c r="Q309" s="64"/>
      <c r="T309" s="64"/>
      <c r="U309" s="64"/>
      <c r="V309" s="64"/>
      <c r="W309" s="64"/>
      <c r="X309" s="64"/>
      <c r="AA309" s="64"/>
      <c r="AB309" s="64"/>
      <c r="AC309" s="64"/>
      <c r="AD309" s="65"/>
      <c r="AE309" s="65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I310" s="64"/>
      <c r="J310" s="64"/>
      <c r="M310" s="64"/>
      <c r="N310" s="64"/>
      <c r="O310" s="64"/>
      <c r="P310" s="64"/>
      <c r="Q310" s="64"/>
      <c r="T310" s="64"/>
      <c r="U310" s="64"/>
      <c r="V310" s="64"/>
      <c r="W310" s="64"/>
      <c r="X310" s="64"/>
      <c r="AA310" s="64"/>
      <c r="AB310" s="64"/>
      <c r="AC310" s="64"/>
      <c r="AD310" s="65"/>
      <c r="AE310" s="65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I311" s="64"/>
      <c r="J311" s="64"/>
      <c r="M311" s="64"/>
      <c r="N311" s="64"/>
      <c r="O311" s="64"/>
      <c r="P311" s="64"/>
      <c r="Q311" s="64"/>
      <c r="T311" s="64"/>
      <c r="U311" s="64"/>
      <c r="V311" s="64"/>
      <c r="W311" s="64"/>
      <c r="X311" s="64"/>
      <c r="AA311" s="64"/>
      <c r="AB311" s="64"/>
      <c r="AC311" s="64"/>
      <c r="AD311" s="65"/>
      <c r="AE311" s="65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I312" s="64"/>
      <c r="J312" s="64"/>
      <c r="M312" s="64"/>
      <c r="N312" s="64"/>
      <c r="O312" s="64"/>
      <c r="P312" s="64"/>
      <c r="Q312" s="64"/>
      <c r="T312" s="64"/>
      <c r="U312" s="64"/>
      <c r="V312" s="64"/>
      <c r="W312" s="64"/>
      <c r="X312" s="64"/>
      <c r="AA312" s="64"/>
      <c r="AB312" s="64"/>
      <c r="AC312" s="64"/>
      <c r="AD312" s="65"/>
      <c r="AE312" s="65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I313" s="64"/>
      <c r="J313" s="64"/>
      <c r="M313" s="64"/>
      <c r="N313" s="64"/>
      <c r="O313" s="64"/>
      <c r="P313" s="64"/>
      <c r="Q313" s="64"/>
      <c r="T313" s="64"/>
      <c r="U313" s="64"/>
      <c r="V313" s="64"/>
      <c r="W313" s="64"/>
      <c r="X313" s="64"/>
      <c r="AA313" s="64"/>
      <c r="AB313" s="64"/>
      <c r="AC313" s="64"/>
      <c r="AD313" s="65"/>
      <c r="AE313" s="65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I314" s="64"/>
      <c r="J314" s="64"/>
      <c r="M314" s="64"/>
      <c r="N314" s="64"/>
      <c r="O314" s="64"/>
      <c r="P314" s="64"/>
      <c r="Q314" s="64"/>
      <c r="T314" s="64"/>
      <c r="U314" s="64"/>
      <c r="V314" s="64"/>
      <c r="W314" s="64"/>
      <c r="X314" s="64"/>
      <c r="AA314" s="64"/>
      <c r="AB314" s="64"/>
      <c r="AC314" s="64"/>
      <c r="AD314" s="65"/>
      <c r="AE314" s="65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I315" s="64"/>
      <c r="J315" s="64"/>
      <c r="M315" s="64"/>
      <c r="N315" s="64"/>
      <c r="O315" s="64"/>
      <c r="P315" s="64"/>
      <c r="Q315" s="64"/>
      <c r="T315" s="64"/>
      <c r="U315" s="64"/>
      <c r="V315" s="64"/>
      <c r="W315" s="64"/>
      <c r="X315" s="64"/>
      <c r="AA315" s="64"/>
      <c r="AB315" s="64"/>
      <c r="AC315" s="64"/>
      <c r="AD315" s="65"/>
      <c r="AE315" s="65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I316" s="64"/>
      <c r="J316" s="64"/>
      <c r="M316" s="64"/>
      <c r="N316" s="64"/>
      <c r="O316" s="64"/>
      <c r="P316" s="64"/>
      <c r="Q316" s="64"/>
      <c r="T316" s="64"/>
      <c r="U316" s="64"/>
      <c r="V316" s="64"/>
      <c r="W316" s="64"/>
      <c r="X316" s="64"/>
      <c r="AA316" s="64"/>
      <c r="AB316" s="64"/>
      <c r="AC316" s="64"/>
      <c r="AD316" s="65"/>
      <c r="AE316" s="65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I317" s="64"/>
      <c r="J317" s="64"/>
      <c r="M317" s="64"/>
      <c r="N317" s="64"/>
      <c r="O317" s="64"/>
      <c r="P317" s="64"/>
      <c r="Q317" s="64"/>
      <c r="T317" s="64"/>
      <c r="U317" s="64"/>
      <c r="V317" s="64"/>
      <c r="W317" s="64"/>
      <c r="X317" s="64"/>
      <c r="AA317" s="64"/>
      <c r="AB317" s="64"/>
      <c r="AC317" s="64"/>
      <c r="AD317" s="65"/>
      <c r="AE317" s="65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I318" s="64"/>
      <c r="J318" s="64"/>
      <c r="M318" s="64"/>
      <c r="N318" s="64"/>
      <c r="O318" s="64"/>
      <c r="P318" s="64"/>
      <c r="Q318" s="64"/>
      <c r="T318" s="64"/>
      <c r="U318" s="64"/>
      <c r="V318" s="64"/>
      <c r="W318" s="64"/>
      <c r="X318" s="64"/>
      <c r="AA318" s="64"/>
      <c r="AB318" s="64"/>
      <c r="AC318" s="64"/>
      <c r="AD318" s="65"/>
      <c r="AE318" s="65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I319" s="64"/>
      <c r="J319" s="64"/>
      <c r="M319" s="64"/>
      <c r="N319" s="64"/>
      <c r="O319" s="64"/>
      <c r="P319" s="64"/>
      <c r="Q319" s="64"/>
      <c r="T319" s="64"/>
      <c r="U319" s="64"/>
      <c r="V319" s="64"/>
      <c r="W319" s="64"/>
      <c r="X319" s="64"/>
      <c r="AA319" s="64"/>
      <c r="AB319" s="64"/>
      <c r="AC319" s="64"/>
      <c r="AD319" s="65"/>
      <c r="AE319" s="65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I320" s="64"/>
      <c r="J320" s="64"/>
      <c r="M320" s="64"/>
      <c r="N320" s="64"/>
      <c r="O320" s="64"/>
      <c r="P320" s="64"/>
      <c r="Q320" s="64"/>
      <c r="T320" s="64"/>
      <c r="U320" s="64"/>
      <c r="V320" s="64"/>
      <c r="W320" s="64"/>
      <c r="X320" s="64"/>
      <c r="AA320" s="64"/>
      <c r="AB320" s="64"/>
      <c r="AC320" s="64"/>
      <c r="AD320" s="65"/>
      <c r="AE320" s="65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I321" s="64"/>
      <c r="J321" s="64"/>
      <c r="M321" s="64"/>
      <c r="N321" s="64"/>
      <c r="O321" s="64"/>
      <c r="P321" s="64"/>
      <c r="Q321" s="64"/>
      <c r="T321" s="64"/>
      <c r="U321" s="64"/>
      <c r="V321" s="64"/>
      <c r="W321" s="64"/>
      <c r="X321" s="64"/>
      <c r="AA321" s="64"/>
      <c r="AB321" s="64"/>
      <c r="AC321" s="64"/>
      <c r="AD321" s="65"/>
      <c r="AE321" s="65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I322" s="64"/>
      <c r="J322" s="64"/>
      <c r="M322" s="64"/>
      <c r="N322" s="64"/>
      <c r="O322" s="64"/>
      <c r="P322" s="64"/>
      <c r="Q322" s="64"/>
      <c r="T322" s="64"/>
      <c r="U322" s="64"/>
      <c r="V322" s="64"/>
      <c r="W322" s="64"/>
      <c r="X322" s="64"/>
      <c r="AA322" s="64"/>
      <c r="AB322" s="64"/>
      <c r="AC322" s="64"/>
      <c r="AD322" s="65"/>
      <c r="AE322" s="65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I323" s="64"/>
      <c r="J323" s="64"/>
      <c r="M323" s="64"/>
      <c r="N323" s="64"/>
      <c r="O323" s="64"/>
      <c r="P323" s="64"/>
      <c r="Q323" s="64"/>
      <c r="T323" s="64"/>
      <c r="U323" s="64"/>
      <c r="V323" s="64"/>
      <c r="W323" s="64"/>
      <c r="X323" s="64"/>
      <c r="AA323" s="64"/>
      <c r="AB323" s="64"/>
      <c r="AC323" s="64"/>
      <c r="AD323" s="65"/>
      <c r="AE323" s="65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I324" s="64"/>
      <c r="J324" s="64"/>
      <c r="M324" s="64"/>
      <c r="N324" s="64"/>
      <c r="O324" s="64"/>
      <c r="P324" s="64"/>
      <c r="Q324" s="64"/>
      <c r="T324" s="64"/>
      <c r="U324" s="64"/>
      <c r="V324" s="64"/>
      <c r="W324" s="64"/>
      <c r="X324" s="64"/>
      <c r="AA324" s="64"/>
      <c r="AB324" s="64"/>
      <c r="AC324" s="64"/>
      <c r="AD324" s="65"/>
      <c r="AE324" s="65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I325" s="64"/>
      <c r="J325" s="64"/>
      <c r="M325" s="64"/>
      <c r="N325" s="64"/>
      <c r="O325" s="64"/>
      <c r="P325" s="64"/>
      <c r="Q325" s="64"/>
      <c r="T325" s="64"/>
      <c r="U325" s="64"/>
      <c r="V325" s="64"/>
      <c r="W325" s="64"/>
      <c r="X325" s="64"/>
      <c r="AA325" s="64"/>
      <c r="AB325" s="64"/>
      <c r="AC325" s="64"/>
      <c r="AD325" s="65"/>
      <c r="AE325" s="65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I326" s="64"/>
      <c r="J326" s="64"/>
      <c r="M326" s="64"/>
      <c r="N326" s="64"/>
      <c r="O326" s="64"/>
      <c r="P326" s="64"/>
      <c r="Q326" s="64"/>
      <c r="T326" s="64"/>
      <c r="U326" s="64"/>
      <c r="V326" s="64"/>
      <c r="W326" s="64"/>
      <c r="X326" s="64"/>
      <c r="AA326" s="64"/>
      <c r="AB326" s="64"/>
      <c r="AC326" s="64"/>
      <c r="AD326" s="65"/>
      <c r="AE326" s="65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I327" s="64"/>
      <c r="J327" s="64"/>
      <c r="M327" s="64"/>
      <c r="N327" s="64"/>
      <c r="O327" s="64"/>
      <c r="P327" s="64"/>
      <c r="Q327" s="64"/>
      <c r="T327" s="64"/>
      <c r="U327" s="64"/>
      <c r="V327" s="64"/>
      <c r="W327" s="64"/>
      <c r="X327" s="64"/>
      <c r="AA327" s="64"/>
      <c r="AB327" s="64"/>
      <c r="AC327" s="64"/>
      <c r="AD327" s="65"/>
      <c r="AE327" s="65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I328" s="64"/>
      <c r="J328" s="64"/>
      <c r="M328" s="64"/>
      <c r="N328" s="64"/>
      <c r="O328" s="64"/>
      <c r="P328" s="64"/>
      <c r="Q328" s="64"/>
      <c r="T328" s="64"/>
      <c r="U328" s="64"/>
      <c r="V328" s="64"/>
      <c r="W328" s="64"/>
      <c r="X328" s="64"/>
      <c r="AA328" s="64"/>
      <c r="AB328" s="64"/>
      <c r="AC328" s="64"/>
      <c r="AD328" s="65"/>
      <c r="AE328" s="65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I329" s="64"/>
      <c r="J329" s="64"/>
      <c r="M329" s="64"/>
      <c r="N329" s="64"/>
      <c r="O329" s="64"/>
      <c r="P329" s="64"/>
      <c r="Q329" s="64"/>
      <c r="T329" s="64"/>
      <c r="U329" s="64"/>
      <c r="V329" s="64"/>
      <c r="W329" s="64"/>
      <c r="X329" s="64"/>
      <c r="AA329" s="64"/>
      <c r="AB329" s="64"/>
      <c r="AC329" s="64"/>
      <c r="AD329" s="65"/>
      <c r="AE329" s="65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I330" s="64"/>
      <c r="J330" s="64"/>
      <c r="M330" s="64"/>
      <c r="N330" s="64"/>
      <c r="O330" s="64"/>
      <c r="P330" s="64"/>
      <c r="Q330" s="64"/>
      <c r="T330" s="64"/>
      <c r="U330" s="64"/>
      <c r="V330" s="64"/>
      <c r="W330" s="64"/>
      <c r="X330" s="64"/>
      <c r="AA330" s="64"/>
      <c r="AB330" s="64"/>
      <c r="AC330" s="64"/>
      <c r="AD330" s="65"/>
      <c r="AE330" s="65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I331" s="64"/>
      <c r="J331" s="64"/>
      <c r="M331" s="64"/>
      <c r="N331" s="64"/>
      <c r="O331" s="64"/>
      <c r="P331" s="64"/>
      <c r="Q331" s="64"/>
      <c r="T331" s="64"/>
      <c r="U331" s="64"/>
      <c r="V331" s="64"/>
      <c r="W331" s="64"/>
      <c r="X331" s="64"/>
      <c r="AA331" s="64"/>
      <c r="AB331" s="64"/>
      <c r="AC331" s="64"/>
      <c r="AD331" s="65"/>
      <c r="AE331" s="65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I332" s="64"/>
      <c r="J332" s="64"/>
      <c r="M332" s="64"/>
      <c r="N332" s="64"/>
      <c r="O332" s="64"/>
      <c r="P332" s="64"/>
      <c r="Q332" s="64"/>
      <c r="T332" s="64"/>
      <c r="U332" s="64"/>
      <c r="V332" s="64"/>
      <c r="W332" s="64"/>
      <c r="X332" s="64"/>
      <c r="AA332" s="64"/>
      <c r="AB332" s="64"/>
      <c r="AC332" s="64"/>
      <c r="AD332" s="65"/>
      <c r="AE332" s="65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I333" s="64"/>
      <c r="J333" s="64"/>
      <c r="M333" s="64"/>
      <c r="N333" s="64"/>
      <c r="O333" s="64"/>
      <c r="P333" s="64"/>
      <c r="Q333" s="64"/>
      <c r="T333" s="64"/>
      <c r="U333" s="64"/>
      <c r="V333" s="64"/>
      <c r="W333" s="64"/>
      <c r="X333" s="64"/>
      <c r="AA333" s="64"/>
      <c r="AB333" s="64"/>
      <c r="AC333" s="64"/>
      <c r="AD333" s="65"/>
      <c r="AE333" s="65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I334" s="64"/>
      <c r="J334" s="64"/>
      <c r="M334" s="64"/>
      <c r="N334" s="64"/>
      <c r="O334" s="64"/>
      <c r="P334" s="64"/>
      <c r="Q334" s="64"/>
      <c r="T334" s="64"/>
      <c r="U334" s="64"/>
      <c r="V334" s="64"/>
      <c r="W334" s="64"/>
      <c r="X334" s="64"/>
      <c r="AA334" s="64"/>
      <c r="AB334" s="64"/>
      <c r="AC334" s="64"/>
      <c r="AD334" s="65"/>
      <c r="AE334" s="65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I335" s="64"/>
      <c r="J335" s="64"/>
      <c r="M335" s="64"/>
      <c r="N335" s="64"/>
      <c r="O335" s="64"/>
      <c r="P335" s="64"/>
      <c r="Q335" s="64"/>
      <c r="T335" s="64"/>
      <c r="U335" s="64"/>
      <c r="V335" s="64"/>
      <c r="W335" s="64"/>
      <c r="X335" s="64"/>
      <c r="AA335" s="64"/>
      <c r="AB335" s="64"/>
      <c r="AC335" s="64"/>
      <c r="AD335" s="65"/>
      <c r="AE335" s="65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I336" s="64"/>
      <c r="J336" s="64"/>
      <c r="M336" s="64"/>
      <c r="N336" s="64"/>
      <c r="O336" s="64"/>
      <c r="P336" s="64"/>
      <c r="Q336" s="64"/>
      <c r="T336" s="64"/>
      <c r="U336" s="64"/>
      <c r="V336" s="64"/>
      <c r="W336" s="64"/>
      <c r="X336" s="64"/>
      <c r="AA336" s="64"/>
      <c r="AB336" s="64"/>
      <c r="AC336" s="64"/>
      <c r="AD336" s="65"/>
      <c r="AE336" s="65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I337" s="64"/>
      <c r="J337" s="64"/>
      <c r="M337" s="64"/>
      <c r="N337" s="64"/>
      <c r="O337" s="64"/>
      <c r="P337" s="64"/>
      <c r="Q337" s="64"/>
      <c r="T337" s="64"/>
      <c r="U337" s="64"/>
      <c r="V337" s="64"/>
      <c r="W337" s="64"/>
      <c r="X337" s="64"/>
      <c r="AA337" s="64"/>
      <c r="AB337" s="64"/>
      <c r="AC337" s="64"/>
      <c r="AD337" s="65"/>
      <c r="AE337" s="65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I338" s="64"/>
      <c r="J338" s="64"/>
      <c r="M338" s="64"/>
      <c r="N338" s="64"/>
      <c r="O338" s="64"/>
      <c r="P338" s="64"/>
      <c r="Q338" s="64"/>
      <c r="T338" s="64"/>
      <c r="U338" s="64"/>
      <c r="V338" s="64"/>
      <c r="W338" s="64"/>
      <c r="X338" s="64"/>
      <c r="AA338" s="64"/>
      <c r="AB338" s="64"/>
      <c r="AC338" s="64"/>
      <c r="AD338" s="65"/>
      <c r="AE338" s="65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I339" s="64"/>
      <c r="J339" s="64"/>
      <c r="M339" s="64"/>
      <c r="N339" s="64"/>
      <c r="O339" s="64"/>
      <c r="P339" s="64"/>
      <c r="Q339" s="64"/>
      <c r="T339" s="64"/>
      <c r="U339" s="64"/>
      <c r="V339" s="64"/>
      <c r="W339" s="64"/>
      <c r="X339" s="64"/>
      <c r="AA339" s="64"/>
      <c r="AB339" s="64"/>
      <c r="AC339" s="64"/>
      <c r="AD339" s="65"/>
      <c r="AE339" s="65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108" priority="8" operator="lessThan">
      <formula>0</formula>
    </cfRule>
  </conditionalFormatting>
  <conditionalFormatting sqref="M80 P80 R80:AJ80 F131:H131 J131">
    <cfRule type="cellIs" dxfId="107" priority="11" operator="lessThan">
      <formula>0</formula>
    </cfRule>
  </conditionalFormatting>
  <conditionalFormatting sqref="M120:X123">
    <cfRule type="cellIs" dxfId="106" priority="9" operator="lessThan">
      <formula>0</formula>
    </cfRule>
  </conditionalFormatting>
  <conditionalFormatting sqref="M128:X132">
    <cfRule type="cellIs" dxfId="105" priority="6" operator="lessThan">
      <formula>0</formula>
    </cfRule>
  </conditionalFormatting>
  <conditionalFormatting sqref="M77:AJ79 F77:L87 M81:AJ87 F88:AK117 M118:AJ119 F118:J130 K118:L132 AK118:AK135 F132:J135 K134:AJ135">
    <cfRule type="cellIs" dxfId="104" priority="7" operator="lessThan">
      <formula>0</formula>
    </cfRule>
  </conditionalFormatting>
  <conditionalFormatting sqref="M124:AJ124 M125:X126 M127:Q127 S127:X127">
    <cfRule type="cellIs" dxfId="103" priority="10" operator="lessThan">
      <formula>0</formula>
    </cfRule>
  </conditionalFormatting>
  <conditionalFormatting sqref="Z120:AJ123">
    <cfRule type="cellIs" dxfId="102" priority="5" operator="lessThan">
      <formula>0</formula>
    </cfRule>
  </conditionalFormatting>
  <conditionalFormatting sqref="Z125:AJ133">
    <cfRule type="cellIs" dxfId="101" priority="4" operator="lessThan">
      <formula>0</formula>
    </cfRule>
  </conditionalFormatting>
  <conditionalFormatting sqref="AK29:AK30">
    <cfRule type="cellIs" dxfId="100" priority="3" operator="lessThan">
      <formula>0</formula>
    </cfRule>
  </conditionalFormatting>
  <conditionalFormatting sqref="F29:AJ30">
    <cfRule type="cellIs" dxfId="9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CFC7-610E-4C0A-B5AC-A0EABE23F0BF}">
  <dimension ref="A1:AS339"/>
  <sheetViews>
    <sheetView zoomScale="80" zoomScaleNormal="80" workbookViewId="0">
      <pane xSplit="1" ySplit="2" topLeftCell="B14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8" customWidth="1"/>
    <col min="8" max="8" width="4.5703125" style="68" bestFit="1" customWidth="1"/>
    <col min="9" max="11" width="5.5703125" style="64" bestFit="1" customWidth="1"/>
    <col min="12" max="12" width="5.5703125" style="64" customWidth="1"/>
    <col min="13" max="13" width="5.5703125" style="64" bestFit="1" customWidth="1"/>
    <col min="14" max="15" width="5.5703125" style="68" bestFit="1" customWidth="1"/>
    <col min="16" max="16" width="5.5703125" style="64" bestFit="1" customWidth="1"/>
    <col min="17" max="17" width="6.140625" style="64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8" bestFit="1" customWidth="1"/>
    <col min="22" max="22" width="5.5703125" style="68" bestFit="1" customWidth="1"/>
    <col min="23" max="23" width="4.5703125" style="64" bestFit="1" customWidth="1"/>
    <col min="24" max="26" width="5.5703125" style="64" bestFit="1" customWidth="1"/>
    <col min="27" max="27" width="6.7109375" style="64" bestFit="1" customWidth="1"/>
    <col min="28" max="28" width="5.140625" style="68" bestFit="1" customWidth="1"/>
    <col min="29" max="29" width="5" style="68" bestFit="1" customWidth="1"/>
    <col min="30" max="30" width="6.7109375" style="64" bestFit="1" customWidth="1"/>
    <col min="31" max="31" width="5.5703125" style="64" bestFit="1" customWidth="1"/>
    <col min="32" max="33" width="4.5703125" style="64" bestFit="1" customWidth="1"/>
    <col min="34" max="34" width="5.7109375" style="64" bestFit="1" customWidth="1"/>
    <col min="35" max="35" width="6.28515625" style="68" customWidth="1"/>
    <col min="36" max="36" width="5.140625" style="68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335</v>
      </c>
      <c r="G1" s="120" t="s">
        <v>336</v>
      </c>
      <c r="H1" s="120" t="s">
        <v>337</v>
      </c>
      <c r="I1" s="116" t="s">
        <v>338</v>
      </c>
      <c r="J1" s="116" t="s">
        <v>339</v>
      </c>
      <c r="K1" s="116" t="s">
        <v>333</v>
      </c>
      <c r="L1" s="116" t="s">
        <v>334</v>
      </c>
      <c r="M1" s="116" t="s">
        <v>335</v>
      </c>
      <c r="N1" s="120" t="s">
        <v>336</v>
      </c>
      <c r="O1" s="120" t="s">
        <v>337</v>
      </c>
      <c r="P1" s="116" t="s">
        <v>338</v>
      </c>
      <c r="Q1" s="116" t="s">
        <v>339</v>
      </c>
      <c r="R1" s="116" t="s">
        <v>333</v>
      </c>
      <c r="S1" s="116" t="s">
        <v>334</v>
      </c>
      <c r="T1" s="116" t="s">
        <v>335</v>
      </c>
      <c r="U1" s="120" t="s">
        <v>336</v>
      </c>
      <c r="V1" s="120" t="s">
        <v>337</v>
      </c>
      <c r="W1" s="116" t="s">
        <v>338</v>
      </c>
      <c r="X1" s="116" t="s">
        <v>339</v>
      </c>
      <c r="Y1" s="116" t="s">
        <v>333</v>
      </c>
      <c r="Z1" s="116" t="s">
        <v>334</v>
      </c>
      <c r="AA1" s="116" t="s">
        <v>335</v>
      </c>
      <c r="AB1" s="120" t="s">
        <v>336</v>
      </c>
      <c r="AC1" s="120" t="s">
        <v>337</v>
      </c>
      <c r="AD1" s="116" t="s">
        <v>338</v>
      </c>
      <c r="AE1" s="116" t="s">
        <v>339</v>
      </c>
      <c r="AF1" s="116" t="s">
        <v>333</v>
      </c>
      <c r="AG1" s="116" t="s">
        <v>334</v>
      </c>
      <c r="AH1" s="116" t="s">
        <v>335</v>
      </c>
      <c r="AI1" s="120" t="s">
        <v>336</v>
      </c>
      <c r="AJ1" s="120" t="s">
        <v>337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46661</v>
      </c>
      <c r="G2" s="129">
        <v>46662</v>
      </c>
      <c r="H2" s="129">
        <v>46663</v>
      </c>
      <c r="I2" s="112">
        <v>46664</v>
      </c>
      <c r="J2" s="112">
        <v>46665</v>
      </c>
      <c r="K2" s="112">
        <v>46666</v>
      </c>
      <c r="L2" s="112">
        <v>46667</v>
      </c>
      <c r="M2" s="112">
        <v>46668</v>
      </c>
      <c r="N2" s="129">
        <v>46669</v>
      </c>
      <c r="O2" s="129">
        <v>46670</v>
      </c>
      <c r="P2" s="112">
        <v>46671</v>
      </c>
      <c r="Q2" s="112">
        <v>46672</v>
      </c>
      <c r="R2" s="112">
        <v>46673</v>
      </c>
      <c r="S2" s="112">
        <v>46674</v>
      </c>
      <c r="T2" s="112">
        <v>46675</v>
      </c>
      <c r="U2" s="129">
        <v>46676</v>
      </c>
      <c r="V2" s="129">
        <v>46677</v>
      </c>
      <c r="W2" s="112">
        <v>46678</v>
      </c>
      <c r="X2" s="112">
        <v>46679</v>
      </c>
      <c r="Y2" s="112">
        <v>46680</v>
      </c>
      <c r="Z2" s="112">
        <v>46681</v>
      </c>
      <c r="AA2" s="112">
        <v>46682</v>
      </c>
      <c r="AB2" s="129">
        <v>46683</v>
      </c>
      <c r="AC2" s="129">
        <v>46684</v>
      </c>
      <c r="AD2" s="112">
        <v>46685</v>
      </c>
      <c r="AE2" s="112">
        <v>46686</v>
      </c>
      <c r="AF2" s="112">
        <v>46687</v>
      </c>
      <c r="AG2" s="112">
        <v>46688</v>
      </c>
      <c r="AH2" s="112">
        <v>46689</v>
      </c>
      <c r="AI2" s="129">
        <v>46690</v>
      </c>
      <c r="AJ2" s="129">
        <v>46691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120"/>
      <c r="H4" s="120"/>
      <c r="I4" s="70"/>
      <c r="J4" s="70"/>
      <c r="K4" s="70"/>
      <c r="L4" s="70"/>
      <c r="M4" s="70"/>
      <c r="N4" s="120"/>
      <c r="O4" s="120"/>
      <c r="P4" s="70"/>
      <c r="Q4" s="70"/>
      <c r="R4" s="70"/>
      <c r="S4" s="70"/>
      <c r="T4" s="70"/>
      <c r="U4" s="120"/>
      <c r="V4" s="120"/>
      <c r="W4" s="70"/>
      <c r="X4" s="70"/>
      <c r="Y4" s="70"/>
      <c r="Z4" s="70"/>
      <c r="AA4" s="70"/>
      <c r="AB4" s="120"/>
      <c r="AC4" s="120"/>
      <c r="AD4" s="70"/>
      <c r="AE4" s="70"/>
      <c r="AF4" s="70"/>
      <c r="AG4" s="70"/>
      <c r="AH4" s="70"/>
      <c r="AI4" s="120"/>
      <c r="AJ4" s="12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120"/>
      <c r="H5" s="120"/>
      <c r="I5" s="70"/>
      <c r="J5" s="70"/>
      <c r="K5" s="70"/>
      <c r="L5" s="70"/>
      <c r="M5" s="70"/>
      <c r="N5" s="120"/>
      <c r="O5" s="120"/>
      <c r="P5" s="70"/>
      <c r="Q5" s="70"/>
      <c r="R5" s="70"/>
      <c r="S5" s="70"/>
      <c r="T5" s="70"/>
      <c r="U5" s="120"/>
      <c r="V5" s="120"/>
      <c r="W5" s="70"/>
      <c r="X5" s="70"/>
      <c r="Y5" s="70"/>
      <c r="Z5" s="70"/>
      <c r="AA5" s="70"/>
      <c r="AB5" s="120"/>
      <c r="AC5" s="120"/>
      <c r="AD5" s="70"/>
      <c r="AE5" s="70"/>
      <c r="AF5" s="70"/>
      <c r="AG5" s="70"/>
      <c r="AH5" s="70"/>
      <c r="AI5" s="120"/>
      <c r="AJ5" s="12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120"/>
      <c r="H6" s="120"/>
      <c r="I6" s="70"/>
      <c r="J6" s="70"/>
      <c r="K6" s="70"/>
      <c r="L6" s="70"/>
      <c r="M6" s="70"/>
      <c r="N6" s="120"/>
      <c r="O6" s="120"/>
      <c r="P6" s="70"/>
      <c r="Q6" s="70"/>
      <c r="R6" s="70"/>
      <c r="S6" s="70"/>
      <c r="T6" s="70"/>
      <c r="U6" s="120"/>
      <c r="V6" s="120"/>
      <c r="W6" s="70"/>
      <c r="X6" s="70"/>
      <c r="Y6" s="70"/>
      <c r="Z6" s="70"/>
      <c r="AA6" s="70"/>
      <c r="AB6" s="120"/>
      <c r="AC6" s="120"/>
      <c r="AD6" s="70"/>
      <c r="AE6" s="70"/>
      <c r="AF6" s="70"/>
      <c r="AG6" s="70"/>
      <c r="AH6" s="70"/>
      <c r="AI6" s="120"/>
      <c r="AJ6" s="12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120"/>
      <c r="H7" s="120"/>
      <c r="I7" s="70"/>
      <c r="J7" s="70"/>
      <c r="K7" s="70"/>
      <c r="L7" s="70"/>
      <c r="M7" s="70"/>
      <c r="N7" s="120"/>
      <c r="O7" s="120"/>
      <c r="P7" s="70"/>
      <c r="Q7" s="70"/>
      <c r="R7" s="70"/>
      <c r="S7" s="70"/>
      <c r="T7" s="70"/>
      <c r="U7" s="120"/>
      <c r="V7" s="120"/>
      <c r="W7" s="70"/>
      <c r="X7" s="70"/>
      <c r="Y7" s="70"/>
      <c r="Z7" s="70"/>
      <c r="AA7" s="70"/>
      <c r="AB7" s="120"/>
      <c r="AC7" s="120"/>
      <c r="AD7" s="70"/>
      <c r="AE7" s="70"/>
      <c r="AF7" s="70"/>
      <c r="AG7" s="70"/>
      <c r="AH7" s="70"/>
      <c r="AI7" s="120"/>
      <c r="AJ7" s="12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28"/>
      <c r="I8" s="108"/>
      <c r="J8" s="108"/>
      <c r="K8" s="108"/>
      <c r="L8" s="108"/>
      <c r="M8" s="108"/>
      <c r="N8" s="128"/>
      <c r="O8" s="128"/>
      <c r="P8" s="108"/>
      <c r="Q8" s="108"/>
      <c r="R8" s="108"/>
      <c r="S8" s="108"/>
      <c r="T8" s="108"/>
      <c r="U8" s="120"/>
      <c r="V8" s="128"/>
      <c r="W8" s="70"/>
      <c r="X8" s="70"/>
      <c r="Y8" s="108"/>
      <c r="Z8" s="108"/>
      <c r="AA8" s="108"/>
      <c r="AB8" s="128"/>
      <c r="AC8" s="128"/>
      <c r="AD8" s="70"/>
      <c r="AE8" s="70"/>
      <c r="AF8" s="70"/>
      <c r="AG8" s="70"/>
      <c r="AH8" s="70"/>
      <c r="AI8" s="120"/>
      <c r="AJ8" s="12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120"/>
      <c r="H9" s="120"/>
      <c r="I9" s="70"/>
      <c r="J9" s="70"/>
      <c r="K9" s="70"/>
      <c r="L9" s="70"/>
      <c r="M9" s="70"/>
      <c r="N9" s="120"/>
      <c r="O9" s="120"/>
      <c r="P9" s="70"/>
      <c r="Q9" s="70"/>
      <c r="R9" s="70"/>
      <c r="S9" s="70"/>
      <c r="T9" s="70"/>
      <c r="U9" s="120"/>
      <c r="V9" s="120"/>
      <c r="W9" s="70"/>
      <c r="X9" s="70"/>
      <c r="Y9" s="70"/>
      <c r="Z9" s="70"/>
      <c r="AA9" s="70"/>
      <c r="AB9" s="120"/>
      <c r="AC9" s="120"/>
      <c r="AD9" s="70"/>
      <c r="AE9" s="70"/>
      <c r="AF9" s="70"/>
      <c r="AG9" s="70"/>
      <c r="AH9" s="70"/>
      <c r="AI9" s="120"/>
      <c r="AJ9" s="12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120"/>
      <c r="H10" s="120"/>
      <c r="I10" s="70"/>
      <c r="J10" s="70"/>
      <c r="K10" s="70"/>
      <c r="L10" s="70"/>
      <c r="M10" s="70"/>
      <c r="N10" s="120"/>
      <c r="O10" s="120"/>
      <c r="P10" s="70"/>
      <c r="Q10" s="70"/>
      <c r="R10" s="70"/>
      <c r="S10" s="70"/>
      <c r="T10" s="70"/>
      <c r="U10" s="120"/>
      <c r="V10" s="120"/>
      <c r="W10" s="70"/>
      <c r="X10" s="70"/>
      <c r="Y10" s="70"/>
      <c r="Z10" s="70"/>
      <c r="AA10" s="70"/>
      <c r="AB10" s="120"/>
      <c r="AC10" s="120"/>
      <c r="AD10" s="70"/>
      <c r="AE10" s="70"/>
      <c r="AF10" s="70"/>
      <c r="AG10" s="70"/>
      <c r="AH10" s="70"/>
      <c r="AI10" s="120"/>
      <c r="AJ10" s="12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120"/>
      <c r="H11" s="120"/>
      <c r="I11" s="70"/>
      <c r="J11" s="70"/>
      <c r="K11" s="70"/>
      <c r="L11" s="70"/>
      <c r="M11" s="70"/>
      <c r="N11" s="120"/>
      <c r="O11" s="120"/>
      <c r="P11" s="70"/>
      <c r="Q11" s="70"/>
      <c r="R11" s="70"/>
      <c r="S11" s="70"/>
      <c r="T11" s="70"/>
      <c r="U11" s="120"/>
      <c r="V11" s="120"/>
      <c r="W11" s="70"/>
      <c r="X11" s="70"/>
      <c r="Y11" s="70"/>
      <c r="Z11" s="70"/>
      <c r="AA11" s="70"/>
      <c r="AB11" s="120"/>
      <c r="AC11" s="120"/>
      <c r="AD11" s="70"/>
      <c r="AE11" s="70"/>
      <c r="AF11" s="70"/>
      <c r="AG11" s="70"/>
      <c r="AH11" s="70"/>
      <c r="AI11" s="120"/>
      <c r="AJ11" s="12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120"/>
      <c r="H12" s="120"/>
      <c r="I12" s="70"/>
      <c r="J12" s="70"/>
      <c r="K12" s="70"/>
      <c r="L12" s="70"/>
      <c r="M12" s="70"/>
      <c r="N12" s="120"/>
      <c r="O12" s="120"/>
      <c r="P12" s="70"/>
      <c r="Q12" s="70"/>
      <c r="R12" s="70"/>
      <c r="S12" s="70"/>
      <c r="T12" s="70"/>
      <c r="U12" s="120"/>
      <c r="V12" s="120"/>
      <c r="W12" s="70"/>
      <c r="X12" s="70"/>
      <c r="Y12" s="70"/>
      <c r="Z12" s="70"/>
      <c r="AA12" s="70"/>
      <c r="AB12" s="120"/>
      <c r="AC12" s="120"/>
      <c r="AD12" s="70"/>
      <c r="AE12" s="70"/>
      <c r="AF12" s="70"/>
      <c r="AG12" s="70"/>
      <c r="AH12" s="70"/>
      <c r="AI12" s="120"/>
      <c r="AJ12" s="12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120"/>
      <c r="H13" s="120"/>
      <c r="I13" s="70"/>
      <c r="J13" s="70"/>
      <c r="K13" s="70"/>
      <c r="L13" s="70"/>
      <c r="M13" s="70"/>
      <c r="N13" s="120"/>
      <c r="O13" s="120"/>
      <c r="P13" s="70"/>
      <c r="Q13" s="70"/>
      <c r="R13" s="70"/>
      <c r="S13" s="70"/>
      <c r="T13" s="70"/>
      <c r="U13" s="120"/>
      <c r="V13" s="120"/>
      <c r="W13" s="70"/>
      <c r="X13" s="70"/>
      <c r="Y13" s="70"/>
      <c r="Z13" s="70"/>
      <c r="AA13" s="70"/>
      <c r="AB13" s="120"/>
      <c r="AC13" s="120"/>
      <c r="AD13" s="70"/>
      <c r="AE13" s="70"/>
      <c r="AF13" s="70"/>
      <c r="AG13" s="70"/>
      <c r="AH13" s="70"/>
      <c r="AI13" s="120"/>
      <c r="AJ13" s="12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120"/>
      <c r="H14" s="120"/>
      <c r="I14" s="70"/>
      <c r="J14" s="70"/>
      <c r="K14" s="70"/>
      <c r="L14" s="70"/>
      <c r="M14" s="70"/>
      <c r="N14" s="120"/>
      <c r="O14" s="120"/>
      <c r="P14" s="70"/>
      <c r="Q14" s="70"/>
      <c r="R14" s="70"/>
      <c r="S14" s="70"/>
      <c r="T14" s="70"/>
      <c r="U14" s="120"/>
      <c r="V14" s="120"/>
      <c r="W14" s="70"/>
      <c r="X14" s="70"/>
      <c r="Y14" s="70"/>
      <c r="Z14" s="70"/>
      <c r="AA14" s="70"/>
      <c r="AB14" s="120"/>
      <c r="AC14" s="120"/>
      <c r="AD14" s="70"/>
      <c r="AE14" s="70"/>
      <c r="AF14" s="70"/>
      <c r="AG14" s="70"/>
      <c r="AH14" s="70"/>
      <c r="AI14" s="120"/>
      <c r="AJ14" s="12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120"/>
      <c r="H15" s="120"/>
      <c r="I15" s="70"/>
      <c r="J15" s="70"/>
      <c r="K15" s="70"/>
      <c r="L15" s="70"/>
      <c r="M15" s="70"/>
      <c r="N15" s="120"/>
      <c r="O15" s="120"/>
      <c r="P15" s="70"/>
      <c r="Q15" s="70"/>
      <c r="R15" s="70"/>
      <c r="S15" s="70"/>
      <c r="T15" s="70"/>
      <c r="U15" s="120"/>
      <c r="V15" s="120"/>
      <c r="W15" s="70"/>
      <c r="X15" s="70"/>
      <c r="Y15" s="70"/>
      <c r="Z15" s="70"/>
      <c r="AA15" s="70"/>
      <c r="AB15" s="120"/>
      <c r="AC15" s="120"/>
      <c r="AD15" s="70"/>
      <c r="AE15" s="70"/>
      <c r="AF15" s="70"/>
      <c r="AG15" s="70"/>
      <c r="AH15" s="70"/>
      <c r="AI15" s="120"/>
      <c r="AJ15" s="12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120"/>
      <c r="H16" s="120"/>
      <c r="I16" s="70"/>
      <c r="J16" s="70"/>
      <c r="K16" s="70"/>
      <c r="L16" s="70"/>
      <c r="M16" s="70"/>
      <c r="N16" s="120"/>
      <c r="O16" s="120"/>
      <c r="P16" s="70"/>
      <c r="Q16" s="70"/>
      <c r="R16" s="70"/>
      <c r="S16" s="70"/>
      <c r="T16" s="70"/>
      <c r="U16" s="120"/>
      <c r="V16" s="120"/>
      <c r="W16" s="70"/>
      <c r="X16" s="70"/>
      <c r="Y16" s="70"/>
      <c r="Z16" s="70"/>
      <c r="AA16" s="70"/>
      <c r="AB16" s="120"/>
      <c r="AC16" s="120"/>
      <c r="AD16" s="70"/>
      <c r="AE16" s="70"/>
      <c r="AF16" s="70"/>
      <c r="AG16" s="70"/>
      <c r="AH16" s="70"/>
      <c r="AI16" s="120"/>
      <c r="AJ16" s="12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120"/>
      <c r="H17" s="120"/>
      <c r="I17" s="70"/>
      <c r="J17" s="70"/>
      <c r="K17" s="70"/>
      <c r="L17" s="70"/>
      <c r="M17" s="70"/>
      <c r="N17" s="120"/>
      <c r="O17" s="120"/>
      <c r="P17" s="70"/>
      <c r="Q17" s="70"/>
      <c r="R17" s="70"/>
      <c r="S17" s="70"/>
      <c r="T17" s="70"/>
      <c r="U17" s="120"/>
      <c r="V17" s="120"/>
      <c r="W17" s="70"/>
      <c r="X17" s="70"/>
      <c r="Y17" s="70"/>
      <c r="Z17" s="70"/>
      <c r="AA17" s="70"/>
      <c r="AB17" s="120"/>
      <c r="AC17" s="120"/>
      <c r="AD17" s="70"/>
      <c r="AE17" s="70"/>
      <c r="AF17" s="70"/>
      <c r="AG17" s="70"/>
      <c r="AH17" s="70"/>
      <c r="AI17" s="120"/>
      <c r="AJ17" s="12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120"/>
      <c r="H18" s="120"/>
      <c r="I18" s="70"/>
      <c r="J18" s="70"/>
      <c r="K18" s="70"/>
      <c r="L18" s="70"/>
      <c r="M18" s="70"/>
      <c r="N18" s="120"/>
      <c r="O18" s="120"/>
      <c r="P18" s="70"/>
      <c r="Q18" s="70"/>
      <c r="R18" s="70"/>
      <c r="S18" s="70"/>
      <c r="T18" s="70"/>
      <c r="U18" s="120"/>
      <c r="V18" s="120"/>
      <c r="W18" s="70"/>
      <c r="X18" s="70"/>
      <c r="Y18" s="70"/>
      <c r="Z18" s="70"/>
      <c r="AA18" s="70"/>
      <c r="AB18" s="120"/>
      <c r="AC18" s="120"/>
      <c r="AD18" s="70"/>
      <c r="AE18" s="70"/>
      <c r="AF18" s="70"/>
      <c r="AG18" s="70"/>
      <c r="AH18" s="70"/>
      <c r="AI18" s="120"/>
      <c r="AJ18" s="12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120"/>
      <c r="H19" s="120"/>
      <c r="I19" s="70"/>
      <c r="J19" s="70"/>
      <c r="K19" s="70"/>
      <c r="L19" s="70"/>
      <c r="M19" s="70"/>
      <c r="N19" s="120"/>
      <c r="O19" s="120"/>
      <c r="P19" s="70"/>
      <c r="Q19" s="70"/>
      <c r="R19" s="70"/>
      <c r="S19" s="70"/>
      <c r="T19" s="70"/>
      <c r="U19" s="120"/>
      <c r="V19" s="120"/>
      <c r="W19" s="70"/>
      <c r="X19" s="70"/>
      <c r="Y19" s="70"/>
      <c r="Z19" s="70"/>
      <c r="AA19" s="70"/>
      <c r="AB19" s="120"/>
      <c r="AC19" s="120"/>
      <c r="AD19" s="70"/>
      <c r="AE19" s="70"/>
      <c r="AF19" s="70"/>
      <c r="AG19" s="70"/>
      <c r="AH19" s="70"/>
      <c r="AI19" s="120"/>
      <c r="AJ19" s="12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120"/>
      <c r="H20" s="120"/>
      <c r="I20" s="70"/>
      <c r="J20" s="70"/>
      <c r="K20" s="70"/>
      <c r="L20" s="70"/>
      <c r="M20" s="70"/>
      <c r="N20" s="120"/>
      <c r="O20" s="120"/>
      <c r="P20" s="70"/>
      <c r="Q20" s="70"/>
      <c r="R20" s="70"/>
      <c r="S20" s="70"/>
      <c r="T20" s="70"/>
      <c r="U20" s="120"/>
      <c r="V20" s="120"/>
      <c r="W20" s="70"/>
      <c r="X20" s="70"/>
      <c r="Y20" s="70"/>
      <c r="Z20" s="70"/>
      <c r="AA20" s="70"/>
      <c r="AB20" s="120"/>
      <c r="AC20" s="120"/>
      <c r="AD20" s="70"/>
      <c r="AE20" s="70"/>
      <c r="AF20" s="70"/>
      <c r="AG20" s="70"/>
      <c r="AH20" s="70"/>
      <c r="AI20" s="120"/>
      <c r="AJ20" s="12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120"/>
      <c r="H21" s="120"/>
      <c r="I21" s="70"/>
      <c r="J21" s="70"/>
      <c r="K21" s="70"/>
      <c r="L21" s="70"/>
      <c r="M21" s="70"/>
      <c r="N21" s="120"/>
      <c r="O21" s="120"/>
      <c r="P21" s="70"/>
      <c r="Q21" s="70"/>
      <c r="R21" s="70"/>
      <c r="S21" s="70"/>
      <c r="T21" s="70"/>
      <c r="U21" s="120"/>
      <c r="V21" s="120"/>
      <c r="W21" s="70"/>
      <c r="X21" s="70"/>
      <c r="Y21" s="70"/>
      <c r="Z21" s="70"/>
      <c r="AA21" s="70"/>
      <c r="AB21" s="120"/>
      <c r="AC21" s="120"/>
      <c r="AD21" s="70"/>
      <c r="AE21" s="70"/>
      <c r="AF21" s="70"/>
      <c r="AG21" s="70"/>
      <c r="AH21" s="70"/>
      <c r="AI21" s="120"/>
      <c r="AJ21" s="12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120"/>
      <c r="H22" s="120"/>
      <c r="I22" s="70"/>
      <c r="J22" s="70"/>
      <c r="K22" s="70"/>
      <c r="L22" s="70"/>
      <c r="M22" s="70"/>
      <c r="N22" s="120"/>
      <c r="O22" s="120"/>
      <c r="P22" s="70"/>
      <c r="Q22" s="70"/>
      <c r="R22" s="70"/>
      <c r="S22" s="70"/>
      <c r="T22" s="70"/>
      <c r="U22" s="120"/>
      <c r="V22" s="120"/>
      <c r="W22" s="70"/>
      <c r="X22" s="70"/>
      <c r="Y22" s="70"/>
      <c r="Z22" s="70"/>
      <c r="AA22" s="70"/>
      <c r="AB22" s="120"/>
      <c r="AC22" s="120"/>
      <c r="AD22" s="70"/>
      <c r="AE22" s="70"/>
      <c r="AF22" s="70"/>
      <c r="AG22" s="70"/>
      <c r="AH22" s="70"/>
      <c r="AI22" s="120"/>
      <c r="AJ22" s="12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120"/>
      <c r="H23" s="120"/>
      <c r="I23" s="70"/>
      <c r="J23" s="70"/>
      <c r="K23" s="70"/>
      <c r="L23" s="70"/>
      <c r="M23" s="70"/>
      <c r="N23" s="120"/>
      <c r="O23" s="120"/>
      <c r="P23" s="70"/>
      <c r="Q23" s="70"/>
      <c r="R23" s="70"/>
      <c r="S23" s="70"/>
      <c r="T23" s="70"/>
      <c r="U23" s="120"/>
      <c r="V23" s="120"/>
      <c r="W23" s="70"/>
      <c r="X23" s="70"/>
      <c r="Y23" s="70"/>
      <c r="Z23" s="70"/>
      <c r="AA23" s="70"/>
      <c r="AB23" s="120"/>
      <c r="AC23" s="120"/>
      <c r="AD23" s="70"/>
      <c r="AE23" s="70"/>
      <c r="AF23" s="70"/>
      <c r="AG23" s="70"/>
      <c r="AH23" s="70"/>
      <c r="AI23" s="120"/>
      <c r="AJ23" s="12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120"/>
      <c r="H24" s="120"/>
      <c r="I24" s="70"/>
      <c r="J24" s="70"/>
      <c r="K24" s="70"/>
      <c r="L24" s="70"/>
      <c r="M24" s="70"/>
      <c r="N24" s="120"/>
      <c r="O24" s="120"/>
      <c r="P24" s="70"/>
      <c r="Q24" s="70"/>
      <c r="R24" s="70"/>
      <c r="S24" s="70"/>
      <c r="T24" s="70"/>
      <c r="U24" s="120"/>
      <c r="V24" s="120"/>
      <c r="W24" s="70"/>
      <c r="X24" s="70"/>
      <c r="Y24" s="70"/>
      <c r="Z24" s="70"/>
      <c r="AA24" s="70"/>
      <c r="AB24" s="120"/>
      <c r="AC24" s="120"/>
      <c r="AD24" s="70"/>
      <c r="AE24" s="70"/>
      <c r="AF24" s="70"/>
      <c r="AG24" s="70"/>
      <c r="AH24" s="70"/>
      <c r="AI24" s="120"/>
      <c r="AJ24" s="12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120"/>
      <c r="H25" s="120"/>
      <c r="I25" s="70"/>
      <c r="J25" s="70"/>
      <c r="K25" s="70"/>
      <c r="L25" s="70"/>
      <c r="M25" s="70"/>
      <c r="N25" s="120"/>
      <c r="O25" s="120"/>
      <c r="P25" s="70"/>
      <c r="Q25" s="70"/>
      <c r="R25" s="70"/>
      <c r="S25" s="70"/>
      <c r="T25" s="70"/>
      <c r="U25" s="120"/>
      <c r="V25" s="120"/>
      <c r="W25" s="70"/>
      <c r="X25" s="70"/>
      <c r="Y25" s="70"/>
      <c r="Z25" s="70"/>
      <c r="AA25" s="70"/>
      <c r="AB25" s="120"/>
      <c r="AC25" s="120"/>
      <c r="AD25" s="70"/>
      <c r="AE25" s="70"/>
      <c r="AF25" s="70"/>
      <c r="AG25" s="70"/>
      <c r="AH25" s="70"/>
      <c r="AI25" s="120"/>
      <c r="AJ25" s="12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120"/>
      <c r="H26" s="120"/>
      <c r="I26" s="70"/>
      <c r="J26" s="70"/>
      <c r="K26" s="70"/>
      <c r="L26" s="70"/>
      <c r="M26" s="70"/>
      <c r="N26" s="120"/>
      <c r="O26" s="120"/>
      <c r="P26" s="70"/>
      <c r="Q26" s="70"/>
      <c r="R26" s="70"/>
      <c r="S26" s="70"/>
      <c r="T26" s="70"/>
      <c r="U26" s="120"/>
      <c r="V26" s="120"/>
      <c r="W26" s="70"/>
      <c r="X26" s="70"/>
      <c r="Y26" s="70"/>
      <c r="Z26" s="70"/>
      <c r="AA26" s="70"/>
      <c r="AB26" s="120"/>
      <c r="AC26" s="120"/>
      <c r="AD26" s="70"/>
      <c r="AE26" s="70"/>
      <c r="AF26" s="70"/>
      <c r="AG26" s="70"/>
      <c r="AH26" s="70"/>
      <c r="AI26" s="120"/>
      <c r="AJ26" s="12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120"/>
      <c r="H27" s="120"/>
      <c r="I27" s="70"/>
      <c r="J27" s="70"/>
      <c r="K27" s="70"/>
      <c r="L27" s="70"/>
      <c r="M27" s="70"/>
      <c r="N27" s="120"/>
      <c r="O27" s="120"/>
      <c r="P27" s="70"/>
      <c r="Q27" s="70"/>
      <c r="R27" s="70"/>
      <c r="S27" s="70"/>
      <c r="T27" s="70"/>
      <c r="U27" s="120"/>
      <c r="V27" s="120"/>
      <c r="W27" s="70"/>
      <c r="X27" s="70"/>
      <c r="Y27" s="70"/>
      <c r="Z27" s="70"/>
      <c r="AA27" s="70"/>
      <c r="AB27" s="120"/>
      <c r="AC27" s="120"/>
      <c r="AD27" s="70"/>
      <c r="AE27" s="70"/>
      <c r="AF27" s="70"/>
      <c r="AG27" s="70"/>
      <c r="AH27" s="70"/>
      <c r="AI27" s="120"/>
      <c r="AJ27" s="12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120"/>
      <c r="H28" s="120"/>
      <c r="I28" s="70"/>
      <c r="J28" s="70"/>
      <c r="K28" s="70"/>
      <c r="L28" s="70"/>
      <c r="M28" s="70"/>
      <c r="N28" s="120"/>
      <c r="O28" s="120"/>
      <c r="P28" s="70"/>
      <c r="Q28" s="70"/>
      <c r="R28" s="70"/>
      <c r="S28" s="70"/>
      <c r="T28" s="70"/>
      <c r="U28" s="120"/>
      <c r="V28" s="120"/>
      <c r="W28" s="70"/>
      <c r="X28" s="70"/>
      <c r="Y28" s="70"/>
      <c r="Z28" s="70"/>
      <c r="AA28" s="70"/>
      <c r="AB28" s="120"/>
      <c r="AC28" s="120"/>
      <c r="AD28" s="70"/>
      <c r="AE28" s="70"/>
      <c r="AF28" s="70"/>
      <c r="AG28" s="70"/>
      <c r="AH28" s="70"/>
      <c r="AI28" s="120"/>
      <c r="AJ28" s="12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120"/>
      <c r="H29" s="120"/>
      <c r="I29" s="70"/>
      <c r="J29" s="70"/>
      <c r="K29" s="70"/>
      <c r="L29" s="70"/>
      <c r="M29" s="70"/>
      <c r="N29" s="120"/>
      <c r="O29" s="120"/>
      <c r="P29" s="70"/>
      <c r="Q29" s="70"/>
      <c r="R29" s="70"/>
      <c r="S29" s="70"/>
      <c r="T29" s="70"/>
      <c r="U29" s="120"/>
      <c r="V29" s="120"/>
      <c r="W29" s="70"/>
      <c r="X29" s="70"/>
      <c r="Y29" s="70"/>
      <c r="Z29" s="70"/>
      <c r="AA29" s="70"/>
      <c r="AB29" s="120"/>
      <c r="AC29" s="120"/>
      <c r="AD29" s="70"/>
      <c r="AE29" s="70"/>
      <c r="AF29" s="70"/>
      <c r="AG29" s="70"/>
      <c r="AH29" s="70"/>
      <c r="AI29" s="120"/>
      <c r="AJ29" s="12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120"/>
      <c r="H30" s="120"/>
      <c r="I30" s="70"/>
      <c r="J30" s="70"/>
      <c r="K30" s="70"/>
      <c r="L30" s="70"/>
      <c r="M30" s="70"/>
      <c r="N30" s="120"/>
      <c r="O30" s="120"/>
      <c r="P30" s="70"/>
      <c r="Q30" s="70"/>
      <c r="R30" s="70"/>
      <c r="S30" s="70"/>
      <c r="T30" s="70"/>
      <c r="U30" s="120"/>
      <c r="V30" s="120"/>
      <c r="W30" s="70"/>
      <c r="X30" s="70"/>
      <c r="Y30" s="70"/>
      <c r="Z30" s="70"/>
      <c r="AA30" s="70"/>
      <c r="AB30" s="120"/>
      <c r="AC30" s="120"/>
      <c r="AD30" s="70"/>
      <c r="AE30" s="70"/>
      <c r="AF30" s="70"/>
      <c r="AG30" s="70"/>
      <c r="AH30" s="70"/>
      <c r="AI30" s="120"/>
      <c r="AJ30" s="12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120"/>
      <c r="H31" s="120"/>
      <c r="I31" s="70"/>
      <c r="J31" s="70"/>
      <c r="K31" s="70"/>
      <c r="L31" s="70"/>
      <c r="M31" s="70"/>
      <c r="N31" s="120"/>
      <c r="O31" s="120"/>
      <c r="P31" s="70"/>
      <c r="Q31" s="70"/>
      <c r="R31" s="70"/>
      <c r="S31" s="70"/>
      <c r="T31" s="70"/>
      <c r="U31" s="120"/>
      <c r="V31" s="120"/>
      <c r="W31" s="70"/>
      <c r="X31" s="70"/>
      <c r="Y31" s="70"/>
      <c r="Z31" s="70"/>
      <c r="AA31" s="70"/>
      <c r="AB31" s="120"/>
      <c r="AC31" s="120"/>
      <c r="AD31" s="70"/>
      <c r="AE31" s="70"/>
      <c r="AF31" s="70"/>
      <c r="AG31" s="70"/>
      <c r="AH31" s="70"/>
      <c r="AI31" s="120"/>
      <c r="AJ31" s="12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28"/>
      <c r="H32" s="120"/>
      <c r="I32" s="70"/>
      <c r="J32" s="70"/>
      <c r="K32" s="108"/>
      <c r="L32" s="108"/>
      <c r="M32" s="108"/>
      <c r="N32" s="128"/>
      <c r="O32" s="128"/>
      <c r="P32" s="70"/>
      <c r="Q32" s="70"/>
      <c r="R32" s="70"/>
      <c r="S32" s="108"/>
      <c r="T32" s="108"/>
      <c r="U32" s="128"/>
      <c r="V32" s="128"/>
      <c r="W32" s="108"/>
      <c r="X32" s="108"/>
      <c r="Y32" s="108"/>
      <c r="Z32" s="108"/>
      <c r="AA32" s="108"/>
      <c r="AB32" s="128"/>
      <c r="AC32" s="128"/>
      <c r="AD32" s="108"/>
      <c r="AE32" s="108"/>
      <c r="AF32" s="108"/>
      <c r="AG32" s="108"/>
      <c r="AH32" s="144"/>
      <c r="AI32" s="158"/>
      <c r="AJ32" s="158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120"/>
      <c r="H33" s="120"/>
      <c r="I33" s="70"/>
      <c r="J33" s="70"/>
      <c r="K33" s="70"/>
      <c r="L33" s="70"/>
      <c r="M33" s="70"/>
      <c r="N33" s="120"/>
      <c r="O33" s="120"/>
      <c r="P33" s="70"/>
      <c r="Q33" s="70"/>
      <c r="R33" s="70"/>
      <c r="S33" s="70"/>
      <c r="T33" s="70"/>
      <c r="U33" s="120"/>
      <c r="V33" s="120"/>
      <c r="W33" s="70"/>
      <c r="X33" s="70"/>
      <c r="Y33" s="70"/>
      <c r="Z33" s="70"/>
      <c r="AA33" s="70"/>
      <c r="AB33" s="120"/>
      <c r="AC33" s="120"/>
      <c r="AD33" s="70"/>
      <c r="AE33" s="70"/>
      <c r="AF33" s="70"/>
      <c r="AG33" s="70"/>
      <c r="AH33" s="70"/>
      <c r="AI33" s="120"/>
      <c r="AJ33" s="12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120"/>
      <c r="H34" s="120"/>
      <c r="I34" s="70"/>
      <c r="J34" s="70"/>
      <c r="K34" s="70"/>
      <c r="L34" s="70"/>
      <c r="M34" s="70"/>
      <c r="N34" s="120"/>
      <c r="O34" s="120"/>
      <c r="P34" s="70"/>
      <c r="Q34" s="70"/>
      <c r="R34" s="70"/>
      <c r="S34" s="70"/>
      <c r="T34" s="70"/>
      <c r="U34" s="120"/>
      <c r="V34" s="120"/>
      <c r="W34" s="70"/>
      <c r="X34" s="70"/>
      <c r="Y34" s="70"/>
      <c r="Z34" s="70"/>
      <c r="AA34" s="70"/>
      <c r="AB34" s="120"/>
      <c r="AC34" s="120"/>
      <c r="AD34" s="70"/>
      <c r="AE34" s="70"/>
      <c r="AF34" s="70"/>
      <c r="AG34" s="70"/>
      <c r="AH34" s="70"/>
      <c r="AI34" s="120"/>
      <c r="AJ34" s="12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120"/>
      <c r="H35" s="120"/>
      <c r="I35" s="70"/>
      <c r="J35" s="70"/>
      <c r="K35" s="70"/>
      <c r="L35" s="70"/>
      <c r="M35" s="70"/>
      <c r="N35" s="120"/>
      <c r="O35" s="120"/>
      <c r="P35" s="70"/>
      <c r="Q35" s="70"/>
      <c r="R35" s="70"/>
      <c r="S35" s="70"/>
      <c r="T35" s="70"/>
      <c r="U35" s="120"/>
      <c r="V35" s="120"/>
      <c r="W35" s="70"/>
      <c r="X35" s="70"/>
      <c r="Y35" s="70"/>
      <c r="Z35" s="70"/>
      <c r="AA35" s="70"/>
      <c r="AB35" s="120"/>
      <c r="AC35" s="120"/>
      <c r="AD35" s="70"/>
      <c r="AE35" s="70"/>
      <c r="AF35" s="70"/>
      <c r="AG35" s="70"/>
      <c r="AH35" s="70"/>
      <c r="AI35" s="120"/>
      <c r="AJ35" s="12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120"/>
      <c r="H36" s="120"/>
      <c r="I36" s="70"/>
      <c r="J36" s="70"/>
      <c r="K36" s="70"/>
      <c r="L36" s="70"/>
      <c r="M36" s="70"/>
      <c r="N36" s="120"/>
      <c r="O36" s="120"/>
      <c r="P36" s="70"/>
      <c r="Q36" s="70"/>
      <c r="R36" s="70"/>
      <c r="S36" s="70"/>
      <c r="T36" s="70"/>
      <c r="U36" s="120"/>
      <c r="V36" s="120"/>
      <c r="W36" s="70"/>
      <c r="X36" s="70"/>
      <c r="Y36" s="70"/>
      <c r="Z36" s="70"/>
      <c r="AA36" s="70"/>
      <c r="AB36" s="120"/>
      <c r="AC36" s="120"/>
      <c r="AD36" s="70"/>
      <c r="AE36" s="70"/>
      <c r="AF36" s="70"/>
      <c r="AG36" s="70"/>
      <c r="AH36" s="70"/>
      <c r="AI36" s="120"/>
      <c r="AJ36" s="12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8"/>
      <c r="H37" s="68"/>
      <c r="I37" s="64"/>
      <c r="J37" s="64"/>
      <c r="K37" s="64"/>
      <c r="L37" s="64"/>
      <c r="M37" s="64"/>
      <c r="N37" s="68"/>
      <c r="O37" s="68"/>
      <c r="P37" s="64"/>
      <c r="Q37" s="64"/>
      <c r="R37" s="64"/>
      <c r="S37" s="64"/>
      <c r="T37" s="64"/>
      <c r="U37" s="68"/>
      <c r="V37" s="68"/>
      <c r="W37" s="64"/>
      <c r="X37" s="64"/>
      <c r="Y37" s="64"/>
      <c r="Z37" s="64"/>
      <c r="AA37" s="64"/>
      <c r="AB37" s="68"/>
      <c r="AC37" s="68"/>
      <c r="AD37" s="64"/>
      <c r="AE37" s="64"/>
      <c r="AF37" s="64"/>
      <c r="AG37" s="64"/>
      <c r="AH37" s="64"/>
      <c r="AI37" s="68"/>
      <c r="AJ37" s="68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8"/>
      <c r="H38" s="68"/>
      <c r="I38" s="64"/>
      <c r="J38" s="64"/>
      <c r="K38" s="64"/>
      <c r="L38" s="64"/>
      <c r="M38" s="64"/>
      <c r="N38" s="68"/>
      <c r="O38" s="68"/>
      <c r="P38" s="64"/>
      <c r="Q38" s="64"/>
      <c r="R38" s="64"/>
      <c r="S38" s="64"/>
      <c r="T38" s="64"/>
      <c r="U38" s="68"/>
      <c r="V38" s="68"/>
      <c r="W38" s="64"/>
      <c r="X38" s="64"/>
      <c r="Y38" s="64"/>
      <c r="Z38" s="64"/>
      <c r="AA38" s="64"/>
      <c r="AB38" s="68"/>
      <c r="AC38" s="68"/>
      <c r="AD38" s="64"/>
      <c r="AE38" s="64"/>
      <c r="AF38" s="64"/>
      <c r="AG38" s="64"/>
      <c r="AH38" s="64"/>
      <c r="AI38" s="68"/>
      <c r="AJ38" s="68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120"/>
      <c r="H39" s="120"/>
      <c r="I39" s="70"/>
      <c r="J39" s="70"/>
      <c r="K39" s="70"/>
      <c r="L39" s="70"/>
      <c r="M39" s="70"/>
      <c r="N39" s="120"/>
      <c r="O39" s="120"/>
      <c r="P39" s="70"/>
      <c r="Q39" s="70"/>
      <c r="R39" s="70"/>
      <c r="S39" s="70"/>
      <c r="T39" s="70"/>
      <c r="U39" s="120"/>
      <c r="V39" s="120"/>
      <c r="W39" s="70"/>
      <c r="X39" s="70"/>
      <c r="Y39" s="70"/>
      <c r="Z39" s="70"/>
      <c r="AA39" s="70"/>
      <c r="AB39" s="120"/>
      <c r="AC39" s="120"/>
      <c r="AD39" s="70"/>
      <c r="AE39" s="70"/>
      <c r="AF39" s="70"/>
      <c r="AG39" s="70"/>
      <c r="AH39" s="70"/>
      <c r="AI39" s="120"/>
      <c r="AJ39" s="12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124"/>
      <c r="H40" s="124"/>
      <c r="I40" s="92"/>
      <c r="J40" s="92"/>
      <c r="K40" s="92"/>
      <c r="L40" s="92"/>
      <c r="M40" s="92"/>
      <c r="N40" s="124"/>
      <c r="O40" s="124"/>
      <c r="P40" s="92"/>
      <c r="Q40" s="92"/>
      <c r="R40" s="92"/>
      <c r="S40" s="92"/>
      <c r="T40" s="92"/>
      <c r="U40" s="124"/>
      <c r="V40" s="124"/>
      <c r="W40" s="92"/>
      <c r="X40" s="92"/>
      <c r="Y40" s="92"/>
      <c r="Z40" s="92"/>
      <c r="AA40" s="92"/>
      <c r="AB40" s="124"/>
      <c r="AC40" s="124"/>
      <c r="AD40" s="92"/>
      <c r="AE40" s="92"/>
      <c r="AF40" s="92"/>
      <c r="AG40" s="92"/>
      <c r="AH40" s="92"/>
      <c r="AI40" s="124"/>
      <c r="AJ40" s="124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131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127"/>
      <c r="H42" s="127"/>
      <c r="I42" s="62"/>
      <c r="J42" s="62"/>
      <c r="K42" s="62"/>
      <c r="L42" s="64"/>
      <c r="M42" s="64"/>
      <c r="N42" s="127"/>
      <c r="O42" s="127"/>
      <c r="P42" s="62"/>
      <c r="Q42" s="62"/>
      <c r="R42" s="62"/>
      <c r="S42" s="64"/>
      <c r="T42" s="64"/>
      <c r="U42" s="127"/>
      <c r="V42" s="127"/>
      <c r="W42" s="62"/>
      <c r="X42" s="62"/>
      <c r="Y42" s="62"/>
      <c r="Z42" s="64"/>
      <c r="AA42" s="64"/>
      <c r="AB42" s="127"/>
      <c r="AC42" s="127"/>
      <c r="AD42" s="62"/>
      <c r="AE42" s="62"/>
      <c r="AF42" s="62"/>
      <c r="AG42" s="64"/>
      <c r="AH42"/>
      <c r="AI42" s="125"/>
      <c r="AJ42" s="125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127"/>
      <c r="H43" s="127"/>
      <c r="I43" s="62"/>
      <c r="J43" s="62"/>
      <c r="K43" s="62"/>
      <c r="N43" s="127"/>
      <c r="O43" s="127"/>
      <c r="P43" s="62"/>
      <c r="Q43" s="62"/>
      <c r="R43" s="62"/>
      <c r="U43" s="127"/>
      <c r="V43" s="127"/>
      <c r="W43" s="62"/>
      <c r="X43" s="62"/>
      <c r="Y43" s="62"/>
      <c r="AB43" s="127"/>
      <c r="AC43" s="127"/>
      <c r="AD43" s="62"/>
      <c r="AE43" s="62"/>
      <c r="AF43" s="62"/>
      <c r="AH43"/>
      <c r="AI43" s="125"/>
      <c r="AJ43" s="125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127"/>
      <c r="H44" s="127"/>
      <c r="I44" s="62"/>
      <c r="J44" s="62"/>
      <c r="K44" s="62"/>
      <c r="L44" s="64"/>
      <c r="M44" s="64"/>
      <c r="N44" s="127"/>
      <c r="O44" s="127"/>
      <c r="P44" s="62"/>
      <c r="Q44" s="62"/>
      <c r="R44" s="62"/>
      <c r="S44" s="64"/>
      <c r="T44" s="64"/>
      <c r="U44" s="127"/>
      <c r="V44" s="127"/>
      <c r="W44" s="62"/>
      <c r="X44" s="62"/>
      <c r="Y44" s="62"/>
      <c r="Z44" s="64"/>
      <c r="AA44" s="64"/>
      <c r="AB44" s="127"/>
      <c r="AC44" s="127"/>
      <c r="AD44" s="62"/>
      <c r="AE44" s="62"/>
      <c r="AF44" s="62"/>
      <c r="AG44" s="64"/>
      <c r="AH44"/>
      <c r="AI44" s="125"/>
      <c r="AJ44" s="125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127"/>
      <c r="H45" s="127"/>
      <c r="I45" s="62"/>
      <c r="J45" s="62"/>
      <c r="K45" s="62"/>
      <c r="L45" s="64"/>
      <c r="M45" s="64"/>
      <c r="N45" s="127"/>
      <c r="O45" s="127"/>
      <c r="P45" s="62"/>
      <c r="Q45" s="62"/>
      <c r="R45" s="62"/>
      <c r="S45" s="64"/>
      <c r="T45" s="64"/>
      <c r="U45" s="127"/>
      <c r="V45" s="127"/>
      <c r="W45" s="62"/>
      <c r="X45" s="62"/>
      <c r="Y45" s="62"/>
      <c r="Z45" s="64"/>
      <c r="AA45" s="64"/>
      <c r="AB45" s="127"/>
      <c r="AC45" s="127"/>
      <c r="AD45" s="62"/>
      <c r="AE45" s="62"/>
      <c r="AF45" s="62"/>
      <c r="AG45" s="64"/>
      <c r="AH45"/>
      <c r="AI45" s="125"/>
      <c r="AJ45" s="12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127"/>
      <c r="H46" s="127"/>
      <c r="I46" s="62"/>
      <c r="J46" s="62"/>
      <c r="K46" s="62"/>
      <c r="L46" s="64"/>
      <c r="M46" s="64"/>
      <c r="N46" s="127"/>
      <c r="O46" s="127"/>
      <c r="P46" s="62"/>
      <c r="Q46" s="62"/>
      <c r="R46" s="62"/>
      <c r="S46" s="64"/>
      <c r="T46" s="64"/>
      <c r="U46" s="127"/>
      <c r="V46" s="127"/>
      <c r="W46" s="62"/>
      <c r="X46" s="62"/>
      <c r="Y46" s="62"/>
      <c r="Z46" s="64"/>
      <c r="AA46" s="64"/>
      <c r="AB46" s="127"/>
      <c r="AC46" s="127"/>
      <c r="AD46" s="62"/>
      <c r="AE46" s="62"/>
      <c r="AF46" s="62"/>
      <c r="AG46" s="64"/>
      <c r="AH46"/>
      <c r="AI46" s="125"/>
      <c r="AJ46" s="127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127"/>
      <c r="H47" s="127"/>
      <c r="I47" s="62"/>
      <c r="J47" s="62"/>
      <c r="K47" s="62"/>
      <c r="L47" s="64"/>
      <c r="M47" s="64"/>
      <c r="N47" s="127"/>
      <c r="O47" s="127"/>
      <c r="P47" s="62"/>
      <c r="Q47" s="62"/>
      <c r="R47" s="62"/>
      <c r="S47" s="64"/>
      <c r="T47" s="64"/>
      <c r="U47" s="127"/>
      <c r="V47" s="127"/>
      <c r="W47" s="62"/>
      <c r="X47" s="62"/>
      <c r="Y47" s="62"/>
      <c r="Z47" s="64"/>
      <c r="AA47" s="64"/>
      <c r="AB47" s="127"/>
      <c r="AC47" s="127"/>
      <c r="AD47" s="62"/>
      <c r="AE47" s="62"/>
      <c r="AF47" s="62"/>
      <c r="AG47" s="64"/>
      <c r="AH47"/>
      <c r="AI47" s="125"/>
      <c r="AJ47" s="125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127"/>
      <c r="H48" s="127"/>
      <c r="I48" s="62"/>
      <c r="J48" s="62"/>
      <c r="K48" s="62"/>
      <c r="L48" s="64"/>
      <c r="M48" s="64"/>
      <c r="N48" s="127"/>
      <c r="O48" s="127"/>
      <c r="P48" s="62"/>
      <c r="Q48" s="62"/>
      <c r="R48" s="62"/>
      <c r="S48" s="64"/>
      <c r="T48" s="64"/>
      <c r="U48" s="127"/>
      <c r="V48" s="127"/>
      <c r="W48" s="62"/>
      <c r="X48" s="62"/>
      <c r="Y48" s="62"/>
      <c r="Z48" s="64"/>
      <c r="AA48" s="64"/>
      <c r="AB48" s="127"/>
      <c r="AC48" s="127"/>
      <c r="AD48" s="62"/>
      <c r="AE48" s="62"/>
      <c r="AF48" s="62"/>
      <c r="AG48" s="64"/>
      <c r="AH48"/>
      <c r="AI48" s="125"/>
      <c r="AJ48" s="125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127"/>
      <c r="H49" s="127"/>
      <c r="I49" s="62"/>
      <c r="J49" s="62"/>
      <c r="K49" s="62"/>
      <c r="L49" s="64"/>
      <c r="M49" s="64"/>
      <c r="N49" s="127"/>
      <c r="O49" s="127"/>
      <c r="P49" s="62"/>
      <c r="Q49" s="62"/>
      <c r="R49" s="62"/>
      <c r="S49" s="64"/>
      <c r="T49" s="64"/>
      <c r="U49" s="127"/>
      <c r="V49" s="127"/>
      <c r="W49" s="62"/>
      <c r="X49" s="62"/>
      <c r="Y49" s="62"/>
      <c r="Z49" s="64"/>
      <c r="AA49" s="64"/>
      <c r="AB49" s="127"/>
      <c r="AC49" s="127"/>
      <c r="AD49" s="62"/>
      <c r="AE49" s="62"/>
      <c r="AF49" s="62"/>
      <c r="AG49" s="64"/>
      <c r="AH49"/>
      <c r="AI49" s="125"/>
      <c r="AJ49" s="125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127"/>
      <c r="H50" s="127"/>
      <c r="I50" s="62"/>
      <c r="J50" s="62"/>
      <c r="K50" s="62"/>
      <c r="L50" s="64"/>
      <c r="M50" s="64"/>
      <c r="N50" s="127"/>
      <c r="O50" s="127"/>
      <c r="P50" s="62"/>
      <c r="Q50" s="62"/>
      <c r="R50" s="62"/>
      <c r="S50" s="64"/>
      <c r="T50" s="64"/>
      <c r="U50" s="127"/>
      <c r="V50" s="127"/>
      <c r="W50" s="62"/>
      <c r="X50" s="62"/>
      <c r="Y50" s="62"/>
      <c r="Z50" s="64"/>
      <c r="AA50" s="64"/>
      <c r="AB50" s="127"/>
      <c r="AC50" s="127"/>
      <c r="AD50" s="62"/>
      <c r="AE50" s="62"/>
      <c r="AF50" s="62"/>
      <c r="AG50" s="64"/>
      <c r="AH50"/>
      <c r="AI50" s="125"/>
      <c r="AJ50" s="125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127"/>
      <c r="H51" s="127"/>
      <c r="I51" s="62"/>
      <c r="J51" s="62"/>
      <c r="K51" s="62"/>
      <c r="L51" s="64"/>
      <c r="M51" s="64"/>
      <c r="N51" s="127"/>
      <c r="O51" s="127"/>
      <c r="P51" s="62"/>
      <c r="Q51" s="62"/>
      <c r="R51" s="62"/>
      <c r="S51" s="64"/>
      <c r="T51" s="64"/>
      <c r="U51" s="127"/>
      <c r="V51" s="127"/>
      <c r="W51" s="62"/>
      <c r="X51" s="62"/>
      <c r="Y51" s="62"/>
      <c r="Z51" s="64"/>
      <c r="AA51" s="64"/>
      <c r="AB51" s="127"/>
      <c r="AC51" s="127"/>
      <c r="AD51" s="62"/>
      <c r="AE51" s="62"/>
      <c r="AF51" s="62"/>
      <c r="AG51" s="64"/>
      <c r="AH51"/>
      <c r="AI51" s="125"/>
      <c r="AJ51" s="125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127"/>
      <c r="H52" s="127"/>
      <c r="I52" s="62"/>
      <c r="J52" s="62"/>
      <c r="K52" s="62"/>
      <c r="L52" s="64"/>
      <c r="M52" s="64"/>
      <c r="N52" s="127"/>
      <c r="O52" s="127"/>
      <c r="P52" s="62"/>
      <c r="Q52" s="62"/>
      <c r="R52" s="62"/>
      <c r="S52" s="64"/>
      <c r="T52" s="64"/>
      <c r="U52" s="127"/>
      <c r="V52" s="127"/>
      <c r="W52" s="62"/>
      <c r="X52" s="62"/>
      <c r="Y52" s="62"/>
      <c r="Z52" s="64"/>
      <c r="AA52" s="64"/>
      <c r="AB52" s="127"/>
      <c r="AC52" s="127"/>
      <c r="AD52" s="62"/>
      <c r="AE52" s="62"/>
      <c r="AF52" s="62"/>
      <c r="AG52" s="64"/>
      <c r="AH52"/>
      <c r="AI52" s="125"/>
      <c r="AJ52" s="125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127"/>
      <c r="H53" s="127"/>
      <c r="I53" s="62"/>
      <c r="J53" s="62"/>
      <c r="K53" s="62"/>
      <c r="L53" s="64"/>
      <c r="M53" s="64"/>
      <c r="N53" s="127"/>
      <c r="O53" s="127"/>
      <c r="P53" s="62"/>
      <c r="Q53" s="62"/>
      <c r="R53" s="62"/>
      <c r="S53" s="64"/>
      <c r="T53" s="64"/>
      <c r="U53" s="127"/>
      <c r="V53" s="127"/>
      <c r="W53" s="62"/>
      <c r="X53" s="62"/>
      <c r="Y53" s="62"/>
      <c r="Z53" s="64"/>
      <c r="AA53" s="64"/>
      <c r="AB53" s="127"/>
      <c r="AC53" s="127"/>
      <c r="AD53" s="62"/>
      <c r="AE53" s="62"/>
      <c r="AF53" s="62"/>
      <c r="AG53" s="64"/>
      <c r="AH53"/>
      <c r="AI53" s="125"/>
      <c r="AJ53" s="125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127"/>
      <c r="H54" s="127"/>
      <c r="I54" s="62"/>
      <c r="J54" s="62"/>
      <c r="K54" s="62"/>
      <c r="L54" s="64"/>
      <c r="M54" s="64"/>
      <c r="N54" s="127"/>
      <c r="O54" s="127"/>
      <c r="P54" s="62"/>
      <c r="Q54" s="62"/>
      <c r="R54" s="62"/>
      <c r="S54" s="64"/>
      <c r="T54" s="64"/>
      <c r="U54" s="127"/>
      <c r="V54" s="127"/>
      <c r="W54" s="62"/>
      <c r="X54" s="62"/>
      <c r="Y54" s="62"/>
      <c r="Z54" s="64"/>
      <c r="AA54" s="64"/>
      <c r="AB54" s="127"/>
      <c r="AC54" s="127"/>
      <c r="AD54" s="62"/>
      <c r="AE54" s="62"/>
      <c r="AF54" s="62"/>
      <c r="AG54" s="64"/>
      <c r="AH54"/>
      <c r="AI54" s="125"/>
      <c r="AJ54" s="125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127"/>
      <c r="H55" s="127"/>
      <c r="I55" s="62"/>
      <c r="J55" s="62"/>
      <c r="K55" s="62"/>
      <c r="L55" s="64"/>
      <c r="M55" s="64"/>
      <c r="N55" s="127"/>
      <c r="O55" s="127"/>
      <c r="P55" s="62"/>
      <c r="Q55" s="62"/>
      <c r="R55" s="62"/>
      <c r="S55" s="64"/>
      <c r="T55" s="64"/>
      <c r="U55" s="127"/>
      <c r="V55" s="127"/>
      <c r="W55" s="62"/>
      <c r="X55" s="62"/>
      <c r="Y55" s="62"/>
      <c r="Z55" s="64"/>
      <c r="AA55" s="64"/>
      <c r="AB55" s="127"/>
      <c r="AC55" s="127"/>
      <c r="AD55" s="62"/>
      <c r="AE55" s="62"/>
      <c r="AF55" s="62"/>
      <c r="AG55" s="64"/>
      <c r="AH55"/>
      <c r="AI55" s="125"/>
      <c r="AJ55" s="12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127"/>
      <c r="H56" s="127"/>
      <c r="I56" s="62"/>
      <c r="J56" s="62"/>
      <c r="K56" s="62"/>
      <c r="L56" s="64"/>
      <c r="M56" s="64"/>
      <c r="N56" s="127"/>
      <c r="O56" s="127"/>
      <c r="P56" s="62"/>
      <c r="Q56" s="62"/>
      <c r="R56" s="62"/>
      <c r="S56" s="64"/>
      <c r="T56" s="64"/>
      <c r="U56" s="127"/>
      <c r="V56" s="127"/>
      <c r="W56" s="62"/>
      <c r="X56" s="62"/>
      <c r="Y56" s="62"/>
      <c r="Z56" s="64"/>
      <c r="AA56" s="64"/>
      <c r="AB56" s="127"/>
      <c r="AC56" s="127"/>
      <c r="AD56" s="62"/>
      <c r="AE56" s="62"/>
      <c r="AF56" s="62"/>
      <c r="AG56" s="64"/>
      <c r="AH56"/>
      <c r="AI56" s="125"/>
      <c r="AJ56" s="125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127"/>
      <c r="H57" s="127"/>
      <c r="I57" s="62"/>
      <c r="J57" s="62"/>
      <c r="K57" s="62"/>
      <c r="L57" s="64"/>
      <c r="M57" s="64"/>
      <c r="N57" s="127"/>
      <c r="O57" s="127"/>
      <c r="P57" s="62"/>
      <c r="Q57" s="62"/>
      <c r="R57" s="62"/>
      <c r="S57" s="64"/>
      <c r="T57" s="64"/>
      <c r="U57" s="127"/>
      <c r="V57" s="127"/>
      <c r="W57" s="62"/>
      <c r="X57" s="62"/>
      <c r="Y57" s="62"/>
      <c r="Z57" s="64"/>
      <c r="AA57" s="64"/>
      <c r="AB57" s="127"/>
      <c r="AC57" s="127"/>
      <c r="AD57" s="62"/>
      <c r="AE57" s="62"/>
      <c r="AF57" s="62"/>
      <c r="AG57" s="64"/>
      <c r="AH57"/>
      <c r="AI57" s="125"/>
      <c r="AJ57" s="125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127"/>
      <c r="H58" s="127"/>
      <c r="I58" s="62"/>
      <c r="J58" s="62"/>
      <c r="K58" s="62"/>
      <c r="L58" s="64"/>
      <c r="M58" s="64"/>
      <c r="N58" s="127"/>
      <c r="O58" s="127"/>
      <c r="P58" s="62"/>
      <c r="Q58" s="62"/>
      <c r="R58" s="62"/>
      <c r="S58" s="64"/>
      <c r="T58" s="64"/>
      <c r="U58" s="127"/>
      <c r="V58" s="127"/>
      <c r="W58" s="62"/>
      <c r="X58" s="62"/>
      <c r="Y58" s="62"/>
      <c r="Z58" s="64"/>
      <c r="AA58" s="64"/>
      <c r="AB58" s="127"/>
      <c r="AC58" s="127"/>
      <c r="AD58" s="62"/>
      <c r="AE58" s="62"/>
      <c r="AF58" s="62"/>
      <c r="AG58" s="64"/>
      <c r="AH58"/>
      <c r="AI58" s="125"/>
      <c r="AJ58" s="125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120"/>
      <c r="H59" s="120"/>
      <c r="I59" s="70"/>
      <c r="J59" s="70"/>
      <c r="M59" s="70"/>
      <c r="N59" s="120"/>
      <c r="O59" s="120"/>
      <c r="P59" s="70"/>
      <c r="Q59" s="70"/>
      <c r="T59" s="70"/>
      <c r="U59" s="120"/>
      <c r="V59" s="120"/>
      <c r="W59" s="70"/>
      <c r="X59" s="70"/>
      <c r="AA59" s="70"/>
      <c r="AB59" s="120"/>
      <c r="AC59" s="120"/>
      <c r="AD59" s="70"/>
      <c r="AE59" s="70"/>
      <c r="AH59" s="70"/>
      <c r="AI59" s="120"/>
      <c r="AJ59" s="12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121"/>
      <c r="H60" s="121"/>
      <c r="I60" s="73"/>
      <c r="J60" s="73"/>
      <c r="K60" s="92"/>
      <c r="L60" s="92"/>
      <c r="M60" s="73"/>
      <c r="N60" s="121"/>
      <c r="O60" s="121"/>
      <c r="P60" s="73"/>
      <c r="Q60" s="73"/>
      <c r="R60" s="92"/>
      <c r="S60" s="92"/>
      <c r="T60" s="73"/>
      <c r="U60" s="121"/>
      <c r="V60" s="121"/>
      <c r="W60" s="73"/>
      <c r="X60" s="73"/>
      <c r="Y60" s="92"/>
      <c r="Z60" s="92"/>
      <c r="AA60" s="73"/>
      <c r="AB60" s="121"/>
      <c r="AC60" s="121"/>
      <c r="AD60" s="73"/>
      <c r="AE60" s="73"/>
      <c r="AF60" s="92"/>
      <c r="AG60" s="92"/>
      <c r="AH60" s="73"/>
      <c r="AI60" s="121"/>
      <c r="AJ60" s="121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120"/>
      <c r="H61" s="120"/>
      <c r="I61" s="70"/>
      <c r="J61" s="70"/>
      <c r="M61" s="70"/>
      <c r="N61" s="120"/>
      <c r="O61" s="120"/>
      <c r="P61" s="70"/>
      <c r="Q61" s="70"/>
      <c r="T61" s="70"/>
      <c r="U61" s="120"/>
      <c r="V61" s="120"/>
      <c r="W61" s="70"/>
      <c r="X61" s="70"/>
      <c r="AA61" s="70"/>
      <c r="AB61" s="120"/>
      <c r="AC61" s="120"/>
      <c r="AD61" s="70"/>
      <c r="AE61" s="70"/>
      <c r="AH61" s="70"/>
      <c r="AI61" s="120"/>
      <c r="AJ61" s="12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122"/>
      <c r="O66" s="122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120"/>
      <c r="L74" s="70"/>
      <c r="N74" s="120"/>
      <c r="O74" s="120"/>
      <c r="P74" s="70"/>
      <c r="R74" s="70"/>
      <c r="S74" s="70"/>
      <c r="T74" s="70"/>
      <c r="U74" s="120"/>
      <c r="V74" s="120"/>
      <c r="W74" s="70"/>
      <c r="X74" s="70"/>
      <c r="Y74" s="70"/>
      <c r="Z74" s="70"/>
      <c r="AA74" s="70"/>
      <c r="AB74" s="120"/>
      <c r="AC74" s="120"/>
      <c r="AD74" s="70"/>
      <c r="AE74" s="70"/>
      <c r="AF74" s="70"/>
      <c r="AG74" s="70"/>
      <c r="AH74" s="70"/>
      <c r="AI74" s="120"/>
      <c r="AJ74" s="12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26"/>
      <c r="H76" s="126"/>
      <c r="I76" s="100"/>
      <c r="J76" s="100"/>
      <c r="K76" s="100"/>
      <c r="L76" s="92"/>
      <c r="M76" s="92"/>
      <c r="N76" s="126"/>
      <c r="O76" s="126"/>
      <c r="P76" s="100"/>
      <c r="Q76" s="100"/>
      <c r="R76" s="100"/>
      <c r="S76" s="92"/>
      <c r="T76" s="92"/>
      <c r="U76" s="126"/>
      <c r="V76" s="126"/>
      <c r="W76" s="100"/>
      <c r="X76" s="100"/>
      <c r="Y76" s="100"/>
      <c r="Z76" s="92"/>
      <c r="AA76" s="92"/>
      <c r="AB76" s="126"/>
      <c r="AC76" s="126"/>
      <c r="AD76" s="100"/>
      <c r="AE76" s="100"/>
      <c r="AF76" s="100"/>
      <c r="AG76" s="92"/>
      <c r="AH76" s="98"/>
      <c r="AI76" s="130"/>
      <c r="AJ76" s="130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120"/>
      <c r="AD83" s="70"/>
      <c r="AF83" s="70"/>
      <c r="AG83" s="70"/>
      <c r="AI83" s="120"/>
      <c r="AJ83" s="12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12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124"/>
      <c r="H87" s="124"/>
      <c r="I87" s="92"/>
      <c r="J87" s="92"/>
      <c r="K87" s="92"/>
      <c r="L87" s="92"/>
      <c r="M87" s="92"/>
      <c r="N87" s="124"/>
      <c r="O87" s="124"/>
      <c r="P87" s="92"/>
      <c r="Q87" s="92"/>
      <c r="R87" s="92"/>
      <c r="S87" s="92"/>
      <c r="T87" s="92"/>
      <c r="U87" s="124"/>
      <c r="V87" s="121"/>
      <c r="W87" s="92"/>
      <c r="X87" s="92"/>
      <c r="Y87" s="73"/>
      <c r="Z87" s="92"/>
      <c r="AA87" s="92"/>
      <c r="AB87" s="124"/>
      <c r="AC87" s="124"/>
      <c r="AD87" s="92"/>
      <c r="AE87" s="92"/>
      <c r="AF87" s="92"/>
      <c r="AG87" s="92"/>
      <c r="AH87" s="92"/>
      <c r="AI87" s="124"/>
      <c r="AJ87" s="124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8"/>
      <c r="H88" s="131"/>
      <c r="I88" s="64"/>
      <c r="J88" s="64"/>
      <c r="K88" s="64"/>
      <c r="L88" s="64"/>
      <c r="M88" s="64"/>
      <c r="N88" s="68"/>
      <c r="O88" s="68"/>
      <c r="P88" s="64"/>
      <c r="Q88" s="64"/>
      <c r="R88" s="64"/>
      <c r="S88" s="64"/>
      <c r="T88" s="64"/>
      <c r="U88" s="68"/>
      <c r="V88" s="68"/>
      <c r="W88"/>
      <c r="X88"/>
      <c r="Y88" s="64"/>
      <c r="Z88" s="64"/>
      <c r="AA88"/>
      <c r="AB88" s="68"/>
      <c r="AC88" s="68"/>
      <c r="AD88" s="64"/>
      <c r="AE88" s="64"/>
      <c r="AF88" s="64"/>
      <c r="AG88" s="64"/>
      <c r="AH88" s="64"/>
      <c r="AI88" s="68"/>
      <c r="AJ88" s="68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120"/>
      <c r="H89" s="120"/>
      <c r="I89" s="70"/>
      <c r="J89" s="70"/>
      <c r="K89" s="70"/>
      <c r="L89" s="70"/>
      <c r="M89" s="70"/>
      <c r="N89" s="120"/>
      <c r="O89" s="68"/>
      <c r="P89" s="70"/>
      <c r="Q89" s="70"/>
      <c r="R89" s="70"/>
      <c r="S89" s="70"/>
      <c r="T89" s="70"/>
      <c r="U89" s="68"/>
      <c r="V89" s="68"/>
      <c r="W89" s="64"/>
      <c r="X89" s="64"/>
      <c r="Y89" s="70"/>
      <c r="Z89" s="70"/>
      <c r="AA89" s="70"/>
      <c r="AB89" s="120"/>
      <c r="AC89" s="68"/>
      <c r="AD89" s="70"/>
      <c r="AE89" s="64"/>
      <c r="AF89" s="70"/>
      <c r="AG89" s="70"/>
      <c r="AH89" s="70"/>
      <c r="AI89" s="68"/>
      <c r="AJ89" s="12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120"/>
      <c r="H90" s="120"/>
      <c r="I90" s="70"/>
      <c r="J90" s="70"/>
      <c r="K90" s="70"/>
      <c r="L90" s="70"/>
      <c r="M90" s="70"/>
      <c r="N90" s="120"/>
      <c r="O90" s="120"/>
      <c r="P90" s="70"/>
      <c r="Q90" s="70"/>
      <c r="R90" s="70"/>
      <c r="S90" s="70"/>
      <c r="T90" s="70"/>
      <c r="U90" s="120"/>
      <c r="V90" s="120"/>
      <c r="W90" s="70"/>
      <c r="X90" s="70"/>
      <c r="Y90" s="70"/>
      <c r="Z90" s="70"/>
      <c r="AA90" s="70"/>
      <c r="AB90" s="120"/>
      <c r="AC90" s="120"/>
      <c r="AD90" s="70"/>
      <c r="AE90" s="70"/>
      <c r="AF90" s="70"/>
      <c r="AG90" s="70"/>
      <c r="AH90" s="70"/>
      <c r="AI90" s="120"/>
      <c r="AJ90" s="12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120"/>
      <c r="H91" s="120"/>
      <c r="I91" s="70"/>
      <c r="J91" s="70"/>
      <c r="K91" s="70"/>
      <c r="L91" s="70"/>
      <c r="M91" s="70"/>
      <c r="N91" s="120"/>
      <c r="O91" s="120"/>
      <c r="P91" s="70"/>
      <c r="Q91" s="70"/>
      <c r="R91" s="70"/>
      <c r="S91" s="70"/>
      <c r="T91" s="70"/>
      <c r="U91" s="120"/>
      <c r="V91" s="120"/>
      <c r="W91" s="70"/>
      <c r="X91" s="70"/>
      <c r="Y91" s="70"/>
      <c r="Z91" s="70"/>
      <c r="AA91" s="70"/>
      <c r="AB91" s="120"/>
      <c r="AC91" s="120"/>
      <c r="AD91" s="70"/>
      <c r="AE91" s="70"/>
      <c r="AF91" s="70"/>
      <c r="AG91" s="70"/>
      <c r="AH91" s="70"/>
      <c r="AI91" s="120"/>
      <c r="AJ91" s="12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120"/>
      <c r="H92" s="120"/>
      <c r="I92" s="70"/>
      <c r="J92" s="70"/>
      <c r="K92" s="70"/>
      <c r="L92" s="70"/>
      <c r="M92" s="70"/>
      <c r="N92" s="120"/>
      <c r="O92" s="120"/>
      <c r="P92" s="70"/>
      <c r="Q92" s="70"/>
      <c r="R92" s="70"/>
      <c r="S92" s="70"/>
      <c r="T92" s="70"/>
      <c r="U92" s="120"/>
      <c r="V92" s="120"/>
      <c r="W92" s="70"/>
      <c r="X92" s="70"/>
      <c r="Y92" s="70"/>
      <c r="Z92" s="70"/>
      <c r="AA92" s="70"/>
      <c r="AB92" s="120"/>
      <c r="AC92" s="120"/>
      <c r="AD92" s="70"/>
      <c r="AE92" s="70"/>
      <c r="AF92" s="70"/>
      <c r="AG92" s="70"/>
      <c r="AH92" s="70"/>
      <c r="AI92" s="120"/>
      <c r="AJ92" s="12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120"/>
      <c r="H93" s="120"/>
      <c r="I93" s="70"/>
      <c r="J93" s="70"/>
      <c r="K93" s="70"/>
      <c r="L93" s="70"/>
      <c r="M93" s="70"/>
      <c r="N93" s="120"/>
      <c r="O93" s="120"/>
      <c r="P93" s="70"/>
      <c r="Q93" s="70"/>
      <c r="R93" s="70"/>
      <c r="S93" s="70"/>
      <c r="T93" s="70"/>
      <c r="U93" s="120"/>
      <c r="V93" s="120"/>
      <c r="W93" s="70"/>
      <c r="X93" s="70"/>
      <c r="Y93" s="70"/>
      <c r="Z93" s="70"/>
      <c r="AA93" s="70"/>
      <c r="AB93" s="120"/>
      <c r="AC93" s="120"/>
      <c r="AD93" s="70"/>
      <c r="AE93" s="70"/>
      <c r="AF93" s="70"/>
      <c r="AG93" s="70"/>
      <c r="AH93" s="70"/>
      <c r="AI93" s="120"/>
      <c r="AJ93" s="12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120"/>
      <c r="H94" s="120"/>
      <c r="I94" s="70"/>
      <c r="J94" s="70"/>
      <c r="K94" s="70"/>
      <c r="L94" s="70"/>
      <c r="M94" s="70"/>
      <c r="N94" s="120"/>
      <c r="O94" s="120"/>
      <c r="P94" s="70"/>
      <c r="Q94" s="70"/>
      <c r="R94" s="70"/>
      <c r="S94" s="70"/>
      <c r="T94" s="70"/>
      <c r="U94" s="120"/>
      <c r="V94" s="120"/>
      <c r="W94" s="70"/>
      <c r="X94" s="70"/>
      <c r="Y94" s="70"/>
      <c r="Z94" s="70"/>
      <c r="AA94" s="70"/>
      <c r="AB94" s="120"/>
      <c r="AC94" s="120"/>
      <c r="AD94" s="70"/>
      <c r="AE94" s="70"/>
      <c r="AF94" s="70"/>
      <c r="AG94" s="70"/>
      <c r="AH94" s="70"/>
      <c r="AI94" s="120"/>
      <c r="AJ94" s="12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120"/>
      <c r="H95" s="120"/>
      <c r="I95" s="70"/>
      <c r="J95" s="70"/>
      <c r="K95" s="70"/>
      <c r="L95" s="70"/>
      <c r="M95" s="70"/>
      <c r="N95" s="120"/>
      <c r="O95" s="120"/>
      <c r="P95" s="70"/>
      <c r="Q95" s="70"/>
      <c r="R95" s="70"/>
      <c r="S95" s="70"/>
      <c r="T95" s="70"/>
      <c r="U95" s="120"/>
      <c r="V95" s="120"/>
      <c r="W95" s="70"/>
      <c r="X95" s="70"/>
      <c r="Y95" s="70"/>
      <c r="Z95" s="70"/>
      <c r="AA95" s="70"/>
      <c r="AB95" s="120"/>
      <c r="AC95" s="120"/>
      <c r="AD95" s="70"/>
      <c r="AE95" s="70"/>
      <c r="AF95" s="70"/>
      <c r="AG95" s="70"/>
      <c r="AH95" s="70"/>
      <c r="AI95" s="120"/>
      <c r="AJ95" s="12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8"/>
      <c r="H105" s="68"/>
      <c r="I105" s="64"/>
      <c r="J105" s="64"/>
      <c r="K105" s="64"/>
      <c r="L105" s="64"/>
      <c r="M105" s="64"/>
      <c r="N105" s="68"/>
      <c r="O105" s="68"/>
      <c r="P105" s="64"/>
      <c r="Q105" s="64"/>
      <c r="R105" s="64"/>
      <c r="S105" s="64"/>
      <c r="T105" s="64"/>
      <c r="U105" s="68"/>
      <c r="V105" s="68"/>
      <c r="W105" s="64"/>
      <c r="X105" s="64"/>
      <c r="Y105" s="64"/>
      <c r="Z105" s="64"/>
      <c r="AA105" s="64"/>
      <c r="AB105" s="68"/>
      <c r="AC105" s="68"/>
      <c r="AD105" s="64"/>
      <c r="AE105" s="64"/>
      <c r="AF105" s="64"/>
      <c r="AG105" s="64"/>
      <c r="AH105" s="64"/>
      <c r="AI105" s="68"/>
      <c r="AJ105" s="68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8"/>
      <c r="H106" s="68"/>
      <c r="I106" s="64"/>
      <c r="J106" s="64"/>
      <c r="K106" s="64"/>
      <c r="L106" s="64"/>
      <c r="M106" s="64"/>
      <c r="N106" s="68"/>
      <c r="O106" s="68"/>
      <c r="P106" s="64"/>
      <c r="Q106" s="64"/>
      <c r="R106" s="64"/>
      <c r="S106" s="64"/>
      <c r="T106" s="64"/>
      <c r="U106" s="68"/>
      <c r="V106" s="68"/>
      <c r="W106" s="64"/>
      <c r="X106" s="64"/>
      <c r="Y106" s="64"/>
      <c r="Z106" s="64"/>
      <c r="AA106" s="64"/>
      <c r="AB106" s="68"/>
      <c r="AC106" s="68"/>
      <c r="AD106" s="64"/>
      <c r="AE106" s="64"/>
      <c r="AF106" s="64"/>
      <c r="AG106" s="64"/>
      <c r="AH106" s="64"/>
      <c r="AI106" s="68"/>
      <c r="AJ106" s="68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8"/>
      <c r="H107" s="68"/>
      <c r="I107" s="64"/>
      <c r="J107" s="64"/>
      <c r="K107" s="64"/>
      <c r="L107" s="64"/>
      <c r="M107" s="64"/>
      <c r="N107" s="68"/>
      <c r="O107" s="68"/>
      <c r="P107" s="64"/>
      <c r="Q107" s="64"/>
      <c r="R107" s="64"/>
      <c r="S107" s="64"/>
      <c r="T107" s="64"/>
      <c r="U107" s="68"/>
      <c r="V107" s="68"/>
      <c r="W107" s="64"/>
      <c r="X107" s="64"/>
      <c r="Y107" s="64"/>
      <c r="Z107" s="64"/>
      <c r="AA107" s="64"/>
      <c r="AB107" s="68"/>
      <c r="AC107" s="68"/>
      <c r="AD107" s="64"/>
      <c r="AE107" s="64"/>
      <c r="AF107" s="64"/>
      <c r="AG107" s="64"/>
      <c r="AH107" s="64"/>
      <c r="AI107" s="68"/>
      <c r="AJ107" s="68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8"/>
      <c r="H108" s="68"/>
      <c r="I108" s="64"/>
      <c r="J108" s="64"/>
      <c r="K108" s="64"/>
      <c r="L108" s="64"/>
      <c r="M108" s="64"/>
      <c r="N108" s="68"/>
      <c r="O108" s="68"/>
      <c r="P108" s="64"/>
      <c r="Q108" s="64"/>
      <c r="R108" s="64"/>
      <c r="S108" s="64"/>
      <c r="T108" s="64"/>
      <c r="U108" s="68"/>
      <c r="V108" s="68"/>
      <c r="W108" s="64"/>
      <c r="X108" s="64"/>
      <c r="Y108" s="64"/>
      <c r="Z108" s="64"/>
      <c r="AA108" s="64"/>
      <c r="AB108" s="68"/>
      <c r="AC108" s="68"/>
      <c r="AD108" s="64"/>
      <c r="AE108" s="64"/>
      <c r="AF108" s="64"/>
      <c r="AG108" s="64"/>
      <c r="AH108" s="64"/>
      <c r="AI108" s="68"/>
      <c r="AJ108" s="68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8"/>
      <c r="H109" s="68"/>
      <c r="I109" s="64"/>
      <c r="J109" s="64"/>
      <c r="K109" s="64"/>
      <c r="L109" s="64"/>
      <c r="M109" s="64"/>
      <c r="N109" s="68"/>
      <c r="O109" s="68"/>
      <c r="P109" s="64"/>
      <c r="Q109" s="64"/>
      <c r="R109" s="64"/>
      <c r="S109" s="64"/>
      <c r="T109" s="64"/>
      <c r="U109" s="68"/>
      <c r="V109" s="68"/>
      <c r="W109" s="64"/>
      <c r="X109" s="64"/>
      <c r="Y109" s="64"/>
      <c r="Z109" s="64"/>
      <c r="AA109" s="64"/>
      <c r="AB109" s="68"/>
      <c r="AC109" s="68"/>
      <c r="AD109" s="64"/>
      <c r="AE109" s="64"/>
      <c r="AF109" s="64"/>
      <c r="AG109" s="64"/>
      <c r="AH109" s="64"/>
      <c r="AI109" s="68"/>
      <c r="AJ109" s="68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8"/>
      <c r="H110" s="68"/>
      <c r="I110" s="64"/>
      <c r="J110" s="64"/>
      <c r="K110" s="64"/>
      <c r="L110" s="64"/>
      <c r="M110" s="64"/>
      <c r="N110" s="68"/>
      <c r="O110" s="68"/>
      <c r="P110" s="64"/>
      <c r="Q110" s="64"/>
      <c r="R110" s="64"/>
      <c r="S110" s="64"/>
      <c r="T110" s="64"/>
      <c r="U110" s="68"/>
      <c r="V110" s="68"/>
      <c r="W110" s="64"/>
      <c r="X110" s="64"/>
      <c r="Y110" s="64"/>
      <c r="Z110" s="64"/>
      <c r="AA110" s="64"/>
      <c r="AB110" s="68"/>
      <c r="AC110" s="68"/>
      <c r="AD110" s="64"/>
      <c r="AE110" s="64"/>
      <c r="AF110" s="64"/>
      <c r="AG110" s="64"/>
      <c r="AH110" s="64"/>
      <c r="AI110" s="68"/>
      <c r="AJ110" s="68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8"/>
      <c r="H111" s="68"/>
      <c r="I111" s="64"/>
      <c r="J111" s="64"/>
      <c r="K111" s="64"/>
      <c r="L111" s="64"/>
      <c r="M111" s="64"/>
      <c r="N111" s="68"/>
      <c r="O111" s="68"/>
      <c r="P111" s="64"/>
      <c r="Q111" s="64"/>
      <c r="R111" s="64"/>
      <c r="S111" s="64"/>
      <c r="T111" s="64"/>
      <c r="U111" s="68"/>
      <c r="V111" s="68"/>
      <c r="W111" s="64"/>
      <c r="X111" s="64"/>
      <c r="Y111" s="64"/>
      <c r="Z111" s="64"/>
      <c r="AA111" s="64"/>
      <c r="AB111" s="68"/>
      <c r="AC111" s="68"/>
      <c r="AD111" s="64"/>
      <c r="AE111" s="64"/>
      <c r="AF111" s="64"/>
      <c r="AG111" s="64"/>
      <c r="AH111" s="64"/>
      <c r="AI111" s="68"/>
      <c r="AJ111" s="68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8"/>
      <c r="H112" s="68"/>
      <c r="I112" s="64"/>
      <c r="J112" s="64"/>
      <c r="K112" s="64"/>
      <c r="L112" s="64"/>
      <c r="M112" s="64"/>
      <c r="N112" s="68"/>
      <c r="O112" s="68"/>
      <c r="P112" s="64"/>
      <c r="Q112" s="64"/>
      <c r="R112" s="64"/>
      <c r="S112" s="64"/>
      <c r="T112" s="64"/>
      <c r="U112" s="68"/>
      <c r="V112" s="68"/>
      <c r="W112" s="64"/>
      <c r="X112" s="64"/>
      <c r="Y112" s="64"/>
      <c r="Z112" s="64"/>
      <c r="AA112" s="64"/>
      <c r="AB112" s="68"/>
      <c r="AC112" s="68"/>
      <c r="AD112" s="64"/>
      <c r="AE112" s="64"/>
      <c r="AF112" s="64"/>
      <c r="AG112" s="64"/>
      <c r="AH112" s="64"/>
      <c r="AI112" s="68"/>
      <c r="AJ112" s="68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8"/>
      <c r="H113" s="68"/>
      <c r="I113" s="64"/>
      <c r="J113" s="64"/>
      <c r="K113" s="64"/>
      <c r="L113" s="64"/>
      <c r="M113" s="64"/>
      <c r="N113" s="68"/>
      <c r="O113" s="68"/>
      <c r="P113" s="64"/>
      <c r="Q113" s="64"/>
      <c r="R113" s="64"/>
      <c r="S113" s="64"/>
      <c r="T113" s="64"/>
      <c r="U113" s="68"/>
      <c r="V113" s="68"/>
      <c r="W113" s="64"/>
      <c r="X113" s="64"/>
      <c r="Y113" s="64"/>
      <c r="Z113" s="64"/>
      <c r="AA113" s="64"/>
      <c r="AB113" s="68"/>
      <c r="AC113" s="68"/>
      <c r="AD113" s="64"/>
      <c r="AE113" s="64"/>
      <c r="AF113" s="64"/>
      <c r="AG113" s="64"/>
      <c r="AH113" s="64"/>
      <c r="AI113" s="68"/>
      <c r="AJ113" s="68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8"/>
      <c r="H114" s="68"/>
      <c r="I114" s="64"/>
      <c r="J114" s="64"/>
      <c r="K114" s="64"/>
      <c r="L114" s="64"/>
      <c r="M114" s="64"/>
      <c r="N114" s="68"/>
      <c r="O114" s="68"/>
      <c r="P114" s="64"/>
      <c r="Q114" s="64"/>
      <c r="R114" s="64"/>
      <c r="S114" s="64"/>
      <c r="T114" s="64"/>
      <c r="U114" s="68"/>
      <c r="V114" s="68"/>
      <c r="W114" s="64"/>
      <c r="X114" s="64"/>
      <c r="Y114" s="64"/>
      <c r="Z114" s="64"/>
      <c r="AA114" s="64"/>
      <c r="AB114" s="68"/>
      <c r="AC114" s="68"/>
      <c r="AD114" s="64"/>
      <c r="AE114" s="64"/>
      <c r="AF114" s="64"/>
      <c r="AG114" s="64"/>
      <c r="AH114" s="64"/>
      <c r="AI114" s="68"/>
      <c r="AJ114" s="68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8"/>
      <c r="H115" s="68"/>
      <c r="I115" s="64"/>
      <c r="J115" s="64"/>
      <c r="K115" s="64"/>
      <c r="L115" s="64"/>
      <c r="M115" s="64"/>
      <c r="N115" s="68"/>
      <c r="O115" s="68"/>
      <c r="P115" s="64"/>
      <c r="Q115" s="64"/>
      <c r="R115" s="64"/>
      <c r="S115" s="64"/>
      <c r="T115" s="64"/>
      <c r="U115" s="68"/>
      <c r="V115" s="68"/>
      <c r="W115" s="64"/>
      <c r="X115" s="64"/>
      <c r="Y115" s="64"/>
      <c r="Z115" s="64"/>
      <c r="AA115" s="64"/>
      <c r="AB115" s="68"/>
      <c r="AC115" s="68"/>
      <c r="AD115" s="64"/>
      <c r="AE115" s="64"/>
      <c r="AF115" s="64"/>
      <c r="AG115" s="64"/>
      <c r="AH115" s="64"/>
      <c r="AI115" s="68"/>
      <c r="AJ115" s="68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8"/>
      <c r="H116" s="68"/>
      <c r="I116" s="64"/>
      <c r="J116" s="64"/>
      <c r="K116" s="64"/>
      <c r="L116" s="64"/>
      <c r="M116" s="64"/>
      <c r="N116" s="68"/>
      <c r="O116" s="68"/>
      <c r="P116" s="64"/>
      <c r="Q116" s="64"/>
      <c r="R116" s="64"/>
      <c r="S116" s="64"/>
      <c r="T116" s="64"/>
      <c r="U116" s="68"/>
      <c r="V116" s="68"/>
      <c r="W116" s="64"/>
      <c r="X116" s="64"/>
      <c r="Y116" s="64"/>
      <c r="Z116" s="64"/>
      <c r="AA116" s="64"/>
      <c r="AB116" s="68"/>
      <c r="AC116" s="68"/>
      <c r="AD116" s="64"/>
      <c r="AE116" s="64"/>
      <c r="AF116" s="64"/>
      <c r="AG116" s="64"/>
      <c r="AH116" s="64"/>
      <c r="AI116" s="68"/>
      <c r="AJ116" s="68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124"/>
      <c r="H117" s="124"/>
      <c r="I117" s="92"/>
      <c r="J117" s="92"/>
      <c r="K117" s="92"/>
      <c r="L117" s="92"/>
      <c r="M117" s="92"/>
      <c r="N117" s="124"/>
      <c r="O117" s="124"/>
      <c r="P117" s="92"/>
      <c r="Q117" s="92"/>
      <c r="R117" s="92"/>
      <c r="S117" s="92"/>
      <c r="T117" s="92"/>
      <c r="U117" s="124"/>
      <c r="V117" s="124"/>
      <c r="W117" s="92"/>
      <c r="X117" s="92"/>
      <c r="Y117" s="92"/>
      <c r="Z117" s="92"/>
      <c r="AA117" s="92"/>
      <c r="AB117" s="124"/>
      <c r="AC117" s="124"/>
      <c r="AD117" s="92"/>
      <c r="AE117" s="92"/>
      <c r="AF117" s="92"/>
      <c r="AG117" s="92"/>
      <c r="AH117" s="92"/>
      <c r="AI117" s="124"/>
      <c r="AJ117" s="124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120"/>
      <c r="AD118" s="70"/>
      <c r="AF118" s="70"/>
      <c r="AG118" s="70"/>
      <c r="AI118" s="120"/>
      <c r="AJ118" s="12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56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157"/>
      <c r="H120" s="122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8"/>
      <c r="H122" s="68"/>
      <c r="I122" s="64"/>
      <c r="J122" s="64"/>
      <c r="K122" s="64"/>
      <c r="L122" s="64"/>
      <c r="M122" s="64"/>
      <c r="N122" s="68"/>
      <c r="O122" s="68"/>
      <c r="P122" s="64"/>
      <c r="Q122" s="80"/>
      <c r="R122" s="70"/>
      <c r="S122" s="64"/>
      <c r="T122" s="64"/>
      <c r="U122" s="120"/>
      <c r="V122" s="68"/>
      <c r="W122" s="64"/>
      <c r="X122" s="64"/>
      <c r="Y122" s="64"/>
      <c r="Z122" s="64"/>
      <c r="AA122" s="64"/>
      <c r="AB122" s="68"/>
      <c r="AC122" s="122"/>
      <c r="AD122" s="64"/>
      <c r="AE122" s="64"/>
      <c r="AF122" s="64"/>
      <c r="AG122" s="64"/>
      <c r="AH122" s="64"/>
      <c r="AI122" s="68"/>
      <c r="AJ122" s="12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7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8"/>
      <c r="H126" s="68"/>
      <c r="I126" s="64"/>
      <c r="J126" s="64"/>
      <c r="K126" s="64"/>
      <c r="L126" s="64"/>
      <c r="M126" s="70"/>
      <c r="N126" s="68"/>
      <c r="O126" s="68"/>
      <c r="P126" s="64"/>
      <c r="Q126" s="70"/>
      <c r="R126" s="64"/>
      <c r="S126" s="70"/>
      <c r="T126" s="64"/>
      <c r="U126" s="68"/>
      <c r="V126" s="68"/>
      <c r="W126" s="70"/>
      <c r="X126" s="64"/>
      <c r="Y126" s="64"/>
      <c r="Z126" s="64"/>
      <c r="AA126" s="64"/>
      <c r="AB126" s="68"/>
      <c r="AC126" s="68"/>
      <c r="AD126" s="64"/>
      <c r="AE126" s="64"/>
      <c r="AF126" s="64"/>
      <c r="AG126" s="64"/>
      <c r="AH126" s="64"/>
      <c r="AI126" s="68"/>
      <c r="AJ126" s="68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12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120"/>
      <c r="H128" s="120"/>
      <c r="I128" s="70"/>
      <c r="J128" s="70"/>
      <c r="M128" s="70"/>
      <c r="N128" s="120"/>
      <c r="O128" s="120"/>
      <c r="P128" s="70"/>
      <c r="Q128" s="70"/>
      <c r="R128" s="70"/>
      <c r="S128" s="70"/>
      <c r="T128" s="70"/>
      <c r="V128" s="120"/>
      <c r="W128" s="70"/>
      <c r="X128" s="70"/>
      <c r="Z128" s="70"/>
      <c r="AA128" s="70"/>
      <c r="AB128" s="120"/>
      <c r="AC128" s="120"/>
      <c r="AD128" s="70"/>
      <c r="AE128" s="70"/>
      <c r="AF128" s="70"/>
      <c r="AG128" s="70"/>
      <c r="AH128" s="70"/>
      <c r="AI128" s="120"/>
      <c r="AJ128" s="12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120"/>
      <c r="I134" s="70"/>
      <c r="J134" s="70"/>
      <c r="M134" s="70"/>
      <c r="N134" s="120"/>
      <c r="O134" s="120"/>
      <c r="P134" s="70"/>
      <c r="Q134" s="70"/>
      <c r="R134" s="70"/>
      <c r="T134" s="70"/>
      <c r="U134" s="120"/>
      <c r="V134" s="120"/>
      <c r="Y134" s="70"/>
      <c r="Z134" s="70"/>
      <c r="AA134" s="70"/>
      <c r="AB134" s="120"/>
      <c r="AC134" s="12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120"/>
      <c r="AD135" s="70"/>
      <c r="AF135" s="70"/>
      <c r="AI135" s="12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121"/>
      <c r="H136" s="121"/>
      <c r="I136" s="73"/>
      <c r="J136" s="73"/>
      <c r="K136" s="73"/>
      <c r="L136" s="73"/>
      <c r="M136" s="73"/>
      <c r="N136" s="121"/>
      <c r="O136" s="121"/>
      <c r="P136" s="73"/>
      <c r="Q136" s="73"/>
      <c r="R136" s="73"/>
      <c r="S136" s="73"/>
      <c r="T136" s="73"/>
      <c r="U136" s="121"/>
      <c r="V136" s="121"/>
      <c r="W136" s="73"/>
      <c r="X136" s="73"/>
      <c r="Y136" s="73"/>
      <c r="Z136" s="73"/>
      <c r="AA136" s="73"/>
      <c r="AB136" s="121"/>
      <c r="AC136" s="121"/>
      <c r="AD136" s="73"/>
      <c r="AE136" s="73"/>
      <c r="AF136" s="73"/>
      <c r="AG136" s="73"/>
      <c r="AH136" s="73"/>
      <c r="AI136" s="121"/>
      <c r="AJ136" s="121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120"/>
      <c r="H137" s="120"/>
      <c r="I137" s="70"/>
      <c r="J137" s="70"/>
      <c r="K137" s="70"/>
      <c r="L137" s="70"/>
      <c r="M137" s="70"/>
      <c r="N137" s="120"/>
      <c r="O137" s="120"/>
      <c r="P137" s="70"/>
      <c r="Q137" s="70"/>
      <c r="R137" s="70"/>
      <c r="S137" s="70"/>
      <c r="T137" s="70"/>
      <c r="U137" s="120"/>
      <c r="V137" s="120"/>
      <c r="W137" s="70"/>
      <c r="X137" s="70"/>
      <c r="Y137" s="70"/>
      <c r="Z137" s="70"/>
      <c r="AA137" s="70"/>
      <c r="AB137" s="120"/>
      <c r="AC137" s="120"/>
      <c r="AD137" s="64"/>
      <c r="AE137" s="64"/>
      <c r="AF137" s="64"/>
      <c r="AG137" s="64"/>
      <c r="AH137" s="64"/>
      <c r="AI137" s="68"/>
      <c r="AJ137" s="68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8"/>
      <c r="H138" s="68"/>
      <c r="I138" s="64"/>
      <c r="J138" s="64"/>
      <c r="K138" s="64"/>
      <c r="L138" s="64"/>
      <c r="M138" s="64"/>
      <c r="N138" s="68"/>
      <c r="O138" s="68"/>
      <c r="P138" s="64"/>
      <c r="Q138" s="64"/>
      <c r="R138" s="64"/>
      <c r="S138" s="64"/>
      <c r="T138" s="64"/>
      <c r="U138" s="68"/>
      <c r="V138" s="68"/>
      <c r="W138" s="64"/>
      <c r="X138" s="64"/>
      <c r="Y138" s="64"/>
      <c r="Z138" s="64"/>
      <c r="AA138" s="64"/>
      <c r="AB138" s="68"/>
      <c r="AC138" s="68"/>
      <c r="AD138" s="64"/>
      <c r="AE138" s="64"/>
      <c r="AF138" s="64"/>
      <c r="AG138" s="64"/>
      <c r="AH138" s="64"/>
      <c r="AI138" s="68"/>
      <c r="AJ138" s="68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I146" s="64"/>
      <c r="J146" s="64"/>
      <c r="K146" s="64"/>
      <c r="L146" s="64"/>
      <c r="M146" s="64"/>
      <c r="P146" s="64"/>
      <c r="Q146" s="64"/>
      <c r="R146" s="64"/>
      <c r="S146" s="64"/>
      <c r="T146" s="64"/>
      <c r="W146" s="64"/>
      <c r="X146" s="64"/>
      <c r="Y146" s="64"/>
      <c r="Z146" s="64"/>
      <c r="AA146" s="64"/>
      <c r="AD146" s="64"/>
      <c r="AE146" s="64"/>
      <c r="AF146" s="64"/>
      <c r="AG146" s="64"/>
      <c r="AH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I147" s="64"/>
      <c r="J147" s="64"/>
      <c r="K147" s="64"/>
      <c r="L147" s="64"/>
      <c r="M147" s="64"/>
      <c r="P147" s="64"/>
      <c r="Q147" s="64"/>
      <c r="R147" s="64"/>
      <c r="S147" s="64"/>
      <c r="T147" s="64"/>
      <c r="W147" s="64"/>
      <c r="X147" s="64"/>
      <c r="Y147" s="64"/>
      <c r="Z147" s="64"/>
      <c r="AA147" s="64"/>
      <c r="AD147" s="64"/>
      <c r="AE147" s="64"/>
      <c r="AF147" s="64"/>
      <c r="AG147" s="64"/>
      <c r="AH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I148" s="64"/>
      <c r="J148" s="64"/>
      <c r="K148" s="64"/>
      <c r="L148" s="64"/>
      <c r="M148" s="64"/>
      <c r="P148" s="64"/>
      <c r="Q148" s="64"/>
      <c r="R148" s="64"/>
      <c r="S148" s="64"/>
      <c r="T148" s="64"/>
      <c r="W148" s="64"/>
      <c r="X148" s="64"/>
      <c r="Y148" s="64"/>
      <c r="Z148" s="64"/>
      <c r="AA148" s="64"/>
      <c r="AD148" s="64"/>
      <c r="AE148" s="64"/>
      <c r="AF148" s="64"/>
      <c r="AG148" s="64"/>
      <c r="AH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I149" s="64"/>
      <c r="J149" s="64"/>
      <c r="K149" s="64"/>
      <c r="L149" s="64"/>
      <c r="M149" s="64"/>
      <c r="P149" s="64"/>
      <c r="Q149" s="64"/>
      <c r="R149" s="64"/>
      <c r="S149" s="64"/>
      <c r="T149" s="64"/>
      <c r="W149" s="64"/>
      <c r="X149" s="64"/>
      <c r="Y149" s="64"/>
      <c r="Z149" s="64"/>
      <c r="AA149" s="64"/>
      <c r="AD149" s="64"/>
      <c r="AE149" s="64"/>
      <c r="AF149" s="64"/>
      <c r="AG149" s="64"/>
      <c r="AH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I150" s="64"/>
      <c r="J150" s="64"/>
      <c r="K150" s="64"/>
      <c r="L150" s="64"/>
      <c r="M150" s="64"/>
      <c r="P150" s="64"/>
      <c r="Q150" s="64"/>
      <c r="R150" s="64"/>
      <c r="S150" s="64"/>
      <c r="T150" s="64"/>
      <c r="W150" s="64"/>
      <c r="X150" s="64"/>
      <c r="Y150" s="64"/>
      <c r="Z150" s="64"/>
      <c r="AA150" s="64"/>
      <c r="AD150" s="64"/>
      <c r="AE150" s="64"/>
      <c r="AF150" s="64"/>
      <c r="AG150" s="64"/>
      <c r="AH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I151" s="64"/>
      <c r="J151" s="64"/>
      <c r="K151" s="64"/>
      <c r="L151" s="64"/>
      <c r="M151" s="64"/>
      <c r="P151" s="64"/>
      <c r="Q151" s="64"/>
      <c r="R151" s="64"/>
      <c r="S151" s="64"/>
      <c r="T151" s="64"/>
      <c r="W151" s="64"/>
      <c r="X151" s="64"/>
      <c r="Y151" s="64"/>
      <c r="Z151" s="64"/>
      <c r="AA151" s="64"/>
      <c r="AD151" s="64"/>
      <c r="AE151" s="64"/>
      <c r="AF151" s="64"/>
      <c r="AG151" s="64"/>
      <c r="AH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I152" s="64"/>
      <c r="J152" s="64"/>
      <c r="K152" s="64"/>
      <c r="L152" s="64"/>
      <c r="M152" s="64"/>
      <c r="P152" s="64"/>
      <c r="Q152" s="64"/>
      <c r="R152" s="64"/>
      <c r="S152" s="64"/>
      <c r="T152" s="64"/>
      <c r="W152" s="64"/>
      <c r="X152" s="64"/>
      <c r="Y152" s="64"/>
      <c r="Z152" s="64"/>
      <c r="AA152" s="64"/>
      <c r="AD152" s="64"/>
      <c r="AE152" s="64"/>
      <c r="AF152" s="64"/>
      <c r="AG152" s="64"/>
      <c r="AH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I153" s="64"/>
      <c r="J153" s="64"/>
      <c r="K153" s="64"/>
      <c r="L153" s="64"/>
      <c r="M153" s="64"/>
      <c r="P153" s="64"/>
      <c r="Q153" s="64"/>
      <c r="R153" s="64"/>
      <c r="S153" s="64"/>
      <c r="T153" s="64"/>
      <c r="W153" s="64"/>
      <c r="X153" s="64"/>
      <c r="Y153" s="64"/>
      <c r="Z153" s="64"/>
      <c r="AA153" s="64"/>
      <c r="AD153" s="64"/>
      <c r="AE153" s="64"/>
      <c r="AF153" s="64"/>
      <c r="AG153" s="64"/>
      <c r="AH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I154" s="64"/>
      <c r="J154" s="64"/>
      <c r="K154" s="64"/>
      <c r="L154" s="64"/>
      <c r="M154" s="64"/>
      <c r="P154" s="64"/>
      <c r="Q154" s="64"/>
      <c r="R154" s="64"/>
      <c r="S154" s="64"/>
      <c r="T154" s="64"/>
      <c r="W154" s="64"/>
      <c r="X154" s="64"/>
      <c r="Y154" s="64"/>
      <c r="Z154" s="64"/>
      <c r="AA154" s="64"/>
      <c r="AD154" s="64"/>
      <c r="AE154" s="64"/>
      <c r="AF154" s="64"/>
      <c r="AG154" s="64"/>
      <c r="AH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I155" s="64"/>
      <c r="J155" s="64"/>
      <c r="K155" s="64"/>
      <c r="L155" s="64"/>
      <c r="M155" s="64"/>
      <c r="P155" s="64"/>
      <c r="Q155" s="64"/>
      <c r="R155" s="64"/>
      <c r="S155" s="64"/>
      <c r="T155" s="64"/>
      <c r="W155" s="64"/>
      <c r="X155" s="64"/>
      <c r="Y155" s="64"/>
      <c r="Z155" s="64"/>
      <c r="AA155" s="64"/>
      <c r="AD155" s="64"/>
      <c r="AE155" s="64"/>
      <c r="AF155" s="64"/>
      <c r="AG155" s="64"/>
      <c r="AH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I156" s="64"/>
      <c r="J156" s="64"/>
      <c r="K156" s="64"/>
      <c r="L156" s="64"/>
      <c r="M156" s="64"/>
      <c r="P156" s="64"/>
      <c r="Q156" s="64"/>
      <c r="R156" s="64"/>
      <c r="S156" s="64"/>
      <c r="T156" s="64"/>
      <c r="W156" s="64"/>
      <c r="X156" s="64"/>
      <c r="Y156" s="64"/>
      <c r="Z156" s="64"/>
      <c r="AA156" s="64"/>
      <c r="AD156" s="64"/>
      <c r="AE156" s="64"/>
      <c r="AF156" s="64"/>
      <c r="AG156" s="64"/>
      <c r="AH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I157" s="64"/>
      <c r="J157" s="64"/>
      <c r="K157" s="64"/>
      <c r="L157" s="64"/>
      <c r="M157" s="64"/>
      <c r="P157" s="64"/>
      <c r="Q157" s="64"/>
      <c r="R157" s="64"/>
      <c r="S157" s="64"/>
      <c r="T157" s="64"/>
      <c r="W157" s="64"/>
      <c r="X157" s="64"/>
      <c r="Y157" s="64"/>
      <c r="Z157" s="64"/>
      <c r="AA157" s="64"/>
      <c r="AD157" s="64"/>
      <c r="AE157" s="64"/>
      <c r="AF157" s="64"/>
      <c r="AG157" s="64"/>
      <c r="AH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I158" s="64"/>
      <c r="J158" s="64"/>
      <c r="K158" s="64"/>
      <c r="L158" s="64"/>
      <c r="M158" s="64"/>
      <c r="P158" s="64"/>
      <c r="Q158" s="64"/>
      <c r="R158" s="64"/>
      <c r="S158" s="64"/>
      <c r="T158" s="64"/>
      <c r="W158" s="64"/>
      <c r="X158" s="64"/>
      <c r="Y158" s="64"/>
      <c r="Z158" s="64"/>
      <c r="AA158" s="64"/>
      <c r="AD158" s="64"/>
      <c r="AE158" s="64"/>
      <c r="AF158" s="64"/>
      <c r="AG158" s="64"/>
      <c r="AH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I159" s="64"/>
      <c r="J159" s="64"/>
      <c r="K159" s="64"/>
      <c r="L159" s="64"/>
      <c r="M159" s="64"/>
      <c r="P159" s="64"/>
      <c r="Q159" s="64"/>
      <c r="R159" s="64"/>
      <c r="S159" s="64"/>
      <c r="T159" s="64"/>
      <c r="W159" s="64"/>
      <c r="X159" s="64"/>
      <c r="Y159" s="64"/>
      <c r="Z159" s="64"/>
      <c r="AA159" s="64"/>
      <c r="AD159" s="64"/>
      <c r="AE159" s="64"/>
      <c r="AF159" s="64"/>
      <c r="AG159" s="64"/>
      <c r="AH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I160" s="64"/>
      <c r="J160" s="64"/>
      <c r="K160" s="64"/>
      <c r="L160" s="64"/>
      <c r="M160" s="64"/>
      <c r="P160" s="64"/>
      <c r="Q160" s="64"/>
      <c r="R160" s="64"/>
      <c r="S160" s="64"/>
      <c r="T160" s="64"/>
      <c r="W160" s="64"/>
      <c r="X160" s="64"/>
      <c r="Y160" s="64"/>
      <c r="Z160" s="64"/>
      <c r="AA160" s="64"/>
      <c r="AD160" s="64"/>
      <c r="AE160" s="64"/>
      <c r="AF160" s="64"/>
      <c r="AG160" s="64"/>
      <c r="AH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I161" s="64"/>
      <c r="J161" s="64"/>
      <c r="K161" s="64"/>
      <c r="L161" s="64"/>
      <c r="M161" s="64"/>
      <c r="P161" s="64"/>
      <c r="Q161" s="64"/>
      <c r="R161" s="64"/>
      <c r="S161" s="64"/>
      <c r="T161" s="64"/>
      <c r="W161" s="64"/>
      <c r="X161" s="64"/>
      <c r="Y161" s="64"/>
      <c r="Z161" s="64"/>
      <c r="AA161" s="64"/>
      <c r="AD161" s="64"/>
      <c r="AE161" s="64"/>
      <c r="AF161" s="64"/>
      <c r="AG161" s="64"/>
      <c r="AH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I162" s="64"/>
      <c r="J162" s="64"/>
      <c r="K162" s="64"/>
      <c r="L162" s="64"/>
      <c r="M162" s="64"/>
      <c r="P162" s="64"/>
      <c r="Q162" s="64"/>
      <c r="R162" s="64"/>
      <c r="S162" s="64"/>
      <c r="T162" s="64"/>
      <c r="W162" s="64"/>
      <c r="X162" s="64"/>
      <c r="Y162" s="64"/>
      <c r="Z162" s="64"/>
      <c r="AA162" s="64"/>
      <c r="AD162" s="64"/>
      <c r="AE162" s="64"/>
      <c r="AF162" s="64"/>
      <c r="AG162" s="64"/>
      <c r="AH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I163" s="64"/>
      <c r="J163" s="64"/>
      <c r="K163" s="64"/>
      <c r="L163" s="64"/>
      <c r="M163" s="64"/>
      <c r="P163" s="64"/>
      <c r="Q163" s="64"/>
      <c r="R163" s="64"/>
      <c r="S163" s="64"/>
      <c r="T163" s="64"/>
      <c r="W163" s="64"/>
      <c r="X163" s="64"/>
      <c r="Y163" s="64"/>
      <c r="Z163" s="64"/>
      <c r="AA163" s="64"/>
      <c r="AD163" s="64"/>
      <c r="AE163" s="64"/>
      <c r="AF163" s="64"/>
      <c r="AG163" s="64"/>
      <c r="AH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I164" s="64"/>
      <c r="J164" s="64"/>
      <c r="K164" s="64"/>
      <c r="L164" s="64"/>
      <c r="M164" s="64"/>
      <c r="P164" s="64"/>
      <c r="Q164" s="64"/>
      <c r="R164" s="64"/>
      <c r="S164" s="64"/>
      <c r="T164" s="64"/>
      <c r="W164" s="64"/>
      <c r="X164" s="64"/>
      <c r="Y164" s="64"/>
      <c r="Z164" s="64"/>
      <c r="AA164" s="64"/>
      <c r="AD164" s="64"/>
      <c r="AE164" s="64"/>
      <c r="AF164" s="64"/>
      <c r="AG164" s="64"/>
      <c r="AH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I165" s="64"/>
      <c r="J165" s="64"/>
      <c r="K165" s="64"/>
      <c r="L165" s="64"/>
      <c r="M165" s="64"/>
      <c r="P165" s="64"/>
      <c r="Q165" s="64"/>
      <c r="R165" s="64"/>
      <c r="S165" s="64"/>
      <c r="T165" s="64"/>
      <c r="W165" s="64"/>
      <c r="X165" s="64"/>
      <c r="Y165" s="64"/>
      <c r="Z165" s="64"/>
      <c r="AA165" s="64"/>
      <c r="AD165" s="64"/>
      <c r="AE165" s="64"/>
      <c r="AF165" s="64"/>
      <c r="AG165" s="64"/>
      <c r="AH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I166" s="64"/>
      <c r="J166" s="64"/>
      <c r="K166" s="64"/>
      <c r="L166" s="64"/>
      <c r="M166" s="64"/>
      <c r="P166" s="64"/>
      <c r="Q166" s="64"/>
      <c r="R166" s="64"/>
      <c r="S166" s="64"/>
      <c r="T166" s="64"/>
      <c r="W166" s="64"/>
      <c r="X166" s="64"/>
      <c r="Y166" s="64"/>
      <c r="Z166" s="64"/>
      <c r="AA166" s="64"/>
      <c r="AD166" s="64"/>
      <c r="AE166" s="64"/>
      <c r="AF166" s="64"/>
      <c r="AG166" s="64"/>
      <c r="AH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I167" s="64"/>
      <c r="J167" s="64"/>
      <c r="K167" s="64"/>
      <c r="L167" s="64"/>
      <c r="M167" s="64"/>
      <c r="P167" s="64"/>
      <c r="Q167" s="64"/>
      <c r="R167" s="64"/>
      <c r="S167" s="64"/>
      <c r="T167" s="64"/>
      <c r="W167" s="64"/>
      <c r="X167" s="64"/>
      <c r="Y167" s="64"/>
      <c r="Z167" s="64"/>
      <c r="AA167" s="64"/>
      <c r="AD167" s="64"/>
      <c r="AE167" s="64"/>
      <c r="AF167" s="64"/>
      <c r="AG167" s="64"/>
      <c r="AH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I168" s="64"/>
      <c r="J168" s="64"/>
      <c r="K168" s="64"/>
      <c r="L168" s="64"/>
      <c r="M168" s="64"/>
      <c r="P168" s="64"/>
      <c r="Q168" s="64"/>
      <c r="R168" s="64"/>
      <c r="S168" s="64"/>
      <c r="T168" s="64"/>
      <c r="W168" s="64"/>
      <c r="X168" s="64"/>
      <c r="Y168" s="64"/>
      <c r="Z168" s="64"/>
      <c r="AA168" s="64"/>
      <c r="AD168" s="64"/>
      <c r="AE168" s="64"/>
      <c r="AF168" s="64"/>
      <c r="AG168" s="64"/>
      <c r="AH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I169" s="64"/>
      <c r="J169" s="64"/>
      <c r="K169" s="64"/>
      <c r="L169" s="64"/>
      <c r="M169" s="64"/>
      <c r="P169" s="64"/>
      <c r="Q169" s="64"/>
      <c r="R169" s="64"/>
      <c r="S169" s="64"/>
      <c r="T169" s="64"/>
      <c r="W169" s="64"/>
      <c r="X169" s="64"/>
      <c r="Y169" s="64"/>
      <c r="Z169" s="64"/>
      <c r="AA169" s="64"/>
      <c r="AD169" s="64"/>
      <c r="AE169" s="64"/>
      <c r="AF169" s="64"/>
      <c r="AG169" s="64"/>
      <c r="AH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I170" s="64"/>
      <c r="J170" s="64"/>
      <c r="K170" s="64"/>
      <c r="L170" s="64"/>
      <c r="M170" s="64"/>
      <c r="P170" s="64"/>
      <c r="Q170" s="64"/>
      <c r="R170" s="64"/>
      <c r="S170" s="64"/>
      <c r="T170" s="64"/>
      <c r="W170" s="64"/>
      <c r="X170" s="64"/>
      <c r="Y170" s="64"/>
      <c r="Z170" s="64"/>
      <c r="AA170" s="64"/>
      <c r="AD170" s="64"/>
      <c r="AE170" s="64"/>
      <c r="AF170" s="64"/>
      <c r="AG170" s="64"/>
      <c r="AH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I171" s="64"/>
      <c r="J171" s="64"/>
      <c r="K171" s="64"/>
      <c r="L171" s="64"/>
      <c r="M171" s="64"/>
      <c r="P171" s="64"/>
      <c r="Q171" s="64"/>
      <c r="R171" s="64"/>
      <c r="S171" s="64"/>
      <c r="T171" s="64"/>
      <c r="W171" s="64"/>
      <c r="X171" s="64"/>
      <c r="Y171" s="64"/>
      <c r="Z171" s="64"/>
      <c r="AA171" s="64"/>
      <c r="AD171" s="64"/>
      <c r="AE171" s="64"/>
      <c r="AF171" s="64"/>
      <c r="AG171" s="64"/>
      <c r="AH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I172" s="64"/>
      <c r="J172" s="64"/>
      <c r="K172" s="64"/>
      <c r="L172" s="64"/>
      <c r="M172" s="64"/>
      <c r="P172" s="64"/>
      <c r="Q172" s="64"/>
      <c r="R172" s="64"/>
      <c r="S172" s="64"/>
      <c r="T172" s="64"/>
      <c r="W172" s="64"/>
      <c r="X172" s="64"/>
      <c r="Y172" s="64"/>
      <c r="Z172" s="64"/>
      <c r="AA172" s="64"/>
      <c r="AD172" s="64"/>
      <c r="AE172" s="64"/>
      <c r="AF172" s="64"/>
      <c r="AG172" s="64"/>
      <c r="AH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I173" s="64"/>
      <c r="J173" s="64"/>
      <c r="K173" s="64"/>
      <c r="L173" s="64"/>
      <c r="M173" s="64"/>
      <c r="P173" s="64"/>
      <c r="Q173" s="64"/>
      <c r="R173" s="64"/>
      <c r="S173" s="64"/>
      <c r="T173" s="64"/>
      <c r="W173" s="64"/>
      <c r="X173" s="64"/>
      <c r="Y173" s="64"/>
      <c r="Z173" s="64"/>
      <c r="AA173" s="64"/>
      <c r="AD173" s="64"/>
      <c r="AE173" s="64"/>
      <c r="AF173" s="64"/>
      <c r="AG173" s="64"/>
      <c r="AH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I174" s="64"/>
      <c r="J174" s="64"/>
      <c r="K174" s="64"/>
      <c r="L174" s="64"/>
      <c r="M174" s="64"/>
      <c r="P174" s="64"/>
      <c r="Q174" s="64"/>
      <c r="R174" s="64"/>
      <c r="S174" s="64"/>
      <c r="T174" s="64"/>
      <c r="W174" s="64"/>
      <c r="X174" s="64"/>
      <c r="Y174" s="64"/>
      <c r="Z174" s="64"/>
      <c r="AA174" s="64"/>
      <c r="AD174" s="64"/>
      <c r="AE174" s="64"/>
      <c r="AF174" s="64"/>
      <c r="AG174" s="64"/>
      <c r="AH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I175" s="64"/>
      <c r="J175" s="64"/>
      <c r="K175" s="64"/>
      <c r="L175" s="64"/>
      <c r="M175" s="64"/>
      <c r="P175" s="64"/>
      <c r="Q175" s="64"/>
      <c r="R175" s="64"/>
      <c r="S175" s="64"/>
      <c r="T175" s="64"/>
      <c r="W175" s="64"/>
      <c r="X175" s="64"/>
      <c r="Y175" s="64"/>
      <c r="Z175" s="64"/>
      <c r="AA175" s="64"/>
      <c r="AD175" s="64"/>
      <c r="AE175" s="64"/>
      <c r="AF175" s="64"/>
      <c r="AG175" s="64"/>
      <c r="AH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I176" s="64"/>
      <c r="J176" s="64"/>
      <c r="K176" s="64"/>
      <c r="L176" s="64"/>
      <c r="M176" s="64"/>
      <c r="P176" s="64"/>
      <c r="Q176" s="64"/>
      <c r="R176" s="64"/>
      <c r="S176" s="64"/>
      <c r="T176" s="64"/>
      <c r="W176" s="64"/>
      <c r="X176" s="64"/>
      <c r="Y176" s="64"/>
      <c r="Z176" s="64"/>
      <c r="AA176" s="64"/>
      <c r="AD176" s="64"/>
      <c r="AE176" s="64"/>
      <c r="AF176" s="64"/>
      <c r="AG176" s="64"/>
      <c r="AH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I177" s="64"/>
      <c r="J177" s="64"/>
      <c r="K177" s="64"/>
      <c r="L177" s="64"/>
      <c r="M177" s="64"/>
      <c r="P177" s="64"/>
      <c r="Q177" s="64"/>
      <c r="R177" s="64"/>
      <c r="S177" s="64"/>
      <c r="T177" s="64"/>
      <c r="W177" s="64"/>
      <c r="X177" s="64"/>
      <c r="Y177" s="64"/>
      <c r="Z177" s="64"/>
      <c r="AA177" s="64"/>
      <c r="AD177" s="64"/>
      <c r="AE177" s="64"/>
      <c r="AF177" s="64"/>
      <c r="AG177" s="64"/>
      <c r="AH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I178" s="64"/>
      <c r="J178" s="64"/>
      <c r="K178" s="64"/>
      <c r="L178" s="64"/>
      <c r="M178" s="64"/>
      <c r="P178" s="64"/>
      <c r="Q178" s="64"/>
      <c r="R178" s="64"/>
      <c r="S178" s="64"/>
      <c r="T178" s="64"/>
      <c r="W178" s="64"/>
      <c r="X178" s="64"/>
      <c r="Y178" s="64"/>
      <c r="Z178" s="64"/>
      <c r="AA178" s="64"/>
      <c r="AD178" s="64"/>
      <c r="AE178" s="64"/>
      <c r="AF178" s="64"/>
      <c r="AG178" s="64"/>
      <c r="AH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I179" s="64"/>
      <c r="J179" s="64"/>
      <c r="K179" s="64"/>
      <c r="L179" s="64"/>
      <c r="M179" s="64"/>
      <c r="P179" s="64"/>
      <c r="Q179" s="64"/>
      <c r="R179" s="64"/>
      <c r="S179" s="64"/>
      <c r="T179" s="64"/>
      <c r="W179" s="64"/>
      <c r="X179" s="64"/>
      <c r="Y179" s="64"/>
      <c r="Z179" s="64"/>
      <c r="AA179" s="64"/>
      <c r="AD179" s="64"/>
      <c r="AE179" s="64"/>
      <c r="AF179" s="64"/>
      <c r="AG179" s="64"/>
      <c r="AH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I180" s="64"/>
      <c r="J180" s="64"/>
      <c r="K180" s="64"/>
      <c r="L180" s="64"/>
      <c r="M180" s="64"/>
      <c r="P180" s="64"/>
      <c r="Q180" s="64"/>
      <c r="R180" s="64"/>
      <c r="S180" s="64"/>
      <c r="T180" s="64"/>
      <c r="W180" s="64"/>
      <c r="X180" s="64"/>
      <c r="Y180" s="64"/>
      <c r="Z180" s="64"/>
      <c r="AA180" s="64"/>
      <c r="AD180" s="64"/>
      <c r="AE180" s="64"/>
      <c r="AF180" s="64"/>
      <c r="AG180" s="64"/>
      <c r="AH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I181" s="64"/>
      <c r="J181" s="64"/>
      <c r="K181" s="64"/>
      <c r="L181" s="64"/>
      <c r="M181" s="64"/>
      <c r="P181" s="64"/>
      <c r="Q181" s="64"/>
      <c r="R181" s="64"/>
      <c r="S181" s="64"/>
      <c r="T181" s="64"/>
      <c r="W181" s="64"/>
      <c r="X181" s="64"/>
      <c r="Y181" s="64"/>
      <c r="Z181" s="64"/>
      <c r="AA181" s="64"/>
      <c r="AD181" s="64"/>
      <c r="AE181" s="64"/>
      <c r="AF181" s="64"/>
      <c r="AG181" s="64"/>
      <c r="AH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I182" s="64"/>
      <c r="J182" s="64"/>
      <c r="K182" s="64"/>
      <c r="L182" s="64"/>
      <c r="M182" s="64"/>
      <c r="P182" s="64"/>
      <c r="Q182" s="64"/>
      <c r="R182" s="64"/>
      <c r="S182" s="64"/>
      <c r="T182" s="64"/>
      <c r="W182" s="64"/>
      <c r="X182" s="64"/>
      <c r="Y182" s="64"/>
      <c r="Z182" s="64"/>
      <c r="AA182" s="64"/>
      <c r="AD182" s="64"/>
      <c r="AE182" s="64"/>
      <c r="AF182" s="64"/>
      <c r="AG182" s="64"/>
      <c r="AH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I183" s="64"/>
      <c r="J183" s="64"/>
      <c r="K183" s="64"/>
      <c r="L183" s="64"/>
      <c r="M183" s="64"/>
      <c r="P183" s="64"/>
      <c r="Q183" s="64"/>
      <c r="R183" s="64"/>
      <c r="S183" s="64"/>
      <c r="T183" s="64"/>
      <c r="W183" s="64"/>
      <c r="X183" s="64"/>
      <c r="Y183" s="64"/>
      <c r="Z183" s="64"/>
      <c r="AA183" s="64"/>
      <c r="AD183" s="64"/>
      <c r="AE183" s="64"/>
      <c r="AF183" s="64"/>
      <c r="AG183" s="64"/>
      <c r="AH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I184" s="64"/>
      <c r="J184" s="64"/>
      <c r="K184" s="64"/>
      <c r="L184" s="64"/>
      <c r="M184" s="64"/>
      <c r="P184" s="64"/>
      <c r="Q184" s="64"/>
      <c r="R184" s="64"/>
      <c r="S184" s="64"/>
      <c r="T184" s="64"/>
      <c r="W184" s="64"/>
      <c r="X184" s="64"/>
      <c r="Y184" s="64"/>
      <c r="Z184" s="64"/>
      <c r="AA184" s="64"/>
      <c r="AD184" s="64"/>
      <c r="AE184" s="64"/>
      <c r="AF184" s="64"/>
      <c r="AG184" s="64"/>
      <c r="AH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I185" s="64"/>
      <c r="J185" s="64"/>
      <c r="K185" s="64"/>
      <c r="L185" s="64"/>
      <c r="M185" s="64"/>
      <c r="P185" s="64"/>
      <c r="Q185" s="64"/>
      <c r="R185" s="64"/>
      <c r="S185" s="64"/>
      <c r="T185" s="64"/>
      <c r="W185" s="64"/>
      <c r="X185" s="64"/>
      <c r="Y185" s="64"/>
      <c r="Z185" s="64"/>
      <c r="AA185" s="64"/>
      <c r="AD185" s="64"/>
      <c r="AE185" s="64"/>
      <c r="AF185" s="64"/>
      <c r="AG185" s="64"/>
      <c r="AH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I186" s="64"/>
      <c r="J186" s="64"/>
      <c r="K186" s="64"/>
      <c r="L186" s="64"/>
      <c r="M186" s="64"/>
      <c r="P186" s="64"/>
      <c r="Q186" s="64"/>
      <c r="R186" s="64"/>
      <c r="S186" s="64"/>
      <c r="T186" s="64"/>
      <c r="W186" s="64"/>
      <c r="X186" s="64"/>
      <c r="Y186" s="64"/>
      <c r="Z186" s="64"/>
      <c r="AA186" s="64"/>
      <c r="AD186" s="64"/>
      <c r="AE186" s="64"/>
      <c r="AF186" s="64"/>
      <c r="AG186" s="64"/>
      <c r="AH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I187" s="64"/>
      <c r="J187" s="64"/>
      <c r="K187" s="64"/>
      <c r="L187" s="64"/>
      <c r="M187" s="64"/>
      <c r="P187" s="64"/>
      <c r="Q187" s="64"/>
      <c r="R187" s="64"/>
      <c r="S187" s="64"/>
      <c r="T187" s="64"/>
      <c r="W187" s="64"/>
      <c r="X187" s="64"/>
      <c r="Y187" s="64"/>
      <c r="Z187" s="64"/>
      <c r="AA187" s="64"/>
      <c r="AD187" s="64"/>
      <c r="AE187" s="64"/>
      <c r="AF187" s="64"/>
      <c r="AG187" s="64"/>
      <c r="AH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I188" s="64"/>
      <c r="J188" s="64"/>
      <c r="K188" s="64"/>
      <c r="L188" s="64"/>
      <c r="M188" s="64"/>
      <c r="P188" s="64"/>
      <c r="Q188" s="64"/>
      <c r="R188" s="64"/>
      <c r="S188" s="64"/>
      <c r="T188" s="64"/>
      <c r="W188" s="64"/>
      <c r="X188" s="64"/>
      <c r="Y188" s="64"/>
      <c r="Z188" s="64"/>
      <c r="AA188" s="64"/>
      <c r="AD188" s="64"/>
      <c r="AE188" s="64"/>
      <c r="AF188" s="64"/>
      <c r="AG188" s="64"/>
      <c r="AH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I189" s="64"/>
      <c r="J189" s="64"/>
      <c r="K189" s="64"/>
      <c r="L189" s="64"/>
      <c r="M189" s="64"/>
      <c r="P189" s="64"/>
      <c r="Q189" s="64"/>
      <c r="R189" s="64"/>
      <c r="S189" s="64"/>
      <c r="T189" s="64"/>
      <c r="W189" s="64"/>
      <c r="X189" s="64"/>
      <c r="Y189" s="64"/>
      <c r="Z189" s="64"/>
      <c r="AA189" s="64"/>
      <c r="AD189" s="64"/>
      <c r="AE189" s="64"/>
      <c r="AF189" s="64"/>
      <c r="AG189" s="64"/>
      <c r="AH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I190" s="64"/>
      <c r="J190" s="64"/>
      <c r="K190" s="64"/>
      <c r="L190" s="64"/>
      <c r="M190" s="64"/>
      <c r="P190" s="64"/>
      <c r="Q190" s="64"/>
      <c r="R190" s="64"/>
      <c r="S190" s="64"/>
      <c r="T190" s="64"/>
      <c r="W190" s="64"/>
      <c r="X190" s="64"/>
      <c r="Y190" s="64"/>
      <c r="Z190" s="64"/>
      <c r="AA190" s="64"/>
      <c r="AD190" s="64"/>
      <c r="AE190" s="64"/>
      <c r="AF190" s="64"/>
      <c r="AG190" s="64"/>
      <c r="AH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I191" s="64"/>
      <c r="J191" s="64"/>
      <c r="K191" s="64"/>
      <c r="L191" s="64"/>
      <c r="M191" s="64"/>
      <c r="P191" s="64"/>
      <c r="Q191" s="64"/>
      <c r="R191" s="64"/>
      <c r="S191" s="64"/>
      <c r="T191" s="64"/>
      <c r="W191" s="64"/>
      <c r="X191" s="64"/>
      <c r="Y191" s="64"/>
      <c r="Z191" s="64"/>
      <c r="AA191" s="64"/>
      <c r="AD191" s="64"/>
      <c r="AE191" s="64"/>
      <c r="AF191" s="64"/>
      <c r="AG191" s="64"/>
      <c r="AH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I192" s="64"/>
      <c r="J192" s="64"/>
      <c r="K192" s="64"/>
      <c r="L192" s="64"/>
      <c r="M192" s="64"/>
      <c r="P192" s="64"/>
      <c r="Q192" s="64"/>
      <c r="R192" s="64"/>
      <c r="S192" s="64"/>
      <c r="T192" s="64"/>
      <c r="W192" s="64"/>
      <c r="X192" s="64"/>
      <c r="Y192" s="64"/>
      <c r="Z192" s="64"/>
      <c r="AA192" s="64"/>
      <c r="AD192" s="64"/>
      <c r="AE192" s="64"/>
      <c r="AF192" s="64"/>
      <c r="AG192" s="64"/>
      <c r="AH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I193" s="64"/>
      <c r="J193" s="64"/>
      <c r="K193" s="64"/>
      <c r="L193" s="64"/>
      <c r="M193" s="64"/>
      <c r="P193" s="64"/>
      <c r="Q193" s="64"/>
      <c r="R193" s="64"/>
      <c r="S193" s="64"/>
      <c r="T193" s="64"/>
      <c r="W193" s="64"/>
      <c r="X193" s="64"/>
      <c r="Y193" s="64"/>
      <c r="Z193" s="64"/>
      <c r="AA193" s="64"/>
      <c r="AD193" s="64"/>
      <c r="AE193" s="64"/>
      <c r="AF193" s="64"/>
      <c r="AG193" s="64"/>
      <c r="AH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I194" s="64"/>
      <c r="J194" s="64"/>
      <c r="K194" s="64"/>
      <c r="L194" s="64"/>
      <c r="M194" s="64"/>
      <c r="P194" s="64"/>
      <c r="Q194" s="64"/>
      <c r="R194" s="64"/>
      <c r="S194" s="64"/>
      <c r="T194" s="64"/>
      <c r="W194" s="64"/>
      <c r="X194" s="64"/>
      <c r="Y194" s="64"/>
      <c r="Z194" s="64"/>
      <c r="AA194" s="64"/>
      <c r="AD194" s="64"/>
      <c r="AE194" s="64"/>
      <c r="AF194" s="64"/>
      <c r="AG194" s="64"/>
      <c r="AH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I195" s="64"/>
      <c r="J195" s="64"/>
      <c r="K195" s="64"/>
      <c r="L195" s="64"/>
      <c r="M195" s="64"/>
      <c r="P195" s="64"/>
      <c r="Q195" s="64"/>
      <c r="R195" s="64"/>
      <c r="S195" s="64"/>
      <c r="T195" s="64"/>
      <c r="W195" s="64"/>
      <c r="X195" s="64"/>
      <c r="Y195" s="64"/>
      <c r="Z195" s="64"/>
      <c r="AA195" s="64"/>
      <c r="AD195" s="64"/>
      <c r="AE195" s="64"/>
      <c r="AF195" s="64"/>
      <c r="AG195" s="64"/>
      <c r="AH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I196" s="64"/>
      <c r="J196" s="64"/>
      <c r="K196" s="64"/>
      <c r="L196" s="64"/>
      <c r="M196" s="64"/>
      <c r="P196" s="64"/>
      <c r="Q196" s="64"/>
      <c r="R196" s="64"/>
      <c r="S196" s="64"/>
      <c r="T196" s="64"/>
      <c r="W196" s="64"/>
      <c r="X196" s="64"/>
      <c r="Y196" s="64"/>
      <c r="Z196" s="64"/>
      <c r="AA196" s="64"/>
      <c r="AD196" s="64"/>
      <c r="AE196" s="64"/>
      <c r="AF196" s="64"/>
      <c r="AG196" s="64"/>
      <c r="AH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I197" s="64"/>
      <c r="J197" s="64"/>
      <c r="K197" s="64"/>
      <c r="L197" s="64"/>
      <c r="M197" s="64"/>
      <c r="P197" s="64"/>
      <c r="Q197" s="64"/>
      <c r="R197" s="64"/>
      <c r="S197" s="64"/>
      <c r="T197" s="64"/>
      <c r="W197" s="64"/>
      <c r="X197" s="64"/>
      <c r="Y197" s="64"/>
      <c r="Z197" s="64"/>
      <c r="AA197" s="64"/>
      <c r="AD197" s="64"/>
      <c r="AE197" s="64"/>
      <c r="AF197" s="64"/>
      <c r="AG197" s="64"/>
      <c r="AH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I198" s="64"/>
      <c r="J198" s="64"/>
      <c r="K198" s="64"/>
      <c r="L198" s="64"/>
      <c r="M198" s="64"/>
      <c r="P198" s="64"/>
      <c r="Q198" s="64"/>
      <c r="R198" s="64"/>
      <c r="S198" s="64"/>
      <c r="T198" s="64"/>
      <c r="W198" s="64"/>
      <c r="X198" s="64"/>
      <c r="Y198" s="64"/>
      <c r="Z198" s="64"/>
      <c r="AA198" s="64"/>
      <c r="AD198" s="64"/>
      <c r="AE198" s="64"/>
      <c r="AF198" s="64"/>
      <c r="AG198" s="64"/>
      <c r="AH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I199" s="64"/>
      <c r="J199" s="64"/>
      <c r="K199" s="64"/>
      <c r="L199" s="64"/>
      <c r="M199" s="64"/>
      <c r="P199" s="64"/>
      <c r="Q199" s="64"/>
      <c r="R199" s="64"/>
      <c r="S199" s="64"/>
      <c r="T199" s="64"/>
      <c r="W199" s="64"/>
      <c r="X199" s="64"/>
      <c r="Y199" s="64"/>
      <c r="Z199" s="64"/>
      <c r="AA199" s="64"/>
      <c r="AD199" s="64"/>
      <c r="AE199" s="64"/>
      <c r="AF199" s="64"/>
      <c r="AG199" s="64"/>
      <c r="AH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I200" s="64"/>
      <c r="J200" s="64"/>
      <c r="K200" s="64"/>
      <c r="L200" s="64"/>
      <c r="M200" s="64"/>
      <c r="P200" s="64"/>
      <c r="Q200" s="64"/>
      <c r="R200" s="64"/>
      <c r="S200" s="64"/>
      <c r="T200" s="64"/>
      <c r="W200" s="64"/>
      <c r="X200" s="64"/>
      <c r="Y200" s="64"/>
      <c r="Z200" s="64"/>
      <c r="AA200" s="64"/>
      <c r="AD200" s="64"/>
      <c r="AE200" s="64"/>
      <c r="AF200" s="64"/>
      <c r="AG200" s="64"/>
      <c r="AH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I201" s="64"/>
      <c r="J201" s="64"/>
      <c r="K201" s="64"/>
      <c r="L201" s="64"/>
      <c r="M201" s="64"/>
      <c r="P201" s="64"/>
      <c r="Q201" s="64"/>
      <c r="R201" s="64"/>
      <c r="S201" s="64"/>
      <c r="T201" s="64"/>
      <c r="W201" s="64"/>
      <c r="X201" s="64"/>
      <c r="Y201" s="64"/>
      <c r="Z201" s="64"/>
      <c r="AA201" s="64"/>
      <c r="AD201" s="64"/>
      <c r="AE201" s="64"/>
      <c r="AF201" s="64"/>
      <c r="AG201" s="64"/>
      <c r="AH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I202" s="64"/>
      <c r="J202" s="64"/>
      <c r="K202" s="64"/>
      <c r="L202" s="64"/>
      <c r="M202" s="64"/>
      <c r="P202" s="64"/>
      <c r="Q202" s="64"/>
      <c r="R202" s="64"/>
      <c r="S202" s="64"/>
      <c r="T202" s="64"/>
      <c r="W202" s="64"/>
      <c r="X202" s="64"/>
      <c r="Y202" s="64"/>
      <c r="Z202" s="64"/>
      <c r="AA202" s="64"/>
      <c r="AD202" s="64"/>
      <c r="AE202" s="64"/>
      <c r="AF202" s="64"/>
      <c r="AG202" s="64"/>
      <c r="AH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I203" s="64"/>
      <c r="J203" s="64"/>
      <c r="K203" s="64"/>
      <c r="L203" s="64"/>
      <c r="M203" s="64"/>
      <c r="P203" s="64"/>
      <c r="Q203" s="64"/>
      <c r="R203" s="64"/>
      <c r="S203" s="64"/>
      <c r="T203" s="64"/>
      <c r="W203" s="64"/>
      <c r="X203" s="64"/>
      <c r="Y203" s="64"/>
      <c r="Z203" s="64"/>
      <c r="AA203" s="64"/>
      <c r="AD203" s="64"/>
      <c r="AE203" s="64"/>
      <c r="AF203" s="64"/>
      <c r="AG203" s="64"/>
      <c r="AH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I204" s="64"/>
      <c r="J204" s="64"/>
      <c r="K204" s="64"/>
      <c r="L204" s="64"/>
      <c r="M204" s="64"/>
      <c r="P204" s="64"/>
      <c r="Q204" s="64"/>
      <c r="R204" s="64"/>
      <c r="S204" s="64"/>
      <c r="T204" s="64"/>
      <c r="W204" s="64"/>
      <c r="X204" s="64"/>
      <c r="Y204" s="64"/>
      <c r="Z204" s="64"/>
      <c r="AA204" s="64"/>
      <c r="AD204" s="64"/>
      <c r="AE204" s="64"/>
      <c r="AF204" s="64"/>
      <c r="AG204" s="64"/>
      <c r="AH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I205" s="64"/>
      <c r="J205" s="64"/>
      <c r="K205" s="64"/>
      <c r="L205" s="64"/>
      <c r="M205" s="64"/>
      <c r="P205" s="64"/>
      <c r="Q205" s="64"/>
      <c r="R205" s="64"/>
      <c r="S205" s="64"/>
      <c r="T205" s="64"/>
      <c r="W205" s="64"/>
      <c r="X205" s="64"/>
      <c r="Y205" s="64"/>
      <c r="Z205" s="64"/>
      <c r="AA205" s="64"/>
      <c r="AD205" s="64"/>
      <c r="AE205" s="64"/>
      <c r="AF205" s="64"/>
      <c r="AG205" s="64"/>
      <c r="AH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I206" s="64"/>
      <c r="J206" s="64"/>
      <c r="K206" s="64"/>
      <c r="L206" s="64"/>
      <c r="M206" s="64"/>
      <c r="P206" s="64"/>
      <c r="Q206" s="64"/>
      <c r="R206" s="64"/>
      <c r="S206" s="64"/>
      <c r="T206" s="64"/>
      <c r="W206" s="64"/>
      <c r="X206" s="64"/>
      <c r="Y206" s="64"/>
      <c r="Z206" s="64"/>
      <c r="AA206" s="64"/>
      <c r="AD206" s="64"/>
      <c r="AE206" s="64"/>
      <c r="AF206" s="64"/>
      <c r="AG206" s="64"/>
      <c r="AH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I207" s="64"/>
      <c r="J207" s="64"/>
      <c r="K207" s="64"/>
      <c r="L207" s="64"/>
      <c r="M207" s="64"/>
      <c r="P207" s="64"/>
      <c r="Q207" s="64"/>
      <c r="R207" s="64"/>
      <c r="S207" s="64"/>
      <c r="T207" s="64"/>
      <c r="W207" s="64"/>
      <c r="X207" s="64"/>
      <c r="Y207" s="64"/>
      <c r="Z207" s="64"/>
      <c r="AA207" s="64"/>
      <c r="AD207" s="64"/>
      <c r="AE207" s="64"/>
      <c r="AF207" s="64"/>
      <c r="AG207" s="64"/>
      <c r="AH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I208" s="64"/>
      <c r="J208" s="64"/>
      <c r="K208" s="64"/>
      <c r="L208" s="64"/>
      <c r="M208" s="64"/>
      <c r="P208" s="64"/>
      <c r="Q208" s="64"/>
      <c r="R208" s="64"/>
      <c r="S208" s="64"/>
      <c r="T208" s="64"/>
      <c r="W208" s="64"/>
      <c r="X208" s="64"/>
      <c r="Y208" s="64"/>
      <c r="Z208" s="64"/>
      <c r="AA208" s="64"/>
      <c r="AD208" s="64"/>
      <c r="AE208" s="64"/>
      <c r="AF208" s="64"/>
      <c r="AG208" s="64"/>
      <c r="AH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I209" s="64"/>
      <c r="J209" s="64"/>
      <c r="K209" s="64"/>
      <c r="L209" s="64"/>
      <c r="M209" s="64"/>
      <c r="P209" s="64"/>
      <c r="Q209" s="64"/>
      <c r="R209" s="64"/>
      <c r="S209" s="64"/>
      <c r="T209" s="64"/>
      <c r="W209" s="64"/>
      <c r="X209" s="64"/>
      <c r="Y209" s="64"/>
      <c r="Z209" s="64"/>
      <c r="AA209" s="64"/>
      <c r="AD209" s="64"/>
      <c r="AE209" s="64"/>
      <c r="AF209" s="64"/>
      <c r="AG209" s="64"/>
      <c r="AH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I210" s="64"/>
      <c r="J210" s="64"/>
      <c r="K210" s="64"/>
      <c r="L210" s="64"/>
      <c r="M210" s="64"/>
      <c r="P210" s="64"/>
      <c r="Q210" s="64"/>
      <c r="R210" s="64"/>
      <c r="S210" s="64"/>
      <c r="T210" s="64"/>
      <c r="W210" s="64"/>
      <c r="X210" s="64"/>
      <c r="Y210" s="64"/>
      <c r="Z210" s="64"/>
      <c r="AA210" s="64"/>
      <c r="AD210" s="64"/>
      <c r="AE210" s="64"/>
      <c r="AF210" s="64"/>
      <c r="AG210" s="64"/>
      <c r="AH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I211" s="64"/>
      <c r="J211" s="64"/>
      <c r="K211" s="64"/>
      <c r="L211" s="64"/>
      <c r="M211" s="64"/>
      <c r="P211" s="64"/>
      <c r="Q211" s="64"/>
      <c r="R211" s="64"/>
      <c r="S211" s="64"/>
      <c r="T211" s="64"/>
      <c r="W211" s="64"/>
      <c r="X211" s="64"/>
      <c r="Y211" s="64"/>
      <c r="Z211" s="64"/>
      <c r="AA211" s="64"/>
      <c r="AD211" s="64"/>
      <c r="AE211" s="64"/>
      <c r="AF211" s="64"/>
      <c r="AG211" s="64"/>
      <c r="AH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I212" s="64"/>
      <c r="J212" s="64"/>
      <c r="K212" s="64"/>
      <c r="L212" s="64"/>
      <c r="M212" s="64"/>
      <c r="P212" s="64"/>
      <c r="Q212" s="64"/>
      <c r="R212" s="64"/>
      <c r="S212" s="64"/>
      <c r="T212" s="64"/>
      <c r="W212" s="64"/>
      <c r="X212" s="64"/>
      <c r="Y212" s="64"/>
      <c r="Z212" s="64"/>
      <c r="AA212" s="64"/>
      <c r="AD212" s="64"/>
      <c r="AE212" s="64"/>
      <c r="AF212" s="64"/>
      <c r="AG212" s="64"/>
      <c r="AH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I213" s="64"/>
      <c r="J213" s="64"/>
      <c r="K213" s="64"/>
      <c r="L213" s="64"/>
      <c r="M213" s="64"/>
      <c r="P213" s="64"/>
      <c r="Q213" s="64"/>
      <c r="R213" s="64"/>
      <c r="S213" s="64"/>
      <c r="T213" s="64"/>
      <c r="W213" s="64"/>
      <c r="X213" s="64"/>
      <c r="Y213" s="64"/>
      <c r="Z213" s="64"/>
      <c r="AA213" s="64"/>
      <c r="AD213" s="64"/>
      <c r="AE213" s="64"/>
      <c r="AF213" s="64"/>
      <c r="AG213" s="64"/>
      <c r="AH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I214" s="64"/>
      <c r="J214" s="64"/>
      <c r="K214" s="64"/>
      <c r="L214" s="64"/>
      <c r="M214" s="64"/>
      <c r="P214" s="64"/>
      <c r="Q214" s="64"/>
      <c r="R214" s="64"/>
      <c r="S214" s="64"/>
      <c r="T214" s="64"/>
      <c r="W214" s="64"/>
      <c r="X214" s="64"/>
      <c r="Y214" s="64"/>
      <c r="Z214" s="64"/>
      <c r="AA214" s="64"/>
      <c r="AD214" s="64"/>
      <c r="AE214" s="64"/>
      <c r="AF214" s="64"/>
      <c r="AG214" s="64"/>
      <c r="AH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I215" s="64"/>
      <c r="J215" s="64"/>
      <c r="K215" s="64"/>
      <c r="L215" s="64"/>
      <c r="M215" s="64"/>
      <c r="P215" s="64"/>
      <c r="Q215" s="64"/>
      <c r="R215" s="64"/>
      <c r="S215" s="64"/>
      <c r="T215" s="64"/>
      <c r="W215" s="64"/>
      <c r="X215" s="64"/>
      <c r="Y215" s="64"/>
      <c r="Z215" s="64"/>
      <c r="AA215" s="64"/>
      <c r="AD215" s="64"/>
      <c r="AE215" s="64"/>
      <c r="AF215" s="64"/>
      <c r="AG215" s="64"/>
      <c r="AH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I216" s="64"/>
      <c r="J216" s="64"/>
      <c r="K216" s="64"/>
      <c r="L216" s="64"/>
      <c r="M216" s="64"/>
      <c r="P216" s="64"/>
      <c r="Q216" s="64"/>
      <c r="R216" s="64"/>
      <c r="S216" s="64"/>
      <c r="T216" s="64"/>
      <c r="W216" s="64"/>
      <c r="X216" s="64"/>
      <c r="Y216" s="64"/>
      <c r="Z216" s="64"/>
      <c r="AA216" s="64"/>
      <c r="AD216" s="64"/>
      <c r="AE216" s="64"/>
      <c r="AF216" s="64"/>
      <c r="AG216" s="64"/>
      <c r="AH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I217" s="64"/>
      <c r="J217" s="64"/>
      <c r="K217" s="64"/>
      <c r="L217" s="64"/>
      <c r="M217" s="64"/>
      <c r="P217" s="64"/>
      <c r="Q217" s="64"/>
      <c r="R217" s="64"/>
      <c r="S217" s="64"/>
      <c r="T217" s="64"/>
      <c r="W217" s="64"/>
      <c r="X217" s="64"/>
      <c r="Y217" s="64"/>
      <c r="Z217" s="64"/>
      <c r="AA217" s="64"/>
      <c r="AD217" s="64"/>
      <c r="AE217" s="64"/>
      <c r="AF217" s="64"/>
      <c r="AG217" s="64"/>
      <c r="AH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I218" s="64"/>
      <c r="J218" s="64"/>
      <c r="K218" s="64"/>
      <c r="L218" s="64"/>
      <c r="M218" s="64"/>
      <c r="P218" s="64"/>
      <c r="Q218" s="64"/>
      <c r="R218" s="64"/>
      <c r="S218" s="64"/>
      <c r="T218" s="64"/>
      <c r="W218" s="64"/>
      <c r="X218" s="64"/>
      <c r="Y218" s="64"/>
      <c r="Z218" s="64"/>
      <c r="AA218" s="64"/>
      <c r="AD218" s="64"/>
      <c r="AE218" s="64"/>
      <c r="AF218" s="64"/>
      <c r="AG218" s="64"/>
      <c r="AH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I219" s="64"/>
      <c r="J219" s="64"/>
      <c r="K219" s="64"/>
      <c r="L219" s="64"/>
      <c r="M219" s="64"/>
      <c r="P219" s="64"/>
      <c r="Q219" s="64"/>
      <c r="R219" s="64"/>
      <c r="S219" s="64"/>
      <c r="T219" s="64"/>
      <c r="W219" s="64"/>
      <c r="X219" s="64"/>
      <c r="Y219" s="64"/>
      <c r="Z219" s="64"/>
      <c r="AA219" s="64"/>
      <c r="AD219" s="64"/>
      <c r="AE219" s="64"/>
      <c r="AF219" s="64"/>
      <c r="AG219" s="64"/>
      <c r="AH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I220" s="64"/>
      <c r="J220" s="64"/>
      <c r="K220" s="64"/>
      <c r="L220" s="64"/>
      <c r="M220" s="64"/>
      <c r="P220" s="64"/>
      <c r="Q220" s="64"/>
      <c r="R220" s="64"/>
      <c r="S220" s="64"/>
      <c r="T220" s="64"/>
      <c r="W220" s="64"/>
      <c r="X220" s="64"/>
      <c r="Y220" s="64"/>
      <c r="Z220" s="64"/>
      <c r="AA220" s="64"/>
      <c r="AD220" s="64"/>
      <c r="AE220" s="64"/>
      <c r="AF220" s="64"/>
      <c r="AG220" s="64"/>
      <c r="AH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I221" s="64"/>
      <c r="J221" s="64"/>
      <c r="K221" s="64"/>
      <c r="L221" s="64"/>
      <c r="M221" s="64"/>
      <c r="P221" s="64"/>
      <c r="Q221" s="64"/>
      <c r="R221" s="64"/>
      <c r="S221" s="64"/>
      <c r="T221" s="64"/>
      <c r="W221" s="64"/>
      <c r="X221" s="64"/>
      <c r="Y221" s="64"/>
      <c r="Z221" s="64"/>
      <c r="AA221" s="64"/>
      <c r="AD221" s="64"/>
      <c r="AE221" s="64"/>
      <c r="AF221" s="64"/>
      <c r="AG221" s="64"/>
      <c r="AH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I222" s="64"/>
      <c r="J222" s="64"/>
      <c r="K222" s="64"/>
      <c r="L222" s="64"/>
      <c r="M222" s="64"/>
      <c r="P222" s="64"/>
      <c r="Q222" s="64"/>
      <c r="R222" s="64"/>
      <c r="S222" s="64"/>
      <c r="T222" s="64"/>
      <c r="W222" s="64"/>
      <c r="X222" s="64"/>
      <c r="Y222" s="64"/>
      <c r="Z222" s="64"/>
      <c r="AA222" s="64"/>
      <c r="AD222" s="64"/>
      <c r="AE222" s="64"/>
      <c r="AF222" s="64"/>
      <c r="AG222" s="64"/>
      <c r="AH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I223" s="64"/>
      <c r="J223" s="64"/>
      <c r="K223" s="64"/>
      <c r="L223" s="64"/>
      <c r="M223" s="64"/>
      <c r="P223" s="64"/>
      <c r="Q223" s="64"/>
      <c r="R223" s="64"/>
      <c r="S223" s="64"/>
      <c r="T223" s="64"/>
      <c r="W223" s="64"/>
      <c r="X223" s="64"/>
      <c r="Y223" s="64"/>
      <c r="Z223" s="64"/>
      <c r="AA223" s="64"/>
      <c r="AD223" s="64"/>
      <c r="AE223" s="64"/>
      <c r="AF223" s="64"/>
      <c r="AG223" s="64"/>
      <c r="AH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I224" s="64"/>
      <c r="J224" s="64"/>
      <c r="K224" s="64"/>
      <c r="L224" s="64"/>
      <c r="M224" s="64"/>
      <c r="P224" s="64"/>
      <c r="Q224" s="64"/>
      <c r="R224" s="64"/>
      <c r="S224" s="64"/>
      <c r="T224" s="64"/>
      <c r="W224" s="64"/>
      <c r="X224" s="64"/>
      <c r="Y224" s="64"/>
      <c r="Z224" s="64"/>
      <c r="AA224" s="64"/>
      <c r="AD224" s="64"/>
      <c r="AE224" s="64"/>
      <c r="AF224" s="64"/>
      <c r="AG224" s="64"/>
      <c r="AH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I225" s="64"/>
      <c r="J225" s="64"/>
      <c r="K225" s="64"/>
      <c r="L225" s="64"/>
      <c r="M225" s="64"/>
      <c r="P225" s="64"/>
      <c r="Q225" s="64"/>
      <c r="R225" s="64"/>
      <c r="S225" s="64"/>
      <c r="T225" s="64"/>
      <c r="W225" s="64"/>
      <c r="X225" s="64"/>
      <c r="Y225" s="64"/>
      <c r="Z225" s="64"/>
      <c r="AA225" s="64"/>
      <c r="AD225" s="64"/>
      <c r="AE225" s="64"/>
      <c r="AF225" s="64"/>
      <c r="AG225" s="64"/>
      <c r="AH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I226" s="64"/>
      <c r="J226" s="64"/>
      <c r="K226" s="64"/>
      <c r="L226" s="64"/>
      <c r="M226" s="64"/>
      <c r="P226" s="64"/>
      <c r="Q226" s="64"/>
      <c r="R226" s="64"/>
      <c r="S226" s="64"/>
      <c r="T226" s="64"/>
      <c r="W226" s="64"/>
      <c r="X226" s="64"/>
      <c r="Y226" s="64"/>
      <c r="Z226" s="64"/>
      <c r="AA226" s="64"/>
      <c r="AD226" s="64"/>
      <c r="AE226" s="64"/>
      <c r="AF226" s="64"/>
      <c r="AG226" s="64"/>
      <c r="AH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I227" s="64"/>
      <c r="J227" s="64"/>
      <c r="K227" s="64"/>
      <c r="L227" s="64"/>
      <c r="M227" s="64"/>
      <c r="P227" s="64"/>
      <c r="Q227" s="64"/>
      <c r="R227" s="64"/>
      <c r="S227" s="64"/>
      <c r="T227" s="64"/>
      <c r="W227" s="64"/>
      <c r="X227" s="64"/>
      <c r="Y227" s="64"/>
      <c r="Z227" s="64"/>
      <c r="AA227" s="64"/>
      <c r="AD227" s="64"/>
      <c r="AE227" s="64"/>
      <c r="AF227" s="64"/>
      <c r="AG227" s="64"/>
      <c r="AH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I228" s="64"/>
      <c r="J228" s="64"/>
      <c r="K228" s="64"/>
      <c r="L228" s="64"/>
      <c r="M228" s="64"/>
      <c r="P228" s="64"/>
      <c r="Q228" s="64"/>
      <c r="R228" s="64"/>
      <c r="S228" s="64"/>
      <c r="T228" s="64"/>
      <c r="W228" s="64"/>
      <c r="X228" s="64"/>
      <c r="Y228" s="64"/>
      <c r="Z228" s="64"/>
      <c r="AA228" s="64"/>
      <c r="AD228" s="64"/>
      <c r="AE228" s="64"/>
      <c r="AF228" s="64"/>
      <c r="AG228" s="64"/>
      <c r="AH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I229" s="64"/>
      <c r="J229" s="64"/>
      <c r="K229" s="64"/>
      <c r="L229" s="64"/>
      <c r="M229" s="64"/>
      <c r="P229" s="64"/>
      <c r="Q229" s="64"/>
      <c r="R229" s="64"/>
      <c r="S229" s="64"/>
      <c r="T229" s="64"/>
      <c r="W229" s="64"/>
      <c r="X229" s="64"/>
      <c r="Y229" s="64"/>
      <c r="Z229" s="64"/>
      <c r="AA229" s="64"/>
      <c r="AD229" s="64"/>
      <c r="AE229" s="64"/>
      <c r="AF229" s="64"/>
      <c r="AG229" s="64"/>
      <c r="AH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I230" s="64"/>
      <c r="J230" s="64"/>
      <c r="K230" s="64"/>
      <c r="L230" s="64"/>
      <c r="M230" s="64"/>
      <c r="P230" s="64"/>
      <c r="Q230" s="64"/>
      <c r="R230" s="64"/>
      <c r="S230" s="64"/>
      <c r="T230" s="64"/>
      <c r="W230" s="64"/>
      <c r="X230" s="64"/>
      <c r="Y230" s="64"/>
      <c r="Z230" s="64"/>
      <c r="AA230" s="64"/>
      <c r="AD230" s="64"/>
      <c r="AE230" s="64"/>
      <c r="AF230" s="64"/>
      <c r="AG230" s="64"/>
      <c r="AH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I231" s="64"/>
      <c r="J231" s="64"/>
      <c r="K231" s="64"/>
      <c r="L231" s="64"/>
      <c r="M231" s="64"/>
      <c r="P231" s="64"/>
      <c r="Q231" s="64"/>
      <c r="R231" s="64"/>
      <c r="S231" s="64"/>
      <c r="T231" s="64"/>
      <c r="W231" s="64"/>
      <c r="X231" s="64"/>
      <c r="Y231" s="64"/>
      <c r="Z231" s="64"/>
      <c r="AA231" s="64"/>
      <c r="AD231" s="64"/>
      <c r="AE231" s="64"/>
      <c r="AF231" s="64"/>
      <c r="AG231" s="64"/>
      <c r="AH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I232" s="64"/>
      <c r="J232" s="64"/>
      <c r="K232" s="64"/>
      <c r="L232" s="64"/>
      <c r="M232" s="64"/>
      <c r="P232" s="64"/>
      <c r="Q232" s="64"/>
      <c r="R232" s="64"/>
      <c r="S232" s="64"/>
      <c r="T232" s="64"/>
      <c r="W232" s="64"/>
      <c r="X232" s="64"/>
      <c r="Y232" s="64"/>
      <c r="Z232" s="64"/>
      <c r="AA232" s="64"/>
      <c r="AD232" s="64"/>
      <c r="AE232" s="64"/>
      <c r="AF232" s="64"/>
      <c r="AG232" s="64"/>
      <c r="AH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I233" s="64"/>
      <c r="J233" s="64"/>
      <c r="K233" s="64"/>
      <c r="L233" s="64"/>
      <c r="M233" s="64"/>
      <c r="P233" s="64"/>
      <c r="Q233" s="64"/>
      <c r="R233" s="64"/>
      <c r="S233" s="64"/>
      <c r="T233" s="64"/>
      <c r="W233" s="64"/>
      <c r="X233" s="64"/>
      <c r="Y233" s="64"/>
      <c r="Z233" s="64"/>
      <c r="AA233" s="64"/>
      <c r="AD233" s="64"/>
      <c r="AE233" s="64"/>
      <c r="AF233" s="64"/>
      <c r="AG233" s="64"/>
      <c r="AH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I234" s="64"/>
      <c r="J234" s="64"/>
      <c r="K234" s="64"/>
      <c r="L234" s="64"/>
      <c r="M234" s="64"/>
      <c r="P234" s="64"/>
      <c r="Q234" s="64"/>
      <c r="R234" s="64"/>
      <c r="S234" s="64"/>
      <c r="T234" s="64"/>
      <c r="W234" s="64"/>
      <c r="X234" s="64"/>
      <c r="Y234" s="64"/>
      <c r="Z234" s="64"/>
      <c r="AA234" s="64"/>
      <c r="AD234" s="64"/>
      <c r="AE234" s="64"/>
      <c r="AF234" s="64"/>
      <c r="AG234" s="64"/>
      <c r="AH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I235" s="64"/>
      <c r="J235" s="64"/>
      <c r="K235" s="64"/>
      <c r="L235" s="64"/>
      <c r="M235" s="64"/>
      <c r="P235" s="64"/>
      <c r="Q235" s="64"/>
      <c r="R235" s="64"/>
      <c r="S235" s="64"/>
      <c r="T235" s="64"/>
      <c r="W235" s="64"/>
      <c r="X235" s="64"/>
      <c r="Y235" s="64"/>
      <c r="Z235" s="64"/>
      <c r="AA235" s="64"/>
      <c r="AD235" s="64"/>
      <c r="AE235" s="64"/>
      <c r="AF235" s="64"/>
      <c r="AG235" s="64"/>
      <c r="AH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I236" s="64"/>
      <c r="J236" s="64"/>
      <c r="K236" s="64"/>
      <c r="L236" s="64"/>
      <c r="M236" s="64"/>
      <c r="P236" s="64"/>
      <c r="Q236" s="64"/>
      <c r="R236" s="64"/>
      <c r="S236" s="64"/>
      <c r="T236" s="64"/>
      <c r="W236" s="64"/>
      <c r="X236" s="64"/>
      <c r="Y236" s="64"/>
      <c r="Z236" s="64"/>
      <c r="AA236" s="64"/>
      <c r="AD236" s="64"/>
      <c r="AE236" s="64"/>
      <c r="AF236" s="64"/>
      <c r="AG236" s="64"/>
      <c r="AH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I237" s="64"/>
      <c r="J237" s="64"/>
      <c r="K237" s="64"/>
      <c r="L237" s="64"/>
      <c r="M237" s="64"/>
      <c r="P237" s="64"/>
      <c r="Q237" s="64"/>
      <c r="R237" s="64"/>
      <c r="S237" s="64"/>
      <c r="T237" s="64"/>
      <c r="W237" s="64"/>
      <c r="X237" s="64"/>
      <c r="Y237" s="64"/>
      <c r="Z237" s="64"/>
      <c r="AA237" s="64"/>
      <c r="AD237" s="64"/>
      <c r="AE237" s="64"/>
      <c r="AF237" s="64"/>
      <c r="AG237" s="64"/>
      <c r="AH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I238" s="64"/>
      <c r="J238" s="64"/>
      <c r="K238" s="64"/>
      <c r="L238" s="64"/>
      <c r="M238" s="64"/>
      <c r="P238" s="64"/>
      <c r="Q238" s="64"/>
      <c r="R238" s="64"/>
      <c r="S238" s="64"/>
      <c r="T238" s="64"/>
      <c r="W238" s="64"/>
      <c r="X238" s="64"/>
      <c r="Y238" s="64"/>
      <c r="Z238" s="64"/>
      <c r="AA238" s="64"/>
      <c r="AD238" s="64"/>
      <c r="AE238" s="64"/>
      <c r="AF238" s="64"/>
      <c r="AG238" s="64"/>
      <c r="AH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I239" s="64"/>
      <c r="J239" s="64"/>
      <c r="K239" s="64"/>
      <c r="L239" s="64"/>
      <c r="M239" s="64"/>
      <c r="P239" s="64"/>
      <c r="Q239" s="64"/>
      <c r="R239" s="64"/>
      <c r="S239" s="64"/>
      <c r="T239" s="64"/>
      <c r="W239" s="64"/>
      <c r="X239" s="64"/>
      <c r="Y239" s="64"/>
      <c r="Z239" s="64"/>
      <c r="AA239" s="64"/>
      <c r="AD239" s="64"/>
      <c r="AE239" s="64"/>
      <c r="AF239" s="64"/>
      <c r="AG239" s="64"/>
      <c r="AH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I240" s="64"/>
      <c r="J240" s="64"/>
      <c r="K240" s="64"/>
      <c r="L240" s="64"/>
      <c r="M240" s="64"/>
      <c r="P240" s="64"/>
      <c r="Q240" s="64"/>
      <c r="R240" s="64"/>
      <c r="S240" s="64"/>
      <c r="T240" s="64"/>
      <c r="W240" s="64"/>
      <c r="X240" s="64"/>
      <c r="Y240" s="64"/>
      <c r="Z240" s="64"/>
      <c r="AA240" s="64"/>
      <c r="AD240" s="64"/>
      <c r="AE240" s="64"/>
      <c r="AF240" s="64"/>
      <c r="AG240" s="64"/>
      <c r="AH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I241" s="64"/>
      <c r="J241" s="64"/>
      <c r="K241" s="64"/>
      <c r="L241" s="64"/>
      <c r="M241" s="64"/>
      <c r="P241" s="64"/>
      <c r="Q241" s="64"/>
      <c r="R241" s="64"/>
      <c r="S241" s="64"/>
      <c r="T241" s="64"/>
      <c r="W241" s="64"/>
      <c r="X241" s="64"/>
      <c r="Y241" s="64"/>
      <c r="Z241" s="64"/>
      <c r="AA241" s="64"/>
      <c r="AD241" s="64"/>
      <c r="AE241" s="64"/>
      <c r="AF241" s="64"/>
      <c r="AG241" s="64"/>
      <c r="AH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I242" s="64"/>
      <c r="J242" s="64"/>
      <c r="K242" s="64"/>
      <c r="L242" s="64"/>
      <c r="M242" s="64"/>
      <c r="P242" s="64"/>
      <c r="Q242" s="64"/>
      <c r="R242" s="64"/>
      <c r="S242" s="64"/>
      <c r="T242" s="64"/>
      <c r="W242" s="64"/>
      <c r="X242" s="64"/>
      <c r="Y242" s="64"/>
      <c r="Z242" s="64"/>
      <c r="AA242" s="64"/>
      <c r="AD242" s="64"/>
      <c r="AE242" s="64"/>
      <c r="AF242" s="64"/>
      <c r="AG242" s="64"/>
      <c r="AH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I243" s="64"/>
      <c r="J243" s="64"/>
      <c r="K243" s="64"/>
      <c r="L243" s="64"/>
      <c r="M243" s="64"/>
      <c r="P243" s="64"/>
      <c r="Q243" s="64"/>
      <c r="R243" s="64"/>
      <c r="S243" s="64"/>
      <c r="T243" s="64"/>
      <c r="W243" s="64"/>
      <c r="X243" s="64"/>
      <c r="Y243" s="64"/>
      <c r="Z243" s="64"/>
      <c r="AA243" s="64"/>
      <c r="AD243" s="64"/>
      <c r="AE243" s="64"/>
      <c r="AF243" s="64"/>
      <c r="AG243" s="64"/>
      <c r="AH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I244" s="64"/>
      <c r="J244" s="64"/>
      <c r="K244" s="64"/>
      <c r="L244" s="64"/>
      <c r="M244" s="64"/>
      <c r="P244" s="64"/>
      <c r="Q244" s="64"/>
      <c r="R244" s="64"/>
      <c r="S244" s="64"/>
      <c r="T244" s="64"/>
      <c r="W244" s="64"/>
      <c r="X244" s="64"/>
      <c r="Y244" s="64"/>
      <c r="Z244" s="64"/>
      <c r="AA244" s="64"/>
      <c r="AD244" s="64"/>
      <c r="AE244" s="64"/>
      <c r="AF244" s="64"/>
      <c r="AG244" s="64"/>
      <c r="AH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I245" s="64"/>
      <c r="J245" s="64"/>
      <c r="K245" s="64"/>
      <c r="L245" s="64"/>
      <c r="M245" s="64"/>
      <c r="P245" s="64"/>
      <c r="Q245" s="64"/>
      <c r="R245" s="64"/>
      <c r="S245" s="64"/>
      <c r="T245" s="64"/>
      <c r="W245" s="64"/>
      <c r="X245" s="64"/>
      <c r="Y245" s="64"/>
      <c r="Z245" s="64"/>
      <c r="AA245" s="64"/>
      <c r="AD245" s="64"/>
      <c r="AE245" s="64"/>
      <c r="AF245" s="64"/>
      <c r="AG245" s="64"/>
      <c r="AH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I246" s="64"/>
      <c r="J246" s="64"/>
      <c r="K246" s="64"/>
      <c r="L246" s="64"/>
      <c r="M246" s="64"/>
      <c r="P246" s="64"/>
      <c r="Q246" s="64"/>
      <c r="R246" s="64"/>
      <c r="S246" s="64"/>
      <c r="T246" s="64"/>
      <c r="W246" s="64"/>
      <c r="X246" s="64"/>
      <c r="Y246" s="64"/>
      <c r="Z246" s="64"/>
      <c r="AA246" s="64"/>
      <c r="AD246" s="64"/>
      <c r="AE246" s="64"/>
      <c r="AF246" s="64"/>
      <c r="AG246" s="64"/>
      <c r="AH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I247" s="64"/>
      <c r="J247" s="64"/>
      <c r="K247" s="64"/>
      <c r="L247" s="64"/>
      <c r="M247" s="64"/>
      <c r="P247" s="64"/>
      <c r="Q247" s="64"/>
      <c r="R247" s="64"/>
      <c r="S247" s="64"/>
      <c r="T247" s="64"/>
      <c r="W247" s="64"/>
      <c r="X247" s="64"/>
      <c r="Y247" s="64"/>
      <c r="Z247" s="64"/>
      <c r="AA247" s="64"/>
      <c r="AD247" s="64"/>
      <c r="AE247" s="64"/>
      <c r="AF247" s="64"/>
      <c r="AG247" s="64"/>
      <c r="AH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I248" s="64"/>
      <c r="J248" s="64"/>
      <c r="K248" s="64"/>
      <c r="L248" s="64"/>
      <c r="M248" s="64"/>
      <c r="P248" s="64"/>
      <c r="Q248" s="64"/>
      <c r="R248" s="64"/>
      <c r="S248" s="64"/>
      <c r="T248" s="64"/>
      <c r="W248" s="64"/>
      <c r="X248" s="64"/>
      <c r="Y248" s="64"/>
      <c r="Z248" s="64"/>
      <c r="AA248" s="64"/>
      <c r="AD248" s="64"/>
      <c r="AE248" s="64"/>
      <c r="AF248" s="64"/>
      <c r="AG248" s="64"/>
      <c r="AH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I249" s="64"/>
      <c r="J249" s="64"/>
      <c r="K249" s="64"/>
      <c r="L249" s="64"/>
      <c r="M249" s="64"/>
      <c r="P249" s="64"/>
      <c r="Q249" s="64"/>
      <c r="R249" s="64"/>
      <c r="S249" s="64"/>
      <c r="T249" s="64"/>
      <c r="W249" s="64"/>
      <c r="X249" s="64"/>
      <c r="Y249" s="64"/>
      <c r="Z249" s="64"/>
      <c r="AA249" s="64"/>
      <c r="AD249" s="64"/>
      <c r="AE249" s="64"/>
      <c r="AF249" s="64"/>
      <c r="AG249" s="64"/>
      <c r="AH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I250" s="64"/>
      <c r="J250" s="64"/>
      <c r="K250" s="64"/>
      <c r="L250" s="64"/>
      <c r="M250" s="64"/>
      <c r="P250" s="64"/>
      <c r="Q250" s="64"/>
      <c r="R250" s="64"/>
      <c r="S250" s="64"/>
      <c r="T250" s="64"/>
      <c r="W250" s="64"/>
      <c r="X250" s="64"/>
      <c r="Y250" s="64"/>
      <c r="Z250" s="64"/>
      <c r="AA250" s="64"/>
      <c r="AD250" s="64"/>
      <c r="AE250" s="64"/>
      <c r="AF250" s="64"/>
      <c r="AG250" s="64"/>
      <c r="AH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I251" s="64"/>
      <c r="J251" s="64"/>
      <c r="K251" s="64"/>
      <c r="L251" s="64"/>
      <c r="M251" s="64"/>
      <c r="P251" s="64"/>
      <c r="Q251" s="64"/>
      <c r="R251" s="64"/>
      <c r="S251" s="64"/>
      <c r="T251" s="64"/>
      <c r="W251" s="64"/>
      <c r="X251" s="64"/>
      <c r="Y251" s="64"/>
      <c r="Z251" s="64"/>
      <c r="AA251" s="64"/>
      <c r="AD251" s="64"/>
      <c r="AE251" s="64"/>
      <c r="AF251" s="64"/>
      <c r="AG251" s="64"/>
      <c r="AH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I252" s="64"/>
      <c r="J252" s="64"/>
      <c r="K252" s="64"/>
      <c r="L252" s="64"/>
      <c r="M252" s="64"/>
      <c r="P252" s="64"/>
      <c r="Q252" s="64"/>
      <c r="R252" s="64"/>
      <c r="S252" s="64"/>
      <c r="T252" s="64"/>
      <c r="W252" s="64"/>
      <c r="X252" s="64"/>
      <c r="Y252" s="64"/>
      <c r="Z252" s="64"/>
      <c r="AA252" s="64"/>
      <c r="AD252" s="64"/>
      <c r="AE252" s="64"/>
      <c r="AF252" s="64"/>
      <c r="AG252" s="64"/>
      <c r="AH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I253" s="64"/>
      <c r="J253" s="64"/>
      <c r="K253" s="64"/>
      <c r="L253" s="64"/>
      <c r="M253" s="64"/>
      <c r="P253" s="64"/>
      <c r="Q253" s="64"/>
      <c r="R253" s="64"/>
      <c r="S253" s="64"/>
      <c r="T253" s="64"/>
      <c r="W253" s="64"/>
      <c r="X253" s="64"/>
      <c r="Y253" s="64"/>
      <c r="Z253" s="64"/>
      <c r="AA253" s="64"/>
      <c r="AD253" s="64"/>
      <c r="AE253" s="64"/>
      <c r="AF253" s="64"/>
      <c r="AG253" s="64"/>
      <c r="AH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I254" s="64"/>
      <c r="J254" s="64"/>
      <c r="K254" s="64"/>
      <c r="L254" s="64"/>
      <c r="M254" s="64"/>
      <c r="P254" s="64"/>
      <c r="Q254" s="64"/>
      <c r="R254" s="64"/>
      <c r="S254" s="64"/>
      <c r="T254" s="64"/>
      <c r="W254" s="64"/>
      <c r="X254" s="64"/>
      <c r="Y254" s="64"/>
      <c r="Z254" s="64"/>
      <c r="AA254" s="64"/>
      <c r="AD254" s="64"/>
      <c r="AE254" s="64"/>
      <c r="AF254" s="64"/>
      <c r="AG254" s="64"/>
      <c r="AH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I255" s="64"/>
      <c r="J255" s="64"/>
      <c r="K255" s="64"/>
      <c r="L255" s="64"/>
      <c r="M255" s="64"/>
      <c r="P255" s="64"/>
      <c r="Q255" s="64"/>
      <c r="R255" s="64"/>
      <c r="S255" s="64"/>
      <c r="T255" s="64"/>
      <c r="W255" s="64"/>
      <c r="X255" s="64"/>
      <c r="Y255" s="64"/>
      <c r="Z255" s="64"/>
      <c r="AA255" s="64"/>
      <c r="AD255" s="64"/>
      <c r="AE255" s="64"/>
      <c r="AF255" s="64"/>
      <c r="AG255" s="64"/>
      <c r="AH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I256" s="64"/>
      <c r="J256" s="64"/>
      <c r="K256" s="64"/>
      <c r="L256" s="64"/>
      <c r="M256" s="64"/>
      <c r="P256" s="64"/>
      <c r="Q256" s="64"/>
      <c r="R256" s="64"/>
      <c r="S256" s="64"/>
      <c r="T256" s="64"/>
      <c r="W256" s="64"/>
      <c r="X256" s="64"/>
      <c r="Y256" s="64"/>
      <c r="Z256" s="64"/>
      <c r="AA256" s="64"/>
      <c r="AD256" s="64"/>
      <c r="AE256" s="64"/>
      <c r="AF256" s="64"/>
      <c r="AG256" s="64"/>
      <c r="AH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I257" s="64"/>
      <c r="J257" s="64"/>
      <c r="K257" s="64"/>
      <c r="L257" s="64"/>
      <c r="M257" s="64"/>
      <c r="P257" s="64"/>
      <c r="Q257" s="64"/>
      <c r="R257" s="64"/>
      <c r="S257" s="64"/>
      <c r="T257" s="64"/>
      <c r="W257" s="64"/>
      <c r="X257" s="64"/>
      <c r="Y257" s="64"/>
      <c r="Z257" s="64"/>
      <c r="AA257" s="64"/>
      <c r="AD257" s="64"/>
      <c r="AE257" s="64"/>
      <c r="AF257" s="64"/>
      <c r="AG257" s="64"/>
      <c r="AH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I258" s="64"/>
      <c r="J258" s="64"/>
      <c r="K258" s="64"/>
      <c r="L258" s="64"/>
      <c r="M258" s="64"/>
      <c r="P258" s="64"/>
      <c r="Q258" s="64"/>
      <c r="R258" s="64"/>
      <c r="S258" s="64"/>
      <c r="T258" s="64"/>
      <c r="W258" s="64"/>
      <c r="X258" s="64"/>
      <c r="Y258" s="64"/>
      <c r="Z258" s="64"/>
      <c r="AA258" s="64"/>
      <c r="AD258" s="64"/>
      <c r="AE258" s="64"/>
      <c r="AF258" s="64"/>
      <c r="AG258" s="64"/>
      <c r="AH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I259" s="64"/>
      <c r="J259" s="64"/>
      <c r="K259" s="64"/>
      <c r="L259" s="64"/>
      <c r="M259" s="64"/>
      <c r="P259" s="64"/>
      <c r="Q259" s="64"/>
      <c r="R259" s="64"/>
      <c r="S259" s="64"/>
      <c r="T259" s="64"/>
      <c r="W259" s="64"/>
      <c r="X259" s="64"/>
      <c r="Y259" s="64"/>
      <c r="Z259" s="64"/>
      <c r="AA259" s="64"/>
      <c r="AD259" s="64"/>
      <c r="AE259" s="64"/>
      <c r="AF259" s="64"/>
      <c r="AG259" s="64"/>
      <c r="AH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I260" s="64"/>
      <c r="J260" s="64"/>
      <c r="K260" s="64"/>
      <c r="L260" s="64"/>
      <c r="M260" s="64"/>
      <c r="P260" s="64"/>
      <c r="Q260" s="64"/>
      <c r="R260" s="64"/>
      <c r="S260" s="64"/>
      <c r="T260" s="64"/>
      <c r="W260" s="64"/>
      <c r="X260" s="64"/>
      <c r="Y260" s="64"/>
      <c r="Z260" s="64"/>
      <c r="AA260" s="64"/>
      <c r="AD260" s="64"/>
      <c r="AE260" s="64"/>
      <c r="AF260" s="64"/>
      <c r="AG260" s="64"/>
      <c r="AH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I261" s="64"/>
      <c r="J261" s="64"/>
      <c r="K261" s="64"/>
      <c r="L261" s="64"/>
      <c r="M261" s="64"/>
      <c r="P261" s="64"/>
      <c r="Q261" s="64"/>
      <c r="R261" s="64"/>
      <c r="S261" s="64"/>
      <c r="T261" s="64"/>
      <c r="W261" s="64"/>
      <c r="X261" s="64"/>
      <c r="Y261" s="64"/>
      <c r="Z261" s="64"/>
      <c r="AA261" s="64"/>
      <c r="AD261" s="64"/>
      <c r="AE261" s="64"/>
      <c r="AF261" s="64"/>
      <c r="AG261" s="64"/>
      <c r="AH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I262" s="64"/>
      <c r="J262" s="64"/>
      <c r="K262" s="64"/>
      <c r="L262" s="64"/>
      <c r="M262" s="64"/>
      <c r="P262" s="64"/>
      <c r="Q262" s="64"/>
      <c r="R262" s="64"/>
      <c r="S262" s="64"/>
      <c r="T262" s="64"/>
      <c r="W262" s="64"/>
      <c r="X262" s="64"/>
      <c r="Y262" s="64"/>
      <c r="Z262" s="64"/>
      <c r="AA262" s="64"/>
      <c r="AD262" s="64"/>
      <c r="AE262" s="64"/>
      <c r="AF262" s="64"/>
      <c r="AG262" s="64"/>
      <c r="AH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I263" s="64"/>
      <c r="J263" s="64"/>
      <c r="K263" s="64"/>
      <c r="L263" s="64"/>
      <c r="M263" s="64"/>
      <c r="P263" s="64"/>
      <c r="Q263" s="64"/>
      <c r="R263" s="64"/>
      <c r="S263" s="64"/>
      <c r="T263" s="64"/>
      <c r="W263" s="64"/>
      <c r="X263" s="64"/>
      <c r="Y263" s="64"/>
      <c r="Z263" s="64"/>
      <c r="AA263" s="64"/>
      <c r="AD263" s="64"/>
      <c r="AE263" s="64"/>
      <c r="AF263" s="64"/>
      <c r="AG263" s="64"/>
      <c r="AH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I264" s="64"/>
      <c r="J264" s="64"/>
      <c r="K264" s="64"/>
      <c r="L264" s="64"/>
      <c r="M264" s="64"/>
      <c r="P264" s="64"/>
      <c r="Q264" s="64"/>
      <c r="R264" s="64"/>
      <c r="S264" s="64"/>
      <c r="T264" s="64"/>
      <c r="W264" s="64"/>
      <c r="X264" s="64"/>
      <c r="Y264" s="64"/>
      <c r="Z264" s="64"/>
      <c r="AA264" s="64"/>
      <c r="AD264" s="64"/>
      <c r="AE264" s="64"/>
      <c r="AF264" s="64"/>
      <c r="AG264" s="64"/>
      <c r="AH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I265" s="64"/>
      <c r="J265" s="64"/>
      <c r="K265" s="64"/>
      <c r="L265" s="64"/>
      <c r="M265" s="64"/>
      <c r="P265" s="64"/>
      <c r="Q265" s="64"/>
      <c r="R265" s="64"/>
      <c r="S265" s="64"/>
      <c r="T265" s="64"/>
      <c r="W265" s="64"/>
      <c r="X265" s="64"/>
      <c r="Y265" s="64"/>
      <c r="Z265" s="64"/>
      <c r="AA265" s="64"/>
      <c r="AD265" s="64"/>
      <c r="AE265" s="64"/>
      <c r="AF265" s="64"/>
      <c r="AG265" s="64"/>
      <c r="AH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I266" s="64"/>
      <c r="J266" s="64"/>
      <c r="K266" s="64"/>
      <c r="L266" s="64"/>
      <c r="M266" s="64"/>
      <c r="P266" s="64"/>
      <c r="Q266" s="64"/>
      <c r="R266" s="64"/>
      <c r="S266" s="64"/>
      <c r="T266" s="64"/>
      <c r="W266" s="64"/>
      <c r="X266" s="64"/>
      <c r="Y266" s="64"/>
      <c r="Z266" s="64"/>
      <c r="AA266" s="64"/>
      <c r="AD266" s="64"/>
      <c r="AE266" s="64"/>
      <c r="AF266" s="64"/>
      <c r="AG266" s="64"/>
      <c r="AH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I267" s="64"/>
      <c r="J267" s="64"/>
      <c r="K267" s="64"/>
      <c r="L267" s="64"/>
      <c r="M267" s="64"/>
      <c r="P267" s="64"/>
      <c r="Q267" s="64"/>
      <c r="R267" s="64"/>
      <c r="S267" s="64"/>
      <c r="T267" s="64"/>
      <c r="W267" s="64"/>
      <c r="X267" s="64"/>
      <c r="Y267" s="64"/>
      <c r="Z267" s="64"/>
      <c r="AA267" s="64"/>
      <c r="AD267" s="64"/>
      <c r="AE267" s="64"/>
      <c r="AF267" s="64"/>
      <c r="AG267" s="64"/>
      <c r="AH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I268" s="64"/>
      <c r="J268" s="64"/>
      <c r="K268" s="64"/>
      <c r="L268" s="64"/>
      <c r="M268" s="64"/>
      <c r="P268" s="64"/>
      <c r="Q268" s="64"/>
      <c r="R268" s="64"/>
      <c r="S268" s="64"/>
      <c r="T268" s="64"/>
      <c r="W268" s="64"/>
      <c r="X268" s="64"/>
      <c r="Y268" s="64"/>
      <c r="Z268" s="64"/>
      <c r="AA268" s="64"/>
      <c r="AD268" s="64"/>
      <c r="AE268" s="64"/>
      <c r="AF268" s="64"/>
      <c r="AG268" s="64"/>
      <c r="AH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I269" s="64"/>
      <c r="J269" s="64"/>
      <c r="K269" s="64"/>
      <c r="L269" s="64"/>
      <c r="M269" s="64"/>
      <c r="P269" s="64"/>
      <c r="Q269" s="64"/>
      <c r="R269" s="64"/>
      <c r="S269" s="64"/>
      <c r="T269" s="64"/>
      <c r="W269" s="64"/>
      <c r="X269" s="64"/>
      <c r="Y269" s="64"/>
      <c r="Z269" s="64"/>
      <c r="AA269" s="64"/>
      <c r="AD269" s="64"/>
      <c r="AE269" s="64"/>
      <c r="AF269" s="64"/>
      <c r="AG269" s="64"/>
      <c r="AH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I270" s="64"/>
      <c r="J270" s="64"/>
      <c r="K270" s="64"/>
      <c r="L270" s="64"/>
      <c r="M270" s="64"/>
      <c r="P270" s="64"/>
      <c r="Q270" s="64"/>
      <c r="R270" s="64"/>
      <c r="S270" s="64"/>
      <c r="T270" s="64"/>
      <c r="W270" s="64"/>
      <c r="X270" s="64"/>
      <c r="Y270" s="64"/>
      <c r="Z270" s="64"/>
      <c r="AA270" s="64"/>
      <c r="AD270" s="64"/>
      <c r="AE270" s="64"/>
      <c r="AF270" s="64"/>
      <c r="AG270" s="64"/>
      <c r="AH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I271" s="64"/>
      <c r="J271" s="64"/>
      <c r="K271" s="64"/>
      <c r="L271" s="64"/>
      <c r="M271" s="64"/>
      <c r="P271" s="64"/>
      <c r="Q271" s="64"/>
      <c r="R271" s="64"/>
      <c r="S271" s="64"/>
      <c r="T271" s="64"/>
      <c r="W271" s="64"/>
      <c r="X271" s="64"/>
      <c r="Y271" s="64"/>
      <c r="Z271" s="64"/>
      <c r="AA271" s="64"/>
      <c r="AD271" s="64"/>
      <c r="AE271" s="64"/>
      <c r="AF271" s="64"/>
      <c r="AG271" s="64"/>
      <c r="AH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I272" s="64"/>
      <c r="J272" s="64"/>
      <c r="K272" s="64"/>
      <c r="L272" s="64"/>
      <c r="M272" s="64"/>
      <c r="P272" s="64"/>
      <c r="Q272" s="64"/>
      <c r="R272" s="64"/>
      <c r="S272" s="64"/>
      <c r="T272" s="64"/>
      <c r="W272" s="64"/>
      <c r="X272" s="64"/>
      <c r="Y272" s="64"/>
      <c r="Z272" s="64"/>
      <c r="AA272" s="64"/>
      <c r="AD272" s="64"/>
      <c r="AE272" s="64"/>
      <c r="AF272" s="64"/>
      <c r="AG272" s="64"/>
      <c r="AH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I273" s="64"/>
      <c r="J273" s="64"/>
      <c r="K273" s="64"/>
      <c r="L273" s="64"/>
      <c r="M273" s="64"/>
      <c r="P273" s="64"/>
      <c r="Q273" s="64"/>
      <c r="R273" s="64"/>
      <c r="S273" s="64"/>
      <c r="T273" s="64"/>
      <c r="W273" s="64"/>
      <c r="X273" s="64"/>
      <c r="Y273" s="64"/>
      <c r="Z273" s="64"/>
      <c r="AA273" s="64"/>
      <c r="AD273" s="64"/>
      <c r="AE273" s="64"/>
      <c r="AF273" s="64"/>
      <c r="AG273" s="64"/>
      <c r="AH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I274" s="64"/>
      <c r="J274" s="64"/>
      <c r="K274" s="64"/>
      <c r="L274" s="64"/>
      <c r="M274" s="64"/>
      <c r="P274" s="64"/>
      <c r="Q274" s="64"/>
      <c r="R274" s="64"/>
      <c r="S274" s="64"/>
      <c r="T274" s="64"/>
      <c r="W274" s="64"/>
      <c r="X274" s="64"/>
      <c r="Y274" s="64"/>
      <c r="Z274" s="64"/>
      <c r="AA274" s="64"/>
      <c r="AD274" s="64"/>
      <c r="AE274" s="64"/>
      <c r="AF274" s="64"/>
      <c r="AG274" s="64"/>
      <c r="AH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I275" s="64"/>
      <c r="J275" s="64"/>
      <c r="K275" s="64"/>
      <c r="L275" s="64"/>
      <c r="M275" s="64"/>
      <c r="P275" s="64"/>
      <c r="Q275" s="64"/>
      <c r="R275" s="64"/>
      <c r="S275" s="64"/>
      <c r="T275" s="64"/>
      <c r="W275" s="64"/>
      <c r="X275" s="64"/>
      <c r="Y275" s="64"/>
      <c r="Z275" s="64"/>
      <c r="AA275" s="64"/>
      <c r="AD275" s="64"/>
      <c r="AE275" s="64"/>
      <c r="AF275" s="64"/>
      <c r="AG275" s="64"/>
      <c r="AH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I276" s="64"/>
      <c r="J276" s="64"/>
      <c r="K276" s="64"/>
      <c r="L276" s="64"/>
      <c r="M276" s="64"/>
      <c r="P276" s="64"/>
      <c r="Q276" s="64"/>
      <c r="R276" s="64"/>
      <c r="S276" s="64"/>
      <c r="T276" s="64"/>
      <c r="W276" s="64"/>
      <c r="X276" s="64"/>
      <c r="Y276" s="64"/>
      <c r="Z276" s="64"/>
      <c r="AA276" s="64"/>
      <c r="AD276" s="64"/>
      <c r="AE276" s="64"/>
      <c r="AF276" s="64"/>
      <c r="AG276" s="64"/>
      <c r="AH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I277" s="64"/>
      <c r="J277" s="64"/>
      <c r="K277" s="64"/>
      <c r="L277" s="64"/>
      <c r="M277" s="64"/>
      <c r="P277" s="64"/>
      <c r="Q277" s="64"/>
      <c r="R277" s="64"/>
      <c r="S277" s="64"/>
      <c r="T277" s="64"/>
      <c r="W277" s="64"/>
      <c r="X277" s="64"/>
      <c r="Y277" s="64"/>
      <c r="Z277" s="64"/>
      <c r="AA277" s="64"/>
      <c r="AD277" s="64"/>
      <c r="AE277" s="64"/>
      <c r="AF277" s="64"/>
      <c r="AG277" s="64"/>
      <c r="AH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I278" s="64"/>
      <c r="J278" s="64"/>
      <c r="K278" s="64"/>
      <c r="L278" s="64"/>
      <c r="M278" s="64"/>
      <c r="P278" s="64"/>
      <c r="Q278" s="64"/>
      <c r="R278" s="64"/>
      <c r="S278" s="64"/>
      <c r="T278" s="64"/>
      <c r="W278" s="64"/>
      <c r="X278" s="64"/>
      <c r="Y278" s="64"/>
      <c r="Z278" s="64"/>
      <c r="AA278" s="64"/>
      <c r="AD278" s="64"/>
      <c r="AE278" s="64"/>
      <c r="AF278" s="64"/>
      <c r="AG278" s="64"/>
      <c r="AH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I279" s="64"/>
      <c r="J279" s="64"/>
      <c r="K279" s="64"/>
      <c r="L279" s="64"/>
      <c r="M279" s="64"/>
      <c r="P279" s="64"/>
      <c r="Q279" s="64"/>
      <c r="R279" s="64"/>
      <c r="S279" s="64"/>
      <c r="T279" s="64"/>
      <c r="W279" s="64"/>
      <c r="X279" s="64"/>
      <c r="Y279" s="64"/>
      <c r="Z279" s="64"/>
      <c r="AA279" s="64"/>
      <c r="AD279" s="64"/>
      <c r="AE279" s="64"/>
      <c r="AF279" s="64"/>
      <c r="AG279" s="64"/>
      <c r="AH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I280" s="64"/>
      <c r="J280" s="64"/>
      <c r="K280" s="64"/>
      <c r="L280" s="64"/>
      <c r="M280" s="64"/>
      <c r="P280" s="64"/>
      <c r="Q280" s="64"/>
      <c r="R280" s="64"/>
      <c r="S280" s="64"/>
      <c r="T280" s="64"/>
      <c r="W280" s="64"/>
      <c r="X280" s="64"/>
      <c r="Y280" s="64"/>
      <c r="Z280" s="64"/>
      <c r="AA280" s="64"/>
      <c r="AD280" s="64"/>
      <c r="AE280" s="64"/>
      <c r="AF280" s="64"/>
      <c r="AG280" s="64"/>
      <c r="AH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I281" s="64"/>
      <c r="J281" s="64"/>
      <c r="K281" s="64"/>
      <c r="L281" s="64"/>
      <c r="M281" s="64"/>
      <c r="P281" s="64"/>
      <c r="Q281" s="64"/>
      <c r="R281" s="64"/>
      <c r="S281" s="64"/>
      <c r="T281" s="64"/>
      <c r="W281" s="64"/>
      <c r="X281" s="64"/>
      <c r="Y281" s="64"/>
      <c r="Z281" s="64"/>
      <c r="AA281" s="64"/>
      <c r="AD281" s="64"/>
      <c r="AE281" s="64"/>
      <c r="AF281" s="64"/>
      <c r="AG281" s="64"/>
      <c r="AH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I282" s="64"/>
      <c r="J282" s="64"/>
      <c r="K282" s="64"/>
      <c r="L282" s="64"/>
      <c r="M282" s="64"/>
      <c r="P282" s="64"/>
      <c r="Q282" s="64"/>
      <c r="R282" s="64"/>
      <c r="S282" s="64"/>
      <c r="T282" s="64"/>
      <c r="W282" s="64"/>
      <c r="X282" s="64"/>
      <c r="Y282" s="64"/>
      <c r="Z282" s="64"/>
      <c r="AA282" s="64"/>
      <c r="AD282" s="64"/>
      <c r="AE282" s="64"/>
      <c r="AF282" s="64"/>
      <c r="AG282" s="64"/>
      <c r="AH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I283" s="64"/>
      <c r="J283" s="64"/>
      <c r="K283" s="64"/>
      <c r="L283" s="64"/>
      <c r="M283" s="64"/>
      <c r="P283" s="64"/>
      <c r="Q283" s="64"/>
      <c r="R283" s="64"/>
      <c r="S283" s="64"/>
      <c r="T283" s="64"/>
      <c r="W283" s="64"/>
      <c r="X283" s="64"/>
      <c r="Y283" s="64"/>
      <c r="Z283" s="64"/>
      <c r="AA283" s="64"/>
      <c r="AD283" s="64"/>
      <c r="AE283" s="64"/>
      <c r="AF283" s="64"/>
      <c r="AG283" s="64"/>
      <c r="AH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I284" s="64"/>
      <c r="J284" s="64"/>
      <c r="K284" s="64"/>
      <c r="L284" s="64"/>
      <c r="M284" s="64"/>
      <c r="P284" s="64"/>
      <c r="Q284" s="64"/>
      <c r="R284" s="64"/>
      <c r="S284" s="64"/>
      <c r="T284" s="64"/>
      <c r="W284" s="64"/>
      <c r="X284" s="64"/>
      <c r="Y284" s="64"/>
      <c r="Z284" s="64"/>
      <c r="AA284" s="64"/>
      <c r="AD284" s="64"/>
      <c r="AE284" s="64"/>
      <c r="AF284" s="64"/>
      <c r="AG284" s="64"/>
      <c r="AH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I285" s="64"/>
      <c r="J285" s="64"/>
      <c r="K285" s="64"/>
      <c r="L285" s="64"/>
      <c r="M285" s="64"/>
      <c r="P285" s="64"/>
      <c r="Q285" s="64"/>
      <c r="R285" s="64"/>
      <c r="S285" s="64"/>
      <c r="T285" s="64"/>
      <c r="W285" s="64"/>
      <c r="X285" s="64"/>
      <c r="Y285" s="64"/>
      <c r="Z285" s="64"/>
      <c r="AA285" s="64"/>
      <c r="AD285" s="64"/>
      <c r="AE285" s="64"/>
      <c r="AF285" s="64"/>
      <c r="AG285" s="64"/>
      <c r="AH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I286" s="64"/>
      <c r="J286" s="64"/>
      <c r="K286" s="64"/>
      <c r="L286" s="64"/>
      <c r="M286" s="64"/>
      <c r="P286" s="64"/>
      <c r="Q286" s="64"/>
      <c r="R286" s="64"/>
      <c r="S286" s="64"/>
      <c r="T286" s="64"/>
      <c r="W286" s="64"/>
      <c r="X286" s="64"/>
      <c r="Y286" s="64"/>
      <c r="Z286" s="64"/>
      <c r="AA286" s="64"/>
      <c r="AD286" s="64"/>
      <c r="AE286" s="64"/>
      <c r="AF286" s="64"/>
      <c r="AG286" s="64"/>
      <c r="AH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I287" s="64"/>
      <c r="J287" s="64"/>
      <c r="K287" s="64"/>
      <c r="L287" s="64"/>
      <c r="M287" s="64"/>
      <c r="P287" s="64"/>
      <c r="Q287" s="64"/>
      <c r="R287" s="64"/>
      <c r="S287" s="64"/>
      <c r="T287" s="64"/>
      <c r="W287" s="64"/>
      <c r="X287" s="64"/>
      <c r="Y287" s="64"/>
      <c r="Z287" s="64"/>
      <c r="AA287" s="64"/>
      <c r="AD287" s="64"/>
      <c r="AE287" s="64"/>
      <c r="AF287" s="64"/>
      <c r="AG287" s="64"/>
      <c r="AH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I288" s="64"/>
      <c r="J288" s="64"/>
      <c r="K288" s="64"/>
      <c r="L288" s="64"/>
      <c r="M288" s="64"/>
      <c r="P288" s="64"/>
      <c r="Q288" s="64"/>
      <c r="R288" s="64"/>
      <c r="S288" s="64"/>
      <c r="T288" s="64"/>
      <c r="W288" s="64"/>
      <c r="X288" s="64"/>
      <c r="Y288" s="64"/>
      <c r="Z288" s="64"/>
      <c r="AA288" s="64"/>
      <c r="AD288" s="64"/>
      <c r="AE288" s="64"/>
      <c r="AF288" s="64"/>
      <c r="AG288" s="64"/>
      <c r="AH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I289" s="64"/>
      <c r="J289" s="64"/>
      <c r="K289" s="64"/>
      <c r="L289" s="64"/>
      <c r="M289" s="64"/>
      <c r="P289" s="64"/>
      <c r="Q289" s="64"/>
      <c r="R289" s="64"/>
      <c r="S289" s="64"/>
      <c r="T289" s="64"/>
      <c r="W289" s="64"/>
      <c r="X289" s="64"/>
      <c r="Y289" s="64"/>
      <c r="Z289" s="64"/>
      <c r="AA289" s="64"/>
      <c r="AD289" s="64"/>
      <c r="AE289" s="64"/>
      <c r="AF289" s="64"/>
      <c r="AG289" s="64"/>
      <c r="AH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I290" s="64"/>
      <c r="J290" s="64"/>
      <c r="K290" s="64"/>
      <c r="L290" s="64"/>
      <c r="M290" s="64"/>
      <c r="P290" s="64"/>
      <c r="Q290" s="64"/>
      <c r="R290" s="64"/>
      <c r="S290" s="64"/>
      <c r="T290" s="64"/>
      <c r="W290" s="64"/>
      <c r="X290" s="64"/>
      <c r="Y290" s="64"/>
      <c r="Z290" s="64"/>
      <c r="AA290" s="64"/>
      <c r="AD290" s="64"/>
      <c r="AE290" s="64"/>
      <c r="AF290" s="64"/>
      <c r="AG290" s="64"/>
      <c r="AH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I291" s="64"/>
      <c r="J291" s="64"/>
      <c r="K291" s="64"/>
      <c r="L291" s="64"/>
      <c r="M291" s="64"/>
      <c r="P291" s="64"/>
      <c r="Q291" s="64"/>
      <c r="R291" s="64"/>
      <c r="S291" s="64"/>
      <c r="T291" s="64"/>
      <c r="W291" s="64"/>
      <c r="X291" s="64"/>
      <c r="Y291" s="64"/>
      <c r="Z291" s="64"/>
      <c r="AA291" s="64"/>
      <c r="AD291" s="64"/>
      <c r="AE291" s="64"/>
      <c r="AF291" s="64"/>
      <c r="AG291" s="64"/>
      <c r="AH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I292" s="64"/>
      <c r="J292" s="64"/>
      <c r="K292" s="64"/>
      <c r="L292" s="64"/>
      <c r="M292" s="64"/>
      <c r="P292" s="64"/>
      <c r="Q292" s="64"/>
      <c r="R292" s="64"/>
      <c r="S292" s="64"/>
      <c r="T292" s="64"/>
      <c r="W292" s="64"/>
      <c r="X292" s="64"/>
      <c r="Y292" s="64"/>
      <c r="Z292" s="64"/>
      <c r="AA292" s="64"/>
      <c r="AD292" s="64"/>
      <c r="AE292" s="64"/>
      <c r="AF292" s="64"/>
      <c r="AG292" s="64"/>
      <c r="AH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I293" s="64"/>
      <c r="J293" s="64"/>
      <c r="K293" s="64"/>
      <c r="L293" s="64"/>
      <c r="M293" s="64"/>
      <c r="P293" s="64"/>
      <c r="Q293" s="64"/>
      <c r="R293" s="64"/>
      <c r="S293" s="64"/>
      <c r="T293" s="64"/>
      <c r="W293" s="64"/>
      <c r="X293" s="64"/>
      <c r="Y293" s="64"/>
      <c r="Z293" s="64"/>
      <c r="AA293" s="64"/>
      <c r="AD293" s="64"/>
      <c r="AE293" s="64"/>
      <c r="AF293" s="64"/>
      <c r="AG293" s="64"/>
      <c r="AH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I294" s="64"/>
      <c r="J294" s="64"/>
      <c r="K294" s="64"/>
      <c r="L294" s="64"/>
      <c r="M294" s="64"/>
      <c r="P294" s="64"/>
      <c r="Q294" s="64"/>
      <c r="R294" s="64"/>
      <c r="S294" s="64"/>
      <c r="T294" s="64"/>
      <c r="W294" s="64"/>
      <c r="X294" s="64"/>
      <c r="Y294" s="64"/>
      <c r="Z294" s="64"/>
      <c r="AA294" s="64"/>
      <c r="AD294" s="64"/>
      <c r="AE294" s="64"/>
      <c r="AF294" s="64"/>
      <c r="AG294" s="64"/>
      <c r="AH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I295" s="64"/>
      <c r="J295" s="64"/>
      <c r="K295" s="64"/>
      <c r="L295" s="64"/>
      <c r="M295" s="64"/>
      <c r="P295" s="64"/>
      <c r="Q295" s="64"/>
      <c r="R295" s="64"/>
      <c r="S295" s="64"/>
      <c r="T295" s="64"/>
      <c r="W295" s="64"/>
      <c r="X295" s="64"/>
      <c r="Y295" s="64"/>
      <c r="Z295" s="64"/>
      <c r="AA295" s="64"/>
      <c r="AD295" s="64"/>
      <c r="AE295" s="64"/>
      <c r="AF295" s="64"/>
      <c r="AG295" s="64"/>
      <c r="AH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I296" s="64"/>
      <c r="J296" s="64"/>
      <c r="K296" s="64"/>
      <c r="L296" s="64"/>
      <c r="M296" s="64"/>
      <c r="P296" s="64"/>
      <c r="Q296" s="64"/>
      <c r="R296" s="64"/>
      <c r="S296" s="64"/>
      <c r="T296" s="64"/>
      <c r="W296" s="64"/>
      <c r="X296" s="64"/>
      <c r="Y296" s="64"/>
      <c r="Z296" s="64"/>
      <c r="AA296" s="64"/>
      <c r="AD296" s="64"/>
      <c r="AE296" s="64"/>
      <c r="AF296" s="64"/>
      <c r="AG296" s="64"/>
      <c r="AH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I297" s="64"/>
      <c r="J297" s="64"/>
      <c r="K297" s="64"/>
      <c r="L297" s="64"/>
      <c r="M297" s="64"/>
      <c r="P297" s="64"/>
      <c r="Q297" s="64"/>
      <c r="R297" s="64"/>
      <c r="S297" s="64"/>
      <c r="T297" s="64"/>
      <c r="W297" s="64"/>
      <c r="X297" s="64"/>
      <c r="Y297" s="64"/>
      <c r="Z297" s="64"/>
      <c r="AA297" s="64"/>
      <c r="AD297" s="64"/>
      <c r="AE297" s="64"/>
      <c r="AF297" s="64"/>
      <c r="AG297" s="64"/>
      <c r="AH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I298" s="64"/>
      <c r="J298" s="64"/>
      <c r="K298" s="64"/>
      <c r="L298" s="64"/>
      <c r="M298" s="64"/>
      <c r="P298" s="64"/>
      <c r="Q298" s="64"/>
      <c r="R298" s="64"/>
      <c r="S298" s="64"/>
      <c r="T298" s="64"/>
      <c r="W298" s="64"/>
      <c r="X298" s="64"/>
      <c r="Y298" s="64"/>
      <c r="Z298" s="64"/>
      <c r="AA298" s="64"/>
      <c r="AD298" s="64"/>
      <c r="AE298" s="64"/>
      <c r="AF298" s="64"/>
      <c r="AG298" s="64"/>
      <c r="AH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I299" s="64"/>
      <c r="J299" s="64"/>
      <c r="K299" s="64"/>
      <c r="L299" s="64"/>
      <c r="M299" s="64"/>
      <c r="P299" s="64"/>
      <c r="Q299" s="64"/>
      <c r="R299" s="64"/>
      <c r="S299" s="64"/>
      <c r="T299" s="64"/>
      <c r="W299" s="64"/>
      <c r="X299" s="64"/>
      <c r="Y299" s="64"/>
      <c r="Z299" s="64"/>
      <c r="AA299" s="64"/>
      <c r="AD299" s="64"/>
      <c r="AE299" s="64"/>
      <c r="AF299" s="64"/>
      <c r="AG299" s="64"/>
      <c r="AH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I300" s="64"/>
      <c r="J300" s="64"/>
      <c r="K300" s="64"/>
      <c r="L300" s="64"/>
      <c r="M300" s="64"/>
      <c r="P300" s="64"/>
      <c r="Q300" s="64"/>
      <c r="R300" s="64"/>
      <c r="S300" s="64"/>
      <c r="T300" s="64"/>
      <c r="W300" s="64"/>
      <c r="X300" s="64"/>
      <c r="Y300" s="64"/>
      <c r="Z300" s="64"/>
      <c r="AA300" s="64"/>
      <c r="AD300" s="64"/>
      <c r="AE300" s="64"/>
      <c r="AF300" s="64"/>
      <c r="AG300" s="64"/>
      <c r="AH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I301" s="64"/>
      <c r="J301" s="64"/>
      <c r="K301" s="64"/>
      <c r="L301" s="64"/>
      <c r="M301" s="64"/>
      <c r="P301" s="64"/>
      <c r="Q301" s="64"/>
      <c r="R301" s="64"/>
      <c r="S301" s="64"/>
      <c r="T301" s="64"/>
      <c r="W301" s="64"/>
      <c r="X301" s="64"/>
      <c r="Y301" s="64"/>
      <c r="Z301" s="64"/>
      <c r="AA301" s="64"/>
      <c r="AD301" s="64"/>
      <c r="AE301" s="64"/>
      <c r="AF301" s="64"/>
      <c r="AG301" s="64"/>
      <c r="AH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I302" s="64"/>
      <c r="J302" s="64"/>
      <c r="K302" s="64"/>
      <c r="L302" s="64"/>
      <c r="M302" s="64"/>
      <c r="P302" s="64"/>
      <c r="Q302" s="64"/>
      <c r="R302" s="64"/>
      <c r="S302" s="64"/>
      <c r="T302" s="64"/>
      <c r="W302" s="64"/>
      <c r="X302" s="64"/>
      <c r="Y302" s="64"/>
      <c r="Z302" s="64"/>
      <c r="AA302" s="64"/>
      <c r="AD302" s="64"/>
      <c r="AE302" s="64"/>
      <c r="AF302" s="64"/>
      <c r="AG302" s="64"/>
      <c r="AH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I303" s="64"/>
      <c r="J303" s="64"/>
      <c r="K303" s="64"/>
      <c r="L303" s="64"/>
      <c r="M303" s="64"/>
      <c r="P303" s="64"/>
      <c r="Q303" s="64"/>
      <c r="R303" s="64"/>
      <c r="S303" s="64"/>
      <c r="T303" s="64"/>
      <c r="W303" s="64"/>
      <c r="X303" s="64"/>
      <c r="Y303" s="64"/>
      <c r="Z303" s="64"/>
      <c r="AA303" s="64"/>
      <c r="AD303" s="64"/>
      <c r="AE303" s="64"/>
      <c r="AF303" s="64"/>
      <c r="AG303" s="64"/>
      <c r="AH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I304" s="64"/>
      <c r="J304" s="64"/>
      <c r="K304" s="64"/>
      <c r="L304" s="64"/>
      <c r="M304" s="64"/>
      <c r="P304" s="64"/>
      <c r="Q304" s="64"/>
      <c r="R304" s="64"/>
      <c r="S304" s="64"/>
      <c r="T304" s="64"/>
      <c r="W304" s="64"/>
      <c r="X304" s="64"/>
      <c r="Y304" s="64"/>
      <c r="Z304" s="64"/>
      <c r="AA304" s="64"/>
      <c r="AD304" s="64"/>
      <c r="AE304" s="64"/>
      <c r="AF304" s="64"/>
      <c r="AG304" s="64"/>
      <c r="AH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I305" s="64"/>
      <c r="J305" s="64"/>
      <c r="K305" s="64"/>
      <c r="L305" s="64"/>
      <c r="M305" s="64"/>
      <c r="P305" s="64"/>
      <c r="Q305" s="64"/>
      <c r="R305" s="64"/>
      <c r="S305" s="64"/>
      <c r="T305" s="64"/>
      <c r="W305" s="64"/>
      <c r="X305" s="64"/>
      <c r="Y305" s="64"/>
      <c r="Z305" s="64"/>
      <c r="AA305" s="64"/>
      <c r="AD305" s="64"/>
      <c r="AE305" s="64"/>
      <c r="AF305" s="64"/>
      <c r="AG305" s="64"/>
      <c r="AH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I306" s="64"/>
      <c r="J306" s="64"/>
      <c r="K306" s="64"/>
      <c r="L306" s="64"/>
      <c r="M306" s="64"/>
      <c r="P306" s="64"/>
      <c r="Q306" s="64"/>
      <c r="R306" s="64"/>
      <c r="S306" s="64"/>
      <c r="T306" s="64"/>
      <c r="W306" s="64"/>
      <c r="X306" s="64"/>
      <c r="Y306" s="64"/>
      <c r="Z306" s="64"/>
      <c r="AA306" s="64"/>
      <c r="AD306" s="64"/>
      <c r="AE306" s="64"/>
      <c r="AF306" s="64"/>
      <c r="AG306" s="64"/>
      <c r="AH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I307" s="64"/>
      <c r="J307" s="64"/>
      <c r="K307" s="64"/>
      <c r="L307" s="64"/>
      <c r="M307" s="64"/>
      <c r="P307" s="64"/>
      <c r="Q307" s="64"/>
      <c r="R307" s="64"/>
      <c r="S307" s="64"/>
      <c r="T307" s="64"/>
      <c r="W307" s="64"/>
      <c r="X307" s="64"/>
      <c r="Y307" s="64"/>
      <c r="Z307" s="64"/>
      <c r="AA307" s="64"/>
      <c r="AD307" s="64"/>
      <c r="AE307" s="64"/>
      <c r="AF307" s="64"/>
      <c r="AG307" s="64"/>
      <c r="AH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I308" s="64"/>
      <c r="J308" s="64"/>
      <c r="K308" s="64"/>
      <c r="L308" s="64"/>
      <c r="M308" s="64"/>
      <c r="P308" s="64"/>
      <c r="Q308" s="64"/>
      <c r="R308" s="64"/>
      <c r="S308" s="64"/>
      <c r="T308" s="64"/>
      <c r="W308" s="64"/>
      <c r="X308" s="64"/>
      <c r="Y308" s="64"/>
      <c r="Z308" s="64"/>
      <c r="AA308" s="64"/>
      <c r="AD308" s="64"/>
      <c r="AE308" s="64"/>
      <c r="AF308" s="64"/>
      <c r="AG308" s="64"/>
      <c r="AH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I309" s="64"/>
      <c r="J309" s="64"/>
      <c r="K309" s="64"/>
      <c r="L309" s="64"/>
      <c r="M309" s="64"/>
      <c r="P309" s="64"/>
      <c r="Q309" s="64"/>
      <c r="R309" s="64"/>
      <c r="S309" s="64"/>
      <c r="T309" s="64"/>
      <c r="W309" s="64"/>
      <c r="X309" s="64"/>
      <c r="Y309" s="64"/>
      <c r="Z309" s="64"/>
      <c r="AA309" s="64"/>
      <c r="AD309" s="64"/>
      <c r="AE309" s="64"/>
      <c r="AF309" s="64"/>
      <c r="AG309" s="64"/>
      <c r="AH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I310" s="64"/>
      <c r="J310" s="64"/>
      <c r="K310" s="64"/>
      <c r="L310" s="64"/>
      <c r="M310" s="64"/>
      <c r="P310" s="64"/>
      <c r="Q310" s="64"/>
      <c r="R310" s="64"/>
      <c r="S310" s="64"/>
      <c r="T310" s="64"/>
      <c r="W310" s="64"/>
      <c r="X310" s="64"/>
      <c r="Y310" s="64"/>
      <c r="Z310" s="64"/>
      <c r="AA310" s="64"/>
      <c r="AD310" s="64"/>
      <c r="AE310" s="64"/>
      <c r="AF310" s="64"/>
      <c r="AG310" s="64"/>
      <c r="AH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I311" s="64"/>
      <c r="J311" s="64"/>
      <c r="K311" s="64"/>
      <c r="L311" s="64"/>
      <c r="M311" s="64"/>
      <c r="P311" s="64"/>
      <c r="Q311" s="64"/>
      <c r="R311" s="64"/>
      <c r="S311" s="64"/>
      <c r="T311" s="64"/>
      <c r="W311" s="64"/>
      <c r="X311" s="64"/>
      <c r="Y311" s="64"/>
      <c r="Z311" s="64"/>
      <c r="AA311" s="64"/>
      <c r="AD311" s="64"/>
      <c r="AE311" s="64"/>
      <c r="AF311" s="64"/>
      <c r="AG311" s="64"/>
      <c r="AH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I312" s="64"/>
      <c r="J312" s="64"/>
      <c r="K312" s="64"/>
      <c r="L312" s="64"/>
      <c r="M312" s="64"/>
      <c r="P312" s="64"/>
      <c r="Q312" s="64"/>
      <c r="R312" s="64"/>
      <c r="S312" s="64"/>
      <c r="T312" s="64"/>
      <c r="W312" s="64"/>
      <c r="X312" s="64"/>
      <c r="Y312" s="64"/>
      <c r="Z312" s="64"/>
      <c r="AA312" s="64"/>
      <c r="AD312" s="64"/>
      <c r="AE312" s="64"/>
      <c r="AF312" s="64"/>
      <c r="AG312" s="64"/>
      <c r="AH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I313" s="64"/>
      <c r="J313" s="64"/>
      <c r="K313" s="64"/>
      <c r="L313" s="64"/>
      <c r="M313" s="64"/>
      <c r="P313" s="64"/>
      <c r="Q313" s="64"/>
      <c r="R313" s="64"/>
      <c r="S313" s="64"/>
      <c r="T313" s="64"/>
      <c r="W313" s="64"/>
      <c r="X313" s="64"/>
      <c r="Y313" s="64"/>
      <c r="Z313" s="64"/>
      <c r="AA313" s="64"/>
      <c r="AD313" s="64"/>
      <c r="AE313" s="64"/>
      <c r="AF313" s="64"/>
      <c r="AG313" s="64"/>
      <c r="AH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I314" s="64"/>
      <c r="J314" s="64"/>
      <c r="K314" s="64"/>
      <c r="L314" s="64"/>
      <c r="M314" s="64"/>
      <c r="P314" s="64"/>
      <c r="Q314" s="64"/>
      <c r="R314" s="64"/>
      <c r="S314" s="64"/>
      <c r="T314" s="64"/>
      <c r="W314" s="64"/>
      <c r="X314" s="64"/>
      <c r="Y314" s="64"/>
      <c r="Z314" s="64"/>
      <c r="AA314" s="64"/>
      <c r="AD314" s="64"/>
      <c r="AE314" s="64"/>
      <c r="AF314" s="64"/>
      <c r="AG314" s="64"/>
      <c r="AH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I315" s="64"/>
      <c r="J315" s="64"/>
      <c r="K315" s="64"/>
      <c r="L315" s="64"/>
      <c r="M315" s="64"/>
      <c r="P315" s="64"/>
      <c r="Q315" s="64"/>
      <c r="R315" s="64"/>
      <c r="S315" s="64"/>
      <c r="T315" s="64"/>
      <c r="W315" s="64"/>
      <c r="X315" s="64"/>
      <c r="Y315" s="64"/>
      <c r="Z315" s="64"/>
      <c r="AA315" s="64"/>
      <c r="AD315" s="64"/>
      <c r="AE315" s="64"/>
      <c r="AF315" s="64"/>
      <c r="AG315" s="64"/>
      <c r="AH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I316" s="64"/>
      <c r="J316" s="64"/>
      <c r="K316" s="64"/>
      <c r="L316" s="64"/>
      <c r="M316" s="64"/>
      <c r="P316" s="64"/>
      <c r="Q316" s="64"/>
      <c r="R316" s="64"/>
      <c r="S316" s="64"/>
      <c r="T316" s="64"/>
      <c r="W316" s="64"/>
      <c r="X316" s="64"/>
      <c r="Y316" s="64"/>
      <c r="Z316" s="64"/>
      <c r="AA316" s="64"/>
      <c r="AD316" s="64"/>
      <c r="AE316" s="64"/>
      <c r="AF316" s="64"/>
      <c r="AG316" s="64"/>
      <c r="AH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I317" s="64"/>
      <c r="J317" s="64"/>
      <c r="K317" s="64"/>
      <c r="L317" s="64"/>
      <c r="M317" s="64"/>
      <c r="P317" s="64"/>
      <c r="Q317" s="64"/>
      <c r="R317" s="64"/>
      <c r="S317" s="64"/>
      <c r="T317" s="64"/>
      <c r="W317" s="64"/>
      <c r="X317" s="64"/>
      <c r="Y317" s="64"/>
      <c r="Z317" s="64"/>
      <c r="AA317" s="64"/>
      <c r="AD317" s="64"/>
      <c r="AE317" s="64"/>
      <c r="AF317" s="64"/>
      <c r="AG317" s="64"/>
      <c r="AH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I318" s="64"/>
      <c r="J318" s="64"/>
      <c r="K318" s="64"/>
      <c r="L318" s="64"/>
      <c r="M318" s="64"/>
      <c r="P318" s="64"/>
      <c r="Q318" s="64"/>
      <c r="R318" s="64"/>
      <c r="S318" s="64"/>
      <c r="T318" s="64"/>
      <c r="W318" s="64"/>
      <c r="X318" s="64"/>
      <c r="Y318" s="64"/>
      <c r="Z318" s="64"/>
      <c r="AA318" s="64"/>
      <c r="AD318" s="64"/>
      <c r="AE318" s="64"/>
      <c r="AF318" s="64"/>
      <c r="AG318" s="64"/>
      <c r="AH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I319" s="64"/>
      <c r="J319" s="64"/>
      <c r="K319" s="64"/>
      <c r="L319" s="64"/>
      <c r="M319" s="64"/>
      <c r="P319" s="64"/>
      <c r="Q319" s="64"/>
      <c r="R319" s="64"/>
      <c r="S319" s="64"/>
      <c r="T319" s="64"/>
      <c r="W319" s="64"/>
      <c r="X319" s="64"/>
      <c r="Y319" s="64"/>
      <c r="Z319" s="64"/>
      <c r="AA319" s="64"/>
      <c r="AD319" s="64"/>
      <c r="AE319" s="64"/>
      <c r="AF319" s="64"/>
      <c r="AG319" s="64"/>
      <c r="AH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I320" s="64"/>
      <c r="J320" s="64"/>
      <c r="K320" s="64"/>
      <c r="L320" s="64"/>
      <c r="M320" s="64"/>
      <c r="P320" s="64"/>
      <c r="Q320" s="64"/>
      <c r="R320" s="64"/>
      <c r="S320" s="64"/>
      <c r="T320" s="64"/>
      <c r="W320" s="64"/>
      <c r="X320" s="64"/>
      <c r="Y320" s="64"/>
      <c r="Z320" s="64"/>
      <c r="AA320" s="64"/>
      <c r="AD320" s="64"/>
      <c r="AE320" s="64"/>
      <c r="AF320" s="64"/>
      <c r="AG320" s="64"/>
      <c r="AH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I321" s="64"/>
      <c r="J321" s="64"/>
      <c r="K321" s="64"/>
      <c r="L321" s="64"/>
      <c r="M321" s="64"/>
      <c r="P321" s="64"/>
      <c r="Q321" s="64"/>
      <c r="R321" s="64"/>
      <c r="S321" s="64"/>
      <c r="T321" s="64"/>
      <c r="W321" s="64"/>
      <c r="X321" s="64"/>
      <c r="Y321" s="64"/>
      <c r="Z321" s="64"/>
      <c r="AA321" s="64"/>
      <c r="AD321" s="64"/>
      <c r="AE321" s="64"/>
      <c r="AF321" s="64"/>
      <c r="AG321" s="64"/>
      <c r="AH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I322" s="64"/>
      <c r="J322" s="64"/>
      <c r="K322" s="64"/>
      <c r="L322" s="64"/>
      <c r="M322" s="64"/>
      <c r="P322" s="64"/>
      <c r="Q322" s="64"/>
      <c r="R322" s="64"/>
      <c r="S322" s="64"/>
      <c r="T322" s="64"/>
      <c r="W322" s="64"/>
      <c r="X322" s="64"/>
      <c r="Y322" s="64"/>
      <c r="Z322" s="64"/>
      <c r="AA322" s="64"/>
      <c r="AD322" s="64"/>
      <c r="AE322" s="64"/>
      <c r="AF322" s="64"/>
      <c r="AG322" s="64"/>
      <c r="AH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I323" s="64"/>
      <c r="J323" s="64"/>
      <c r="K323" s="64"/>
      <c r="L323" s="64"/>
      <c r="M323" s="64"/>
      <c r="P323" s="64"/>
      <c r="Q323" s="64"/>
      <c r="R323" s="64"/>
      <c r="S323" s="64"/>
      <c r="T323" s="64"/>
      <c r="W323" s="64"/>
      <c r="X323" s="64"/>
      <c r="Y323" s="64"/>
      <c r="Z323" s="64"/>
      <c r="AA323" s="64"/>
      <c r="AD323" s="64"/>
      <c r="AE323" s="64"/>
      <c r="AF323" s="64"/>
      <c r="AG323" s="64"/>
      <c r="AH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I324" s="64"/>
      <c r="J324" s="64"/>
      <c r="K324" s="64"/>
      <c r="L324" s="64"/>
      <c r="M324" s="64"/>
      <c r="P324" s="64"/>
      <c r="Q324" s="64"/>
      <c r="R324" s="64"/>
      <c r="S324" s="64"/>
      <c r="T324" s="64"/>
      <c r="W324" s="64"/>
      <c r="X324" s="64"/>
      <c r="Y324" s="64"/>
      <c r="Z324" s="64"/>
      <c r="AA324" s="64"/>
      <c r="AD324" s="64"/>
      <c r="AE324" s="64"/>
      <c r="AF324" s="64"/>
      <c r="AG324" s="64"/>
      <c r="AH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I325" s="64"/>
      <c r="J325" s="64"/>
      <c r="K325" s="64"/>
      <c r="L325" s="64"/>
      <c r="M325" s="64"/>
      <c r="P325" s="64"/>
      <c r="Q325" s="64"/>
      <c r="R325" s="64"/>
      <c r="S325" s="64"/>
      <c r="T325" s="64"/>
      <c r="W325" s="64"/>
      <c r="X325" s="64"/>
      <c r="Y325" s="64"/>
      <c r="Z325" s="64"/>
      <c r="AA325" s="64"/>
      <c r="AD325" s="64"/>
      <c r="AE325" s="64"/>
      <c r="AF325" s="64"/>
      <c r="AG325" s="64"/>
      <c r="AH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I326" s="64"/>
      <c r="J326" s="64"/>
      <c r="K326" s="64"/>
      <c r="L326" s="64"/>
      <c r="M326" s="64"/>
      <c r="P326" s="64"/>
      <c r="Q326" s="64"/>
      <c r="R326" s="64"/>
      <c r="S326" s="64"/>
      <c r="T326" s="64"/>
      <c r="W326" s="64"/>
      <c r="X326" s="64"/>
      <c r="Y326" s="64"/>
      <c r="Z326" s="64"/>
      <c r="AA326" s="64"/>
      <c r="AD326" s="64"/>
      <c r="AE326" s="64"/>
      <c r="AF326" s="64"/>
      <c r="AG326" s="64"/>
      <c r="AH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I327" s="64"/>
      <c r="J327" s="64"/>
      <c r="K327" s="64"/>
      <c r="L327" s="64"/>
      <c r="M327" s="64"/>
      <c r="P327" s="64"/>
      <c r="Q327" s="64"/>
      <c r="R327" s="64"/>
      <c r="S327" s="64"/>
      <c r="T327" s="64"/>
      <c r="W327" s="64"/>
      <c r="X327" s="64"/>
      <c r="Y327" s="64"/>
      <c r="Z327" s="64"/>
      <c r="AA327" s="64"/>
      <c r="AD327" s="64"/>
      <c r="AE327" s="64"/>
      <c r="AF327" s="64"/>
      <c r="AG327" s="64"/>
      <c r="AH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I328" s="64"/>
      <c r="J328" s="64"/>
      <c r="K328" s="64"/>
      <c r="L328" s="64"/>
      <c r="M328" s="64"/>
      <c r="P328" s="64"/>
      <c r="Q328" s="64"/>
      <c r="R328" s="64"/>
      <c r="S328" s="64"/>
      <c r="T328" s="64"/>
      <c r="W328" s="64"/>
      <c r="X328" s="64"/>
      <c r="Y328" s="64"/>
      <c r="Z328" s="64"/>
      <c r="AA328" s="64"/>
      <c r="AD328" s="64"/>
      <c r="AE328" s="64"/>
      <c r="AF328" s="64"/>
      <c r="AG328" s="64"/>
      <c r="AH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I329" s="64"/>
      <c r="J329" s="64"/>
      <c r="K329" s="64"/>
      <c r="L329" s="64"/>
      <c r="M329" s="64"/>
      <c r="P329" s="64"/>
      <c r="Q329" s="64"/>
      <c r="R329" s="64"/>
      <c r="S329" s="64"/>
      <c r="T329" s="64"/>
      <c r="W329" s="64"/>
      <c r="X329" s="64"/>
      <c r="Y329" s="64"/>
      <c r="Z329" s="64"/>
      <c r="AA329" s="64"/>
      <c r="AD329" s="64"/>
      <c r="AE329" s="64"/>
      <c r="AF329" s="64"/>
      <c r="AG329" s="64"/>
      <c r="AH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I330" s="64"/>
      <c r="J330" s="64"/>
      <c r="K330" s="64"/>
      <c r="L330" s="64"/>
      <c r="M330" s="64"/>
      <c r="P330" s="64"/>
      <c r="Q330" s="64"/>
      <c r="R330" s="64"/>
      <c r="S330" s="64"/>
      <c r="T330" s="64"/>
      <c r="W330" s="64"/>
      <c r="X330" s="64"/>
      <c r="Y330" s="64"/>
      <c r="Z330" s="64"/>
      <c r="AA330" s="64"/>
      <c r="AD330" s="64"/>
      <c r="AE330" s="64"/>
      <c r="AF330" s="64"/>
      <c r="AG330" s="64"/>
      <c r="AH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I331" s="64"/>
      <c r="J331" s="64"/>
      <c r="K331" s="64"/>
      <c r="L331" s="64"/>
      <c r="M331" s="64"/>
      <c r="P331" s="64"/>
      <c r="Q331" s="64"/>
      <c r="R331" s="64"/>
      <c r="S331" s="64"/>
      <c r="T331" s="64"/>
      <c r="W331" s="64"/>
      <c r="X331" s="64"/>
      <c r="Y331" s="64"/>
      <c r="Z331" s="64"/>
      <c r="AA331" s="64"/>
      <c r="AD331" s="64"/>
      <c r="AE331" s="64"/>
      <c r="AF331" s="64"/>
      <c r="AG331" s="64"/>
      <c r="AH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I332" s="64"/>
      <c r="J332" s="64"/>
      <c r="K332" s="64"/>
      <c r="L332" s="64"/>
      <c r="M332" s="64"/>
      <c r="P332" s="64"/>
      <c r="Q332" s="64"/>
      <c r="R332" s="64"/>
      <c r="S332" s="64"/>
      <c r="T332" s="64"/>
      <c r="W332" s="64"/>
      <c r="X332" s="64"/>
      <c r="Y332" s="64"/>
      <c r="Z332" s="64"/>
      <c r="AA332" s="64"/>
      <c r="AD332" s="64"/>
      <c r="AE332" s="64"/>
      <c r="AF332" s="64"/>
      <c r="AG332" s="64"/>
      <c r="AH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I333" s="64"/>
      <c r="J333" s="64"/>
      <c r="K333" s="64"/>
      <c r="L333" s="64"/>
      <c r="M333" s="64"/>
      <c r="P333" s="64"/>
      <c r="Q333" s="64"/>
      <c r="R333" s="64"/>
      <c r="S333" s="64"/>
      <c r="T333" s="64"/>
      <c r="W333" s="64"/>
      <c r="X333" s="64"/>
      <c r="Y333" s="64"/>
      <c r="Z333" s="64"/>
      <c r="AA333" s="64"/>
      <c r="AD333" s="64"/>
      <c r="AE333" s="64"/>
      <c r="AF333" s="64"/>
      <c r="AG333" s="64"/>
      <c r="AH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I334" s="64"/>
      <c r="J334" s="64"/>
      <c r="K334" s="64"/>
      <c r="L334" s="64"/>
      <c r="M334" s="64"/>
      <c r="P334" s="64"/>
      <c r="Q334" s="64"/>
      <c r="R334" s="64"/>
      <c r="S334" s="64"/>
      <c r="T334" s="64"/>
      <c r="W334" s="64"/>
      <c r="X334" s="64"/>
      <c r="Y334" s="64"/>
      <c r="Z334" s="64"/>
      <c r="AA334" s="64"/>
      <c r="AD334" s="64"/>
      <c r="AE334" s="64"/>
      <c r="AF334" s="64"/>
      <c r="AG334" s="64"/>
      <c r="AH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I335" s="64"/>
      <c r="J335" s="64"/>
      <c r="K335" s="64"/>
      <c r="L335" s="64"/>
      <c r="M335" s="64"/>
      <c r="P335" s="64"/>
      <c r="Q335" s="64"/>
      <c r="R335" s="64"/>
      <c r="S335" s="64"/>
      <c r="T335" s="64"/>
      <c r="W335" s="64"/>
      <c r="X335" s="64"/>
      <c r="Y335" s="64"/>
      <c r="Z335" s="64"/>
      <c r="AA335" s="64"/>
      <c r="AD335" s="64"/>
      <c r="AE335" s="64"/>
      <c r="AF335" s="64"/>
      <c r="AG335" s="64"/>
      <c r="AH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I336" s="64"/>
      <c r="J336" s="64"/>
      <c r="K336" s="64"/>
      <c r="L336" s="64"/>
      <c r="M336" s="64"/>
      <c r="P336" s="64"/>
      <c r="Q336" s="64"/>
      <c r="R336" s="64"/>
      <c r="S336" s="64"/>
      <c r="T336" s="64"/>
      <c r="W336" s="64"/>
      <c r="X336" s="64"/>
      <c r="Y336" s="64"/>
      <c r="Z336" s="64"/>
      <c r="AA336" s="64"/>
      <c r="AD336" s="64"/>
      <c r="AE336" s="64"/>
      <c r="AF336" s="64"/>
      <c r="AG336" s="64"/>
      <c r="AH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I337" s="64"/>
      <c r="J337" s="64"/>
      <c r="K337" s="64"/>
      <c r="L337" s="64"/>
      <c r="M337" s="64"/>
      <c r="P337" s="64"/>
      <c r="Q337" s="64"/>
      <c r="R337" s="64"/>
      <c r="S337" s="64"/>
      <c r="T337" s="64"/>
      <c r="W337" s="64"/>
      <c r="X337" s="64"/>
      <c r="Y337" s="64"/>
      <c r="Z337" s="64"/>
      <c r="AA337" s="64"/>
      <c r="AD337" s="64"/>
      <c r="AE337" s="64"/>
      <c r="AF337" s="64"/>
      <c r="AG337" s="64"/>
      <c r="AH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I338" s="64"/>
      <c r="J338" s="64"/>
      <c r="K338" s="64"/>
      <c r="L338" s="64"/>
      <c r="M338" s="64"/>
      <c r="P338" s="64"/>
      <c r="Q338" s="64"/>
      <c r="R338" s="64"/>
      <c r="S338" s="64"/>
      <c r="T338" s="64"/>
      <c r="W338" s="64"/>
      <c r="X338" s="64"/>
      <c r="Y338" s="64"/>
      <c r="Z338" s="64"/>
      <c r="AA338" s="64"/>
      <c r="AD338" s="64"/>
      <c r="AE338" s="64"/>
      <c r="AF338" s="64"/>
      <c r="AG338" s="64"/>
      <c r="AH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I339" s="64"/>
      <c r="J339" s="64"/>
      <c r="K339" s="64"/>
      <c r="L339" s="64"/>
      <c r="M339" s="64"/>
      <c r="P339" s="64"/>
      <c r="Q339" s="64"/>
      <c r="R339" s="64"/>
      <c r="S339" s="64"/>
      <c r="T339" s="64"/>
      <c r="W339" s="64"/>
      <c r="X339" s="64"/>
      <c r="Y339" s="64"/>
      <c r="Z339" s="64"/>
      <c r="AA339" s="64"/>
      <c r="AD339" s="64"/>
      <c r="AE339" s="64"/>
      <c r="AF339" s="64"/>
      <c r="AG339" s="64"/>
      <c r="AH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98" priority="8" operator="lessThan">
      <formula>0</formula>
    </cfRule>
  </conditionalFormatting>
  <conditionalFormatting sqref="M80 P80 R80:AJ80 F131:H131 J131">
    <cfRule type="cellIs" dxfId="97" priority="11" operator="lessThan">
      <formula>0</formula>
    </cfRule>
  </conditionalFormatting>
  <conditionalFormatting sqref="M120:X123">
    <cfRule type="cellIs" dxfId="96" priority="9" operator="lessThan">
      <formula>0</formula>
    </cfRule>
  </conditionalFormatting>
  <conditionalFormatting sqref="M128:X132">
    <cfRule type="cellIs" dxfId="95" priority="6" operator="lessThan">
      <formula>0</formula>
    </cfRule>
  </conditionalFormatting>
  <conditionalFormatting sqref="M77:AJ79 F77:L87 M81:AJ87 F88:AK117 M118:AJ119 F118:J130 K118:L132 AK118:AK135 F132:J135 K134:AJ135">
    <cfRule type="cellIs" dxfId="94" priority="7" operator="lessThan">
      <formula>0</formula>
    </cfRule>
  </conditionalFormatting>
  <conditionalFormatting sqref="M124:AJ124 M125:X126 M127:Q127 S127:X127">
    <cfRule type="cellIs" dxfId="93" priority="10" operator="lessThan">
      <formula>0</formula>
    </cfRule>
  </conditionalFormatting>
  <conditionalFormatting sqref="Z120:AJ123">
    <cfRule type="cellIs" dxfId="92" priority="5" operator="lessThan">
      <formula>0</formula>
    </cfRule>
  </conditionalFormatting>
  <conditionalFormatting sqref="Z125:AJ133">
    <cfRule type="cellIs" dxfId="91" priority="4" operator="lessThan">
      <formula>0</formula>
    </cfRule>
  </conditionalFormatting>
  <conditionalFormatting sqref="AK29:AK30">
    <cfRule type="cellIs" dxfId="90" priority="3" operator="lessThan">
      <formula>0</formula>
    </cfRule>
  </conditionalFormatting>
  <conditionalFormatting sqref="F29:AJ30">
    <cfRule type="cellIs" dxfId="8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1D08-51FF-4D0F-92A3-02D4253CF0B6}">
  <dimension ref="A1:AS339"/>
  <sheetViews>
    <sheetView zoomScale="80" zoomScaleNormal="80" workbookViewId="0">
      <pane xSplit="1" ySplit="2" topLeftCell="B15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10" width="5.5703125" style="68" bestFit="1" customWidth="1"/>
    <col min="11" max="11" width="5.5703125" style="65" bestFit="1" customWidth="1"/>
    <col min="12" max="12" width="5.5703125" style="64" customWidth="1"/>
    <col min="13" max="15" width="5.5703125" style="64" bestFit="1" customWidth="1"/>
    <col min="16" max="16" width="5.5703125" style="68" bestFit="1" customWidth="1"/>
    <col min="17" max="17" width="6.140625" style="68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8" bestFit="1" customWidth="1"/>
    <col min="24" max="24" width="5.5703125" style="68" bestFit="1" customWidth="1"/>
    <col min="25" max="26" width="5.5703125" style="64" bestFit="1" customWidth="1"/>
    <col min="27" max="27" width="6.7109375" style="64" bestFit="1" customWidth="1"/>
    <col min="28" max="28" width="5.140625" style="64" bestFit="1" customWidth="1"/>
    <col min="29" max="29" width="5" style="64" bestFit="1" customWidth="1"/>
    <col min="30" max="30" width="6.7109375" style="68" bestFit="1" customWidth="1"/>
    <col min="31" max="31" width="5.5703125" style="68" bestFit="1" customWidth="1"/>
    <col min="32" max="33" width="4.5703125" style="64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333</v>
      </c>
      <c r="G1" s="116" t="s">
        <v>334</v>
      </c>
      <c r="H1" s="116" t="s">
        <v>335</v>
      </c>
      <c r="I1" s="120" t="s">
        <v>336</v>
      </c>
      <c r="J1" s="120" t="s">
        <v>337</v>
      </c>
      <c r="K1" s="79" t="s">
        <v>338</v>
      </c>
      <c r="L1" s="116" t="s">
        <v>339</v>
      </c>
      <c r="M1" s="116" t="s">
        <v>333</v>
      </c>
      <c r="N1" s="116" t="s">
        <v>334</v>
      </c>
      <c r="O1" s="116" t="s">
        <v>335</v>
      </c>
      <c r="P1" s="120" t="s">
        <v>336</v>
      </c>
      <c r="Q1" s="120" t="s">
        <v>337</v>
      </c>
      <c r="R1" s="116" t="s">
        <v>338</v>
      </c>
      <c r="S1" s="116" t="s">
        <v>339</v>
      </c>
      <c r="T1" s="116" t="s">
        <v>333</v>
      </c>
      <c r="U1" s="116" t="s">
        <v>334</v>
      </c>
      <c r="V1" s="116" t="s">
        <v>335</v>
      </c>
      <c r="W1" s="120" t="s">
        <v>336</v>
      </c>
      <c r="X1" s="120" t="s">
        <v>337</v>
      </c>
      <c r="Y1" s="116" t="s">
        <v>338</v>
      </c>
      <c r="Z1" s="116" t="s">
        <v>339</v>
      </c>
      <c r="AA1" s="116" t="s">
        <v>333</v>
      </c>
      <c r="AB1" s="116" t="s">
        <v>334</v>
      </c>
      <c r="AC1" s="116" t="s">
        <v>335</v>
      </c>
      <c r="AD1" s="120" t="s">
        <v>336</v>
      </c>
      <c r="AE1" s="120" t="s">
        <v>337</v>
      </c>
      <c r="AF1" s="116" t="s">
        <v>338</v>
      </c>
      <c r="AG1" s="116" t="s">
        <v>339</v>
      </c>
      <c r="AH1" s="116" t="s">
        <v>333</v>
      </c>
      <c r="AI1" s="116" t="s">
        <v>334</v>
      </c>
      <c r="AJ1" s="116" t="s">
        <v>335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46631</v>
      </c>
      <c r="G2" s="112">
        <v>46632</v>
      </c>
      <c r="H2" s="112">
        <v>46633</v>
      </c>
      <c r="I2" s="129">
        <v>46634</v>
      </c>
      <c r="J2" s="129">
        <v>46635</v>
      </c>
      <c r="K2" s="113">
        <v>46636</v>
      </c>
      <c r="L2" s="112">
        <v>46637</v>
      </c>
      <c r="M2" s="112">
        <v>46638</v>
      </c>
      <c r="N2" s="112">
        <v>46639</v>
      </c>
      <c r="O2" s="112">
        <v>46640</v>
      </c>
      <c r="P2" s="129">
        <v>46641</v>
      </c>
      <c r="Q2" s="129">
        <v>46642</v>
      </c>
      <c r="R2" s="112">
        <v>46643</v>
      </c>
      <c r="S2" s="112">
        <v>46644</v>
      </c>
      <c r="T2" s="112">
        <v>46645</v>
      </c>
      <c r="U2" s="112">
        <v>46646</v>
      </c>
      <c r="V2" s="112">
        <v>46647</v>
      </c>
      <c r="W2" s="129">
        <v>46648</v>
      </c>
      <c r="X2" s="129">
        <v>46649</v>
      </c>
      <c r="Y2" s="112">
        <v>46650</v>
      </c>
      <c r="Z2" s="112">
        <v>46651</v>
      </c>
      <c r="AA2" s="112">
        <v>46652</v>
      </c>
      <c r="AB2" s="112">
        <v>46653</v>
      </c>
      <c r="AC2" s="112">
        <v>46654</v>
      </c>
      <c r="AD2" s="129">
        <v>46655</v>
      </c>
      <c r="AE2" s="129">
        <v>46656</v>
      </c>
      <c r="AF2" s="112">
        <v>46657</v>
      </c>
      <c r="AG2" s="112">
        <v>46658</v>
      </c>
      <c r="AH2" s="112">
        <v>46659</v>
      </c>
      <c r="AI2" s="112">
        <v>46660</v>
      </c>
      <c r="AJ2" s="112"/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120"/>
      <c r="J4" s="120"/>
      <c r="K4" s="79"/>
      <c r="L4" s="70"/>
      <c r="M4" s="70"/>
      <c r="N4" s="70"/>
      <c r="O4" s="70"/>
      <c r="P4" s="120"/>
      <c r="Q4" s="120"/>
      <c r="R4" s="70"/>
      <c r="S4" s="70"/>
      <c r="T4" s="70"/>
      <c r="U4" s="70"/>
      <c r="V4" s="70"/>
      <c r="W4" s="120"/>
      <c r="X4" s="120"/>
      <c r="Y4" s="70"/>
      <c r="Z4" s="70"/>
      <c r="AA4" s="70"/>
      <c r="AB4" s="70"/>
      <c r="AC4" s="70"/>
      <c r="AD4" s="120"/>
      <c r="AE4" s="120"/>
      <c r="AF4" s="70"/>
      <c r="AG4" s="7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120"/>
      <c r="J5" s="120"/>
      <c r="K5" s="79"/>
      <c r="L5" s="70"/>
      <c r="M5" s="70"/>
      <c r="N5" s="70"/>
      <c r="O5" s="70"/>
      <c r="P5" s="120"/>
      <c r="Q5" s="120"/>
      <c r="R5" s="70"/>
      <c r="S5" s="70"/>
      <c r="T5" s="70"/>
      <c r="U5" s="70"/>
      <c r="V5" s="70"/>
      <c r="W5" s="120"/>
      <c r="X5" s="120"/>
      <c r="Y5" s="70"/>
      <c r="Z5" s="70"/>
      <c r="AA5" s="70"/>
      <c r="AB5" s="70"/>
      <c r="AC5" s="70"/>
      <c r="AD5" s="120"/>
      <c r="AE5" s="120"/>
      <c r="AF5" s="70"/>
      <c r="AG5" s="7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70"/>
      <c r="I6" s="120"/>
      <c r="J6" s="120"/>
      <c r="K6" s="79"/>
      <c r="L6" s="70"/>
      <c r="M6" s="70"/>
      <c r="N6" s="70"/>
      <c r="O6" s="70"/>
      <c r="P6" s="120"/>
      <c r="Q6" s="120"/>
      <c r="R6" s="70"/>
      <c r="S6" s="70"/>
      <c r="T6" s="70"/>
      <c r="U6" s="70"/>
      <c r="V6" s="70"/>
      <c r="W6" s="120"/>
      <c r="X6" s="120"/>
      <c r="Y6" s="70"/>
      <c r="Z6" s="70"/>
      <c r="AA6" s="70"/>
      <c r="AB6" s="70"/>
      <c r="AC6" s="70"/>
      <c r="AD6" s="120"/>
      <c r="AE6" s="120"/>
      <c r="AF6" s="70"/>
      <c r="AG6" s="70"/>
      <c r="AH6" s="7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120"/>
      <c r="J7" s="120"/>
      <c r="K7" s="79"/>
      <c r="L7" s="70"/>
      <c r="M7" s="70"/>
      <c r="N7" s="70"/>
      <c r="O7" s="70"/>
      <c r="P7" s="120"/>
      <c r="Q7" s="120"/>
      <c r="R7" s="70"/>
      <c r="S7" s="70"/>
      <c r="T7" s="70"/>
      <c r="U7" s="70"/>
      <c r="V7" s="70"/>
      <c r="W7" s="120"/>
      <c r="X7" s="120"/>
      <c r="Y7" s="70"/>
      <c r="Z7" s="70"/>
      <c r="AA7" s="70"/>
      <c r="AB7" s="70"/>
      <c r="AC7" s="70"/>
      <c r="AD7" s="120"/>
      <c r="AE7" s="120"/>
      <c r="AF7" s="70"/>
      <c r="AG7" s="70"/>
      <c r="AH7" s="7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28"/>
      <c r="J8" s="128"/>
      <c r="K8" s="109"/>
      <c r="L8" s="108"/>
      <c r="M8" s="108"/>
      <c r="N8" s="108"/>
      <c r="O8" s="108"/>
      <c r="P8" s="128"/>
      <c r="Q8" s="128"/>
      <c r="R8" s="108"/>
      <c r="S8" s="108"/>
      <c r="T8" s="108"/>
      <c r="U8" s="70"/>
      <c r="V8" s="108"/>
      <c r="W8" s="120"/>
      <c r="X8" s="120"/>
      <c r="Y8" s="108"/>
      <c r="Z8" s="108"/>
      <c r="AA8" s="108"/>
      <c r="AB8" s="108"/>
      <c r="AC8" s="108"/>
      <c r="AD8" s="120"/>
      <c r="AE8" s="120"/>
      <c r="AF8" s="70"/>
      <c r="AG8" s="7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120"/>
      <c r="J9" s="120"/>
      <c r="K9" s="79"/>
      <c r="L9" s="70"/>
      <c r="M9" s="70"/>
      <c r="N9" s="70"/>
      <c r="O9" s="70"/>
      <c r="P9" s="120"/>
      <c r="Q9" s="120"/>
      <c r="R9" s="70"/>
      <c r="S9" s="70"/>
      <c r="T9" s="70"/>
      <c r="U9" s="70"/>
      <c r="V9" s="70"/>
      <c r="W9" s="120"/>
      <c r="X9" s="120"/>
      <c r="Y9" s="70"/>
      <c r="Z9" s="70"/>
      <c r="AA9" s="70"/>
      <c r="AB9" s="70"/>
      <c r="AC9" s="70"/>
      <c r="AD9" s="120"/>
      <c r="AE9" s="120"/>
      <c r="AF9" s="70"/>
      <c r="AG9" s="7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120"/>
      <c r="J10" s="120"/>
      <c r="K10" s="79"/>
      <c r="L10" s="70"/>
      <c r="M10" s="70"/>
      <c r="N10" s="70"/>
      <c r="O10" s="70"/>
      <c r="P10" s="120"/>
      <c r="Q10" s="120"/>
      <c r="R10" s="70"/>
      <c r="S10" s="70"/>
      <c r="T10" s="70"/>
      <c r="U10" s="70"/>
      <c r="V10" s="70"/>
      <c r="W10" s="120"/>
      <c r="X10" s="120"/>
      <c r="Y10" s="70"/>
      <c r="Z10" s="70"/>
      <c r="AA10" s="70"/>
      <c r="AB10" s="70"/>
      <c r="AC10" s="70"/>
      <c r="AD10" s="120"/>
      <c r="AE10" s="120"/>
      <c r="AF10" s="70"/>
      <c r="AG10" s="7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120"/>
      <c r="J11" s="120"/>
      <c r="K11" s="79"/>
      <c r="L11" s="70"/>
      <c r="M11" s="70"/>
      <c r="N11" s="70"/>
      <c r="O11" s="70"/>
      <c r="P11" s="120"/>
      <c r="Q11" s="120"/>
      <c r="R11" s="70"/>
      <c r="S11" s="70"/>
      <c r="T11" s="70"/>
      <c r="U11" s="70"/>
      <c r="V11" s="70"/>
      <c r="W11" s="120"/>
      <c r="X11" s="120"/>
      <c r="Y11" s="70"/>
      <c r="Z11" s="70"/>
      <c r="AA11" s="70"/>
      <c r="AB11" s="70"/>
      <c r="AC11" s="70"/>
      <c r="AD11" s="120"/>
      <c r="AE11" s="120"/>
      <c r="AF11" s="70"/>
      <c r="AG11" s="7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120"/>
      <c r="J12" s="120"/>
      <c r="K12" s="79"/>
      <c r="L12" s="70"/>
      <c r="M12" s="70"/>
      <c r="N12" s="70"/>
      <c r="O12" s="70"/>
      <c r="P12" s="120"/>
      <c r="Q12" s="120"/>
      <c r="R12" s="70"/>
      <c r="S12" s="70"/>
      <c r="T12" s="70"/>
      <c r="U12" s="70"/>
      <c r="V12" s="70"/>
      <c r="W12" s="120"/>
      <c r="X12" s="120"/>
      <c r="Y12" s="70"/>
      <c r="Z12" s="70"/>
      <c r="AA12" s="70"/>
      <c r="AB12" s="70"/>
      <c r="AC12" s="70"/>
      <c r="AD12" s="120"/>
      <c r="AE12" s="120"/>
      <c r="AF12" s="70"/>
      <c r="AG12" s="7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120"/>
      <c r="J13" s="120"/>
      <c r="K13" s="79"/>
      <c r="L13" s="70"/>
      <c r="M13" s="70"/>
      <c r="N13" s="70"/>
      <c r="O13" s="70"/>
      <c r="P13" s="120"/>
      <c r="Q13" s="120"/>
      <c r="R13" s="70"/>
      <c r="S13" s="70"/>
      <c r="T13" s="70"/>
      <c r="U13" s="70"/>
      <c r="V13" s="70"/>
      <c r="W13" s="120"/>
      <c r="X13" s="120"/>
      <c r="Y13" s="70"/>
      <c r="Z13" s="70"/>
      <c r="AA13" s="70"/>
      <c r="AB13" s="70"/>
      <c r="AC13" s="70"/>
      <c r="AD13" s="120"/>
      <c r="AE13" s="120"/>
      <c r="AF13" s="70"/>
      <c r="AG13" s="7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120"/>
      <c r="J14" s="120"/>
      <c r="K14" s="79"/>
      <c r="L14" s="70"/>
      <c r="M14" s="70"/>
      <c r="N14" s="70"/>
      <c r="O14" s="70"/>
      <c r="P14" s="120"/>
      <c r="Q14" s="120"/>
      <c r="R14" s="70"/>
      <c r="S14" s="70"/>
      <c r="T14" s="70"/>
      <c r="U14" s="70"/>
      <c r="V14" s="70"/>
      <c r="W14" s="120"/>
      <c r="X14" s="120"/>
      <c r="Y14" s="70"/>
      <c r="Z14" s="70"/>
      <c r="AA14" s="70"/>
      <c r="AB14" s="70"/>
      <c r="AC14" s="70"/>
      <c r="AD14" s="120"/>
      <c r="AE14" s="120"/>
      <c r="AF14" s="70"/>
      <c r="AG14" s="7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120"/>
      <c r="J15" s="120"/>
      <c r="K15" s="79"/>
      <c r="L15" s="70"/>
      <c r="M15" s="70"/>
      <c r="N15" s="70"/>
      <c r="O15" s="70"/>
      <c r="P15" s="120"/>
      <c r="Q15" s="120"/>
      <c r="R15" s="70"/>
      <c r="S15" s="70"/>
      <c r="T15" s="70"/>
      <c r="U15" s="70"/>
      <c r="V15" s="70"/>
      <c r="W15" s="120"/>
      <c r="X15" s="120"/>
      <c r="Y15" s="70"/>
      <c r="Z15" s="70"/>
      <c r="AA15" s="70"/>
      <c r="AB15" s="70"/>
      <c r="AC15" s="70"/>
      <c r="AD15" s="120"/>
      <c r="AE15" s="120"/>
      <c r="AF15" s="70"/>
      <c r="AG15" s="7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120"/>
      <c r="J16" s="120"/>
      <c r="K16" s="79"/>
      <c r="L16" s="70"/>
      <c r="M16" s="70"/>
      <c r="N16" s="70"/>
      <c r="O16" s="70"/>
      <c r="P16" s="120"/>
      <c r="Q16" s="120"/>
      <c r="R16" s="70"/>
      <c r="S16" s="70"/>
      <c r="T16" s="70"/>
      <c r="U16" s="70"/>
      <c r="V16" s="70"/>
      <c r="W16" s="120"/>
      <c r="X16" s="120"/>
      <c r="Y16" s="70"/>
      <c r="Z16" s="70"/>
      <c r="AA16" s="70"/>
      <c r="AB16" s="70"/>
      <c r="AC16" s="70"/>
      <c r="AD16" s="120"/>
      <c r="AE16" s="120"/>
      <c r="AF16" s="70"/>
      <c r="AG16" s="7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120"/>
      <c r="J17" s="120"/>
      <c r="K17" s="79"/>
      <c r="L17" s="70"/>
      <c r="M17" s="70"/>
      <c r="N17" s="70"/>
      <c r="O17" s="70"/>
      <c r="P17" s="120"/>
      <c r="Q17" s="120"/>
      <c r="R17" s="70"/>
      <c r="S17" s="70"/>
      <c r="T17" s="70"/>
      <c r="U17" s="70"/>
      <c r="V17" s="70"/>
      <c r="W17" s="120"/>
      <c r="X17" s="120"/>
      <c r="Y17" s="70"/>
      <c r="Z17" s="70"/>
      <c r="AA17" s="70"/>
      <c r="AB17" s="70"/>
      <c r="AC17" s="70"/>
      <c r="AD17" s="120"/>
      <c r="AE17" s="120"/>
      <c r="AF17" s="70"/>
      <c r="AG17" s="7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120"/>
      <c r="J18" s="120"/>
      <c r="K18" s="79"/>
      <c r="L18" s="70"/>
      <c r="M18" s="70"/>
      <c r="N18" s="70"/>
      <c r="O18" s="70"/>
      <c r="P18" s="120"/>
      <c r="Q18" s="120"/>
      <c r="R18" s="70"/>
      <c r="S18" s="70"/>
      <c r="T18" s="70"/>
      <c r="U18" s="70"/>
      <c r="V18" s="70"/>
      <c r="W18" s="120"/>
      <c r="X18" s="120"/>
      <c r="Y18" s="70"/>
      <c r="Z18" s="70"/>
      <c r="AA18" s="70"/>
      <c r="AB18" s="70"/>
      <c r="AC18" s="70"/>
      <c r="AD18" s="120"/>
      <c r="AE18" s="120"/>
      <c r="AF18" s="70"/>
      <c r="AG18" s="7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120"/>
      <c r="J19" s="120"/>
      <c r="K19" s="79"/>
      <c r="L19" s="70"/>
      <c r="M19" s="70"/>
      <c r="N19" s="70"/>
      <c r="O19" s="70"/>
      <c r="P19" s="120"/>
      <c r="Q19" s="120"/>
      <c r="R19" s="70"/>
      <c r="S19" s="70"/>
      <c r="T19" s="70"/>
      <c r="U19" s="70"/>
      <c r="V19" s="70"/>
      <c r="W19" s="120"/>
      <c r="X19" s="120"/>
      <c r="Y19" s="70"/>
      <c r="Z19" s="70"/>
      <c r="AA19" s="70"/>
      <c r="AB19" s="70"/>
      <c r="AC19" s="70"/>
      <c r="AD19" s="120"/>
      <c r="AE19" s="120"/>
      <c r="AF19" s="70"/>
      <c r="AG19" s="7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120"/>
      <c r="J20" s="120"/>
      <c r="K20" s="79"/>
      <c r="L20" s="70"/>
      <c r="M20" s="70"/>
      <c r="N20" s="70"/>
      <c r="O20" s="70"/>
      <c r="P20" s="120"/>
      <c r="Q20" s="120"/>
      <c r="R20" s="70"/>
      <c r="S20" s="70"/>
      <c r="T20" s="70"/>
      <c r="U20" s="70"/>
      <c r="V20" s="70"/>
      <c r="W20" s="120"/>
      <c r="X20" s="120"/>
      <c r="Y20" s="70"/>
      <c r="Z20" s="70"/>
      <c r="AA20" s="70"/>
      <c r="AB20" s="70"/>
      <c r="AC20" s="70"/>
      <c r="AD20" s="120"/>
      <c r="AE20" s="120"/>
      <c r="AF20" s="70"/>
      <c r="AG20" s="7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120"/>
      <c r="J21" s="120"/>
      <c r="K21" s="79"/>
      <c r="L21" s="70"/>
      <c r="M21" s="70"/>
      <c r="N21" s="70"/>
      <c r="O21" s="70"/>
      <c r="P21" s="120"/>
      <c r="Q21" s="120"/>
      <c r="R21" s="70"/>
      <c r="S21" s="70"/>
      <c r="T21" s="70"/>
      <c r="U21" s="70"/>
      <c r="V21" s="70"/>
      <c r="W21" s="120"/>
      <c r="X21" s="120"/>
      <c r="Y21" s="70"/>
      <c r="Z21" s="70"/>
      <c r="AA21" s="70"/>
      <c r="AB21" s="70"/>
      <c r="AC21" s="70"/>
      <c r="AD21" s="120"/>
      <c r="AE21" s="120"/>
      <c r="AF21" s="70"/>
      <c r="AG21" s="7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120"/>
      <c r="J22" s="120"/>
      <c r="K22" s="79"/>
      <c r="L22" s="70"/>
      <c r="M22" s="70"/>
      <c r="N22" s="70"/>
      <c r="O22" s="70"/>
      <c r="P22" s="120"/>
      <c r="Q22" s="120"/>
      <c r="R22" s="70"/>
      <c r="S22" s="70"/>
      <c r="T22" s="70"/>
      <c r="U22" s="70"/>
      <c r="V22" s="70"/>
      <c r="W22" s="120"/>
      <c r="X22" s="120"/>
      <c r="Y22" s="70"/>
      <c r="Z22" s="70"/>
      <c r="AA22" s="70"/>
      <c r="AB22" s="70"/>
      <c r="AC22" s="70"/>
      <c r="AD22" s="120"/>
      <c r="AE22" s="120"/>
      <c r="AF22" s="70"/>
      <c r="AG22" s="7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120"/>
      <c r="J23" s="120"/>
      <c r="K23" s="79"/>
      <c r="L23" s="70"/>
      <c r="M23" s="70"/>
      <c r="N23" s="70"/>
      <c r="O23" s="70"/>
      <c r="P23" s="120"/>
      <c r="Q23" s="120"/>
      <c r="R23" s="70"/>
      <c r="S23" s="70"/>
      <c r="T23" s="70"/>
      <c r="U23" s="70"/>
      <c r="V23" s="70"/>
      <c r="W23" s="120"/>
      <c r="X23" s="120"/>
      <c r="Y23" s="70"/>
      <c r="Z23" s="70"/>
      <c r="AA23" s="70"/>
      <c r="AB23" s="70"/>
      <c r="AC23" s="70"/>
      <c r="AD23" s="120"/>
      <c r="AE23" s="120"/>
      <c r="AF23" s="70"/>
      <c r="AG23" s="7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120"/>
      <c r="J24" s="120"/>
      <c r="K24" s="79"/>
      <c r="L24" s="70"/>
      <c r="M24" s="70"/>
      <c r="N24" s="70"/>
      <c r="O24" s="70"/>
      <c r="P24" s="120"/>
      <c r="Q24" s="120"/>
      <c r="R24" s="70"/>
      <c r="S24" s="70"/>
      <c r="T24" s="70"/>
      <c r="U24" s="70"/>
      <c r="V24" s="70"/>
      <c r="W24" s="120"/>
      <c r="X24" s="120"/>
      <c r="Y24" s="70"/>
      <c r="Z24" s="70"/>
      <c r="AA24" s="70"/>
      <c r="AB24" s="70"/>
      <c r="AC24" s="70"/>
      <c r="AD24" s="120"/>
      <c r="AE24" s="120"/>
      <c r="AF24" s="70"/>
      <c r="AG24" s="7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120"/>
      <c r="J25" s="120"/>
      <c r="K25" s="79"/>
      <c r="L25" s="70"/>
      <c r="M25" s="70"/>
      <c r="N25" s="70"/>
      <c r="O25" s="70"/>
      <c r="P25" s="120"/>
      <c r="Q25" s="120"/>
      <c r="R25" s="70"/>
      <c r="S25" s="70"/>
      <c r="T25" s="70"/>
      <c r="U25" s="70"/>
      <c r="V25" s="70"/>
      <c r="W25" s="120"/>
      <c r="X25" s="120"/>
      <c r="Y25" s="70"/>
      <c r="Z25" s="70"/>
      <c r="AA25" s="70"/>
      <c r="AB25" s="70"/>
      <c r="AC25" s="70"/>
      <c r="AD25" s="120"/>
      <c r="AE25" s="120"/>
      <c r="AF25" s="70"/>
      <c r="AG25" s="7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120"/>
      <c r="J26" s="120"/>
      <c r="K26" s="79"/>
      <c r="L26" s="70"/>
      <c r="M26" s="70"/>
      <c r="N26" s="70"/>
      <c r="O26" s="70"/>
      <c r="P26" s="120"/>
      <c r="Q26" s="120"/>
      <c r="R26" s="70"/>
      <c r="S26" s="70"/>
      <c r="T26" s="70"/>
      <c r="U26" s="70"/>
      <c r="V26" s="70"/>
      <c r="W26" s="120"/>
      <c r="X26" s="120"/>
      <c r="Y26" s="70"/>
      <c r="Z26" s="70"/>
      <c r="AA26" s="70"/>
      <c r="AB26" s="70"/>
      <c r="AC26" s="70"/>
      <c r="AD26" s="120"/>
      <c r="AE26" s="120"/>
      <c r="AF26" s="70"/>
      <c r="AG26" s="7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120"/>
      <c r="J27" s="120"/>
      <c r="K27" s="79"/>
      <c r="L27" s="70"/>
      <c r="M27" s="70"/>
      <c r="N27" s="70"/>
      <c r="O27" s="70"/>
      <c r="P27" s="120"/>
      <c r="Q27" s="120"/>
      <c r="R27" s="70"/>
      <c r="S27" s="70"/>
      <c r="T27" s="70"/>
      <c r="U27" s="70"/>
      <c r="V27" s="70"/>
      <c r="W27" s="120"/>
      <c r="X27" s="120"/>
      <c r="Y27" s="70"/>
      <c r="Z27" s="70"/>
      <c r="AA27" s="70"/>
      <c r="AB27" s="70"/>
      <c r="AC27" s="70"/>
      <c r="AD27" s="120"/>
      <c r="AE27" s="120"/>
      <c r="AF27" s="70"/>
      <c r="AG27" s="7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120"/>
      <c r="J28" s="120"/>
      <c r="K28" s="79"/>
      <c r="L28" s="70"/>
      <c r="M28" s="70"/>
      <c r="N28" s="70"/>
      <c r="O28" s="70"/>
      <c r="P28" s="120"/>
      <c r="Q28" s="120"/>
      <c r="R28" s="70"/>
      <c r="S28" s="70"/>
      <c r="T28" s="70"/>
      <c r="U28" s="70"/>
      <c r="V28" s="70"/>
      <c r="W28" s="120"/>
      <c r="X28" s="120"/>
      <c r="Y28" s="70"/>
      <c r="Z28" s="70"/>
      <c r="AA28" s="70"/>
      <c r="AB28" s="70"/>
      <c r="AC28" s="70"/>
      <c r="AD28" s="120"/>
      <c r="AE28" s="120"/>
      <c r="AF28" s="70"/>
      <c r="AG28" s="7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120"/>
      <c r="J29" s="120"/>
      <c r="K29" s="79"/>
      <c r="L29" s="70"/>
      <c r="M29" s="70"/>
      <c r="N29" s="70"/>
      <c r="O29" s="70"/>
      <c r="P29" s="120"/>
      <c r="Q29" s="120"/>
      <c r="R29" s="70"/>
      <c r="S29" s="70"/>
      <c r="T29" s="70"/>
      <c r="U29" s="70"/>
      <c r="V29" s="70"/>
      <c r="W29" s="120"/>
      <c r="X29" s="120"/>
      <c r="Y29" s="70"/>
      <c r="Z29" s="70"/>
      <c r="AA29" s="70"/>
      <c r="AB29" s="70"/>
      <c r="AC29" s="70"/>
      <c r="AD29" s="120"/>
      <c r="AE29" s="120"/>
      <c r="AF29" s="70"/>
      <c r="AG29" s="7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120"/>
      <c r="J30" s="120"/>
      <c r="K30" s="79"/>
      <c r="L30" s="70"/>
      <c r="M30" s="70"/>
      <c r="N30" s="70"/>
      <c r="O30" s="70"/>
      <c r="P30" s="120"/>
      <c r="Q30" s="120"/>
      <c r="R30" s="70"/>
      <c r="S30" s="70"/>
      <c r="T30" s="70"/>
      <c r="U30" s="70"/>
      <c r="V30" s="70"/>
      <c r="W30" s="120"/>
      <c r="X30" s="120"/>
      <c r="Y30" s="70"/>
      <c r="Z30" s="70"/>
      <c r="AA30" s="70"/>
      <c r="AB30" s="70"/>
      <c r="AC30" s="70"/>
      <c r="AD30" s="120"/>
      <c r="AE30" s="120"/>
      <c r="AF30" s="70"/>
      <c r="AG30" s="7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120"/>
      <c r="J31" s="120"/>
      <c r="K31" s="79"/>
      <c r="L31" s="70"/>
      <c r="M31" s="70"/>
      <c r="N31" s="70"/>
      <c r="O31" s="70"/>
      <c r="P31" s="120"/>
      <c r="Q31" s="120"/>
      <c r="R31" s="70"/>
      <c r="S31" s="70"/>
      <c r="T31" s="70"/>
      <c r="U31" s="70"/>
      <c r="V31" s="70"/>
      <c r="W31" s="120"/>
      <c r="X31" s="120"/>
      <c r="Y31" s="70"/>
      <c r="Z31" s="70"/>
      <c r="AA31" s="70"/>
      <c r="AB31" s="70"/>
      <c r="AC31" s="70"/>
      <c r="AD31" s="120"/>
      <c r="AE31" s="120"/>
      <c r="AF31" s="70"/>
      <c r="AG31" s="7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120"/>
      <c r="J32" s="120"/>
      <c r="K32" s="109"/>
      <c r="L32" s="108"/>
      <c r="M32" s="108"/>
      <c r="N32" s="108"/>
      <c r="O32" s="108"/>
      <c r="P32" s="120"/>
      <c r="Q32" s="120"/>
      <c r="R32" s="70"/>
      <c r="S32" s="108"/>
      <c r="T32" s="108"/>
      <c r="U32" s="108"/>
      <c r="V32" s="108"/>
      <c r="W32" s="128"/>
      <c r="X32" s="128"/>
      <c r="Y32" s="108"/>
      <c r="Z32" s="108"/>
      <c r="AA32" s="108"/>
      <c r="AB32" s="108"/>
      <c r="AC32" s="108"/>
      <c r="AD32" s="128"/>
      <c r="AE32" s="128"/>
      <c r="AF32" s="108"/>
      <c r="AG32" s="10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120"/>
      <c r="J33" s="120"/>
      <c r="K33" s="79"/>
      <c r="L33" s="70"/>
      <c r="M33" s="70"/>
      <c r="N33" s="70"/>
      <c r="O33" s="70"/>
      <c r="P33" s="120"/>
      <c r="Q33" s="120"/>
      <c r="R33" s="70"/>
      <c r="S33" s="70"/>
      <c r="T33" s="70"/>
      <c r="U33" s="70"/>
      <c r="V33" s="70"/>
      <c r="W33" s="120"/>
      <c r="X33" s="120"/>
      <c r="Y33" s="70"/>
      <c r="Z33" s="70"/>
      <c r="AA33" s="70"/>
      <c r="AB33" s="70"/>
      <c r="AC33" s="70"/>
      <c r="AD33" s="120"/>
      <c r="AE33" s="120"/>
      <c r="AF33" s="70"/>
      <c r="AG33" s="70"/>
      <c r="AH33" s="7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120"/>
      <c r="J34" s="120"/>
      <c r="K34" s="79"/>
      <c r="L34" s="70"/>
      <c r="M34" s="70"/>
      <c r="N34" s="70"/>
      <c r="O34" s="70"/>
      <c r="P34" s="120"/>
      <c r="Q34" s="120"/>
      <c r="R34" s="70"/>
      <c r="S34" s="70"/>
      <c r="T34" s="70"/>
      <c r="U34" s="70"/>
      <c r="V34" s="70"/>
      <c r="W34" s="120"/>
      <c r="X34" s="120"/>
      <c r="Y34" s="70"/>
      <c r="Z34" s="70"/>
      <c r="AA34" s="70"/>
      <c r="AB34" s="70"/>
      <c r="AC34" s="70"/>
      <c r="AD34" s="120"/>
      <c r="AE34" s="120"/>
      <c r="AF34" s="70"/>
      <c r="AG34" s="70"/>
      <c r="AH34" s="7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120"/>
      <c r="J35" s="120"/>
      <c r="K35" s="79"/>
      <c r="L35" s="70"/>
      <c r="M35" s="70"/>
      <c r="N35" s="70"/>
      <c r="O35" s="70"/>
      <c r="P35" s="120"/>
      <c r="Q35" s="120"/>
      <c r="R35" s="70"/>
      <c r="S35" s="70"/>
      <c r="T35" s="70"/>
      <c r="U35" s="70"/>
      <c r="V35" s="70"/>
      <c r="W35" s="120"/>
      <c r="X35" s="120"/>
      <c r="Y35" s="70"/>
      <c r="Z35" s="70"/>
      <c r="AA35" s="70"/>
      <c r="AB35" s="70"/>
      <c r="AC35" s="70"/>
      <c r="AD35" s="120"/>
      <c r="AE35" s="120"/>
      <c r="AF35" s="70"/>
      <c r="AG35" s="7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120"/>
      <c r="J36" s="120"/>
      <c r="K36" s="79"/>
      <c r="L36" s="70"/>
      <c r="M36" s="70"/>
      <c r="N36" s="70"/>
      <c r="O36" s="70"/>
      <c r="P36" s="120"/>
      <c r="Q36" s="120"/>
      <c r="R36" s="70"/>
      <c r="S36" s="70"/>
      <c r="T36" s="70"/>
      <c r="U36" s="70"/>
      <c r="V36" s="70"/>
      <c r="W36" s="120"/>
      <c r="X36" s="120"/>
      <c r="Y36" s="70"/>
      <c r="Z36" s="70"/>
      <c r="AA36" s="70"/>
      <c r="AB36" s="70"/>
      <c r="AC36" s="70"/>
      <c r="AD36" s="120"/>
      <c r="AE36" s="120"/>
      <c r="AF36" s="70"/>
      <c r="AG36" s="7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8"/>
      <c r="J37" s="68"/>
      <c r="K37" s="65"/>
      <c r="L37" s="64"/>
      <c r="M37" s="64"/>
      <c r="N37" s="64"/>
      <c r="O37" s="64"/>
      <c r="P37" s="68"/>
      <c r="Q37" s="68"/>
      <c r="R37" s="64"/>
      <c r="S37" s="64"/>
      <c r="T37" s="64"/>
      <c r="U37" s="64"/>
      <c r="V37" s="64"/>
      <c r="W37" s="68"/>
      <c r="X37" s="68"/>
      <c r="Y37" s="64"/>
      <c r="Z37" s="64"/>
      <c r="AA37" s="64"/>
      <c r="AB37" s="64"/>
      <c r="AC37" s="64"/>
      <c r="AD37" s="68"/>
      <c r="AE37" s="68"/>
      <c r="AF37" s="64"/>
      <c r="AG37" s="64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8"/>
      <c r="J38" s="68"/>
      <c r="K38" s="65"/>
      <c r="L38" s="64"/>
      <c r="M38" s="64"/>
      <c r="N38" s="64"/>
      <c r="O38" s="64"/>
      <c r="P38" s="68"/>
      <c r="Q38" s="68"/>
      <c r="R38" s="64"/>
      <c r="S38" s="64"/>
      <c r="T38" s="64"/>
      <c r="U38" s="64"/>
      <c r="V38" s="64"/>
      <c r="W38" s="68"/>
      <c r="X38" s="68"/>
      <c r="Y38" s="64"/>
      <c r="Z38" s="64"/>
      <c r="AA38" s="64"/>
      <c r="AB38" s="64"/>
      <c r="AC38" s="64"/>
      <c r="AD38" s="68"/>
      <c r="AE38" s="68"/>
      <c r="AF38" s="64"/>
      <c r="AG38" s="64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120"/>
      <c r="J39" s="120"/>
      <c r="K39" s="79"/>
      <c r="L39" s="70"/>
      <c r="M39" s="70"/>
      <c r="N39" s="70"/>
      <c r="O39" s="70"/>
      <c r="P39" s="120"/>
      <c r="Q39" s="120"/>
      <c r="R39" s="70"/>
      <c r="S39" s="70"/>
      <c r="T39" s="70"/>
      <c r="U39" s="70"/>
      <c r="V39" s="70"/>
      <c r="W39" s="120"/>
      <c r="X39" s="120"/>
      <c r="Y39" s="70"/>
      <c r="Z39" s="70"/>
      <c r="AA39" s="70"/>
      <c r="AB39" s="70"/>
      <c r="AC39" s="70"/>
      <c r="AD39" s="120"/>
      <c r="AE39" s="120"/>
      <c r="AF39" s="70"/>
      <c r="AG39" s="70"/>
      <c r="AH39" s="7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124"/>
      <c r="J40" s="124"/>
      <c r="K40" s="93"/>
      <c r="L40" s="92"/>
      <c r="M40" s="92"/>
      <c r="N40" s="92"/>
      <c r="O40" s="92"/>
      <c r="P40" s="124"/>
      <c r="Q40" s="124"/>
      <c r="R40" s="92"/>
      <c r="S40" s="92"/>
      <c r="T40" s="92"/>
      <c r="U40" s="92"/>
      <c r="V40" s="92"/>
      <c r="W40" s="124"/>
      <c r="X40" s="124"/>
      <c r="Y40" s="92"/>
      <c r="Z40" s="92"/>
      <c r="AA40" s="92"/>
      <c r="AB40" s="92"/>
      <c r="AC40" s="92"/>
      <c r="AD40" s="124"/>
      <c r="AE40" s="124"/>
      <c r="AF40" s="92"/>
      <c r="AG40" s="92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127"/>
      <c r="J42" s="127"/>
      <c r="K42" s="104"/>
      <c r="L42" s="64"/>
      <c r="M42" s="64"/>
      <c r="N42" s="62"/>
      <c r="O42" s="62"/>
      <c r="P42" s="127"/>
      <c r="Q42" s="127"/>
      <c r="R42" s="62"/>
      <c r="S42" s="64"/>
      <c r="T42" s="64"/>
      <c r="U42" s="62"/>
      <c r="V42" s="62"/>
      <c r="W42" s="127"/>
      <c r="X42" s="127"/>
      <c r="Y42" s="62"/>
      <c r="Z42" s="64"/>
      <c r="AA42" s="64"/>
      <c r="AB42" s="62"/>
      <c r="AC42" s="62"/>
      <c r="AD42" s="127"/>
      <c r="AE42" s="127"/>
      <c r="AF42" s="62"/>
      <c r="AG42" s="64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127"/>
      <c r="J43" s="127"/>
      <c r="K43" s="104"/>
      <c r="N43" s="62"/>
      <c r="O43" s="62"/>
      <c r="P43" s="127"/>
      <c r="Q43" s="127"/>
      <c r="R43" s="62"/>
      <c r="U43" s="62"/>
      <c r="V43" s="62"/>
      <c r="W43" s="127"/>
      <c r="X43" s="127"/>
      <c r="Y43" s="62"/>
      <c r="AB43" s="62"/>
      <c r="AC43" s="62"/>
      <c r="AD43" s="127"/>
      <c r="AE43" s="127"/>
      <c r="AF43" s="62"/>
      <c r="AH43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127"/>
      <c r="J44" s="127"/>
      <c r="K44" s="104"/>
      <c r="L44" s="64"/>
      <c r="M44" s="64"/>
      <c r="N44" s="62"/>
      <c r="O44" s="62"/>
      <c r="P44" s="127"/>
      <c r="Q44" s="127"/>
      <c r="R44" s="62"/>
      <c r="S44" s="64"/>
      <c r="T44" s="64"/>
      <c r="U44" s="62"/>
      <c r="V44" s="62"/>
      <c r="W44" s="127"/>
      <c r="X44" s="127"/>
      <c r="Y44" s="62"/>
      <c r="Z44" s="64"/>
      <c r="AA44" s="64"/>
      <c r="AB44" s="62"/>
      <c r="AC44" s="62"/>
      <c r="AD44" s="127"/>
      <c r="AE44" s="127"/>
      <c r="AF44" s="62"/>
      <c r="AG44" s="64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127"/>
      <c r="J45" s="127"/>
      <c r="K45" s="104"/>
      <c r="L45" s="64"/>
      <c r="M45" s="64"/>
      <c r="N45" s="62"/>
      <c r="O45" s="62"/>
      <c r="P45" s="127"/>
      <c r="Q45" s="127"/>
      <c r="R45" s="62"/>
      <c r="S45" s="64"/>
      <c r="T45" s="64"/>
      <c r="U45" s="62"/>
      <c r="V45" s="62"/>
      <c r="W45" s="127"/>
      <c r="X45" s="127"/>
      <c r="Y45" s="62"/>
      <c r="Z45" s="64"/>
      <c r="AA45" s="64"/>
      <c r="AB45" s="62"/>
      <c r="AC45" s="62"/>
      <c r="AD45" s="127"/>
      <c r="AE45" s="127"/>
      <c r="AF45" s="62"/>
      <c r="AG45" s="64"/>
      <c r="AH4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127"/>
      <c r="J46" s="127"/>
      <c r="K46" s="104"/>
      <c r="L46" s="64"/>
      <c r="M46" s="64"/>
      <c r="N46" s="62"/>
      <c r="O46" s="62"/>
      <c r="P46" s="127"/>
      <c r="Q46" s="127"/>
      <c r="R46" s="62"/>
      <c r="S46" s="64"/>
      <c r="T46" s="64"/>
      <c r="U46" s="62"/>
      <c r="V46" s="62"/>
      <c r="W46" s="127"/>
      <c r="X46" s="127"/>
      <c r="Y46" s="62"/>
      <c r="Z46" s="64"/>
      <c r="AA46" s="64"/>
      <c r="AB46" s="62"/>
      <c r="AC46" s="62"/>
      <c r="AD46" s="127"/>
      <c r="AE46" s="127"/>
      <c r="AF46" s="62"/>
      <c r="AG46" s="64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127"/>
      <c r="J47" s="127"/>
      <c r="K47" s="104"/>
      <c r="L47" s="64"/>
      <c r="M47" s="64"/>
      <c r="N47" s="62"/>
      <c r="O47" s="62"/>
      <c r="P47" s="127"/>
      <c r="Q47" s="127"/>
      <c r="R47" s="62"/>
      <c r="S47" s="64"/>
      <c r="T47" s="64"/>
      <c r="U47" s="62"/>
      <c r="V47" s="62"/>
      <c r="W47" s="127"/>
      <c r="X47" s="127"/>
      <c r="Y47" s="62"/>
      <c r="Z47" s="64"/>
      <c r="AA47" s="64"/>
      <c r="AB47" s="62"/>
      <c r="AC47" s="62"/>
      <c r="AD47" s="127"/>
      <c r="AE47" s="127"/>
      <c r="AF47" s="62"/>
      <c r="AG47" s="64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127"/>
      <c r="J48" s="127"/>
      <c r="K48" s="104"/>
      <c r="L48" s="64"/>
      <c r="M48" s="64"/>
      <c r="N48" s="62"/>
      <c r="O48" s="62"/>
      <c r="P48" s="127"/>
      <c r="Q48" s="127"/>
      <c r="R48" s="62"/>
      <c r="S48" s="64"/>
      <c r="T48" s="64"/>
      <c r="U48" s="62"/>
      <c r="V48" s="62"/>
      <c r="W48" s="127"/>
      <c r="X48" s="127"/>
      <c r="Y48" s="62"/>
      <c r="Z48" s="64"/>
      <c r="AA48" s="64"/>
      <c r="AB48" s="62"/>
      <c r="AC48" s="62"/>
      <c r="AD48" s="127"/>
      <c r="AE48" s="127"/>
      <c r="AF48" s="62"/>
      <c r="AG48" s="64"/>
      <c r="AH48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127"/>
      <c r="J49" s="127"/>
      <c r="K49" s="104"/>
      <c r="L49" s="64"/>
      <c r="M49" s="64"/>
      <c r="N49" s="62"/>
      <c r="O49" s="62"/>
      <c r="P49" s="127"/>
      <c r="Q49" s="127"/>
      <c r="R49" s="62"/>
      <c r="S49" s="64"/>
      <c r="T49" s="64"/>
      <c r="U49" s="62"/>
      <c r="V49" s="62"/>
      <c r="W49" s="127"/>
      <c r="X49" s="127"/>
      <c r="Y49" s="62"/>
      <c r="Z49" s="64"/>
      <c r="AA49" s="64"/>
      <c r="AB49" s="62"/>
      <c r="AC49" s="62"/>
      <c r="AD49" s="127"/>
      <c r="AE49" s="127"/>
      <c r="AF49" s="62"/>
      <c r="AG49" s="64"/>
      <c r="AH49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127"/>
      <c r="J50" s="127"/>
      <c r="K50" s="104"/>
      <c r="L50" s="64"/>
      <c r="M50" s="64"/>
      <c r="N50" s="62"/>
      <c r="O50" s="62"/>
      <c r="P50" s="127"/>
      <c r="Q50" s="127"/>
      <c r="R50" s="62"/>
      <c r="S50" s="64"/>
      <c r="T50" s="64"/>
      <c r="U50" s="62"/>
      <c r="V50" s="62"/>
      <c r="W50" s="127"/>
      <c r="X50" s="127"/>
      <c r="Y50" s="62"/>
      <c r="Z50" s="64"/>
      <c r="AA50" s="64"/>
      <c r="AB50" s="62"/>
      <c r="AC50" s="62"/>
      <c r="AD50" s="127"/>
      <c r="AE50" s="127"/>
      <c r="AF50" s="62"/>
      <c r="AG50" s="64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127"/>
      <c r="J51" s="127"/>
      <c r="K51" s="104"/>
      <c r="L51" s="64"/>
      <c r="M51" s="64"/>
      <c r="N51" s="62"/>
      <c r="O51" s="62"/>
      <c r="P51" s="127"/>
      <c r="Q51" s="127"/>
      <c r="R51" s="62"/>
      <c r="S51" s="64"/>
      <c r="T51" s="64"/>
      <c r="U51" s="62"/>
      <c r="V51" s="62"/>
      <c r="W51" s="127"/>
      <c r="X51" s="127"/>
      <c r="Y51" s="62"/>
      <c r="Z51" s="64"/>
      <c r="AA51" s="64"/>
      <c r="AB51" s="62"/>
      <c r="AC51" s="62"/>
      <c r="AD51" s="127"/>
      <c r="AE51" s="127"/>
      <c r="AF51" s="62"/>
      <c r="AG51" s="64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127"/>
      <c r="J52" s="127"/>
      <c r="K52" s="104"/>
      <c r="L52" s="64"/>
      <c r="M52" s="64"/>
      <c r="N52" s="62"/>
      <c r="O52" s="62"/>
      <c r="P52" s="127"/>
      <c r="Q52" s="127"/>
      <c r="R52" s="62"/>
      <c r="S52" s="64"/>
      <c r="T52" s="64"/>
      <c r="U52" s="62"/>
      <c r="V52" s="62"/>
      <c r="W52" s="127"/>
      <c r="X52" s="127"/>
      <c r="Y52" s="62"/>
      <c r="Z52" s="64"/>
      <c r="AA52" s="64"/>
      <c r="AB52" s="62"/>
      <c r="AC52" s="62"/>
      <c r="AD52" s="127"/>
      <c r="AE52" s="127"/>
      <c r="AF52" s="62"/>
      <c r="AG52" s="64"/>
      <c r="AH52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127"/>
      <c r="J53" s="127"/>
      <c r="K53" s="104"/>
      <c r="L53" s="64"/>
      <c r="M53" s="64"/>
      <c r="N53" s="62"/>
      <c r="O53" s="62"/>
      <c r="P53" s="127"/>
      <c r="Q53" s="127"/>
      <c r="R53" s="62"/>
      <c r="S53" s="64"/>
      <c r="T53" s="64"/>
      <c r="U53" s="62"/>
      <c r="V53" s="62"/>
      <c r="W53" s="127"/>
      <c r="X53" s="127"/>
      <c r="Y53" s="62"/>
      <c r="Z53" s="64"/>
      <c r="AA53" s="64"/>
      <c r="AB53" s="62"/>
      <c r="AC53" s="62"/>
      <c r="AD53" s="127"/>
      <c r="AE53" s="127"/>
      <c r="AF53" s="62"/>
      <c r="AG53" s="64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127"/>
      <c r="J54" s="127"/>
      <c r="K54" s="104"/>
      <c r="L54" s="64"/>
      <c r="M54" s="64"/>
      <c r="N54" s="62"/>
      <c r="O54" s="62"/>
      <c r="P54" s="127"/>
      <c r="Q54" s="127"/>
      <c r="R54" s="62"/>
      <c r="S54" s="64"/>
      <c r="T54" s="64"/>
      <c r="U54" s="62"/>
      <c r="V54" s="62"/>
      <c r="W54" s="127"/>
      <c r="X54" s="127"/>
      <c r="Y54" s="62"/>
      <c r="Z54" s="64"/>
      <c r="AA54" s="64"/>
      <c r="AB54" s="62"/>
      <c r="AC54" s="62"/>
      <c r="AD54" s="127"/>
      <c r="AE54" s="127"/>
      <c r="AF54" s="62"/>
      <c r="AG54" s="64"/>
      <c r="AH54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62"/>
      <c r="I55" s="127"/>
      <c r="J55" s="127"/>
      <c r="K55" s="104"/>
      <c r="L55" s="64"/>
      <c r="M55" s="64"/>
      <c r="N55" s="62"/>
      <c r="O55" s="62"/>
      <c r="P55" s="127"/>
      <c r="Q55" s="127"/>
      <c r="R55" s="62"/>
      <c r="S55" s="64"/>
      <c r="T55" s="64"/>
      <c r="U55" s="62"/>
      <c r="V55" s="62"/>
      <c r="W55" s="127"/>
      <c r="X55" s="127"/>
      <c r="Y55" s="62"/>
      <c r="Z55" s="64"/>
      <c r="AA55" s="64"/>
      <c r="AB55" s="62"/>
      <c r="AC55" s="62"/>
      <c r="AD55" s="127"/>
      <c r="AE55" s="127"/>
      <c r="AF55" s="62"/>
      <c r="AG55" s="64"/>
      <c r="AH5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62"/>
      <c r="I56" s="127"/>
      <c r="J56" s="127"/>
      <c r="K56" s="104"/>
      <c r="L56" s="64"/>
      <c r="M56" s="64"/>
      <c r="N56" s="62"/>
      <c r="O56" s="62"/>
      <c r="P56" s="127"/>
      <c r="Q56" s="127"/>
      <c r="R56" s="62"/>
      <c r="S56" s="64"/>
      <c r="T56" s="64"/>
      <c r="U56" s="62"/>
      <c r="V56" s="62"/>
      <c r="W56" s="127"/>
      <c r="X56" s="127"/>
      <c r="Y56" s="62"/>
      <c r="Z56" s="64"/>
      <c r="AA56" s="64"/>
      <c r="AB56" s="62"/>
      <c r="AC56" s="62"/>
      <c r="AD56" s="127"/>
      <c r="AE56" s="127"/>
      <c r="AF56" s="62"/>
      <c r="AG56" s="64"/>
      <c r="AH56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127"/>
      <c r="J57" s="127"/>
      <c r="K57" s="104"/>
      <c r="L57" s="64"/>
      <c r="M57" s="64"/>
      <c r="N57" s="62"/>
      <c r="O57" s="62"/>
      <c r="P57" s="127"/>
      <c r="Q57" s="127"/>
      <c r="R57" s="62"/>
      <c r="S57" s="64"/>
      <c r="T57" s="64"/>
      <c r="U57" s="62"/>
      <c r="V57" s="62"/>
      <c r="W57" s="127"/>
      <c r="X57" s="127"/>
      <c r="Y57" s="62"/>
      <c r="Z57" s="64"/>
      <c r="AA57" s="64"/>
      <c r="AB57" s="62"/>
      <c r="AC57" s="62"/>
      <c r="AD57" s="127"/>
      <c r="AE57" s="127"/>
      <c r="AF57" s="62"/>
      <c r="AG57" s="64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62"/>
      <c r="I58" s="127"/>
      <c r="J58" s="127"/>
      <c r="K58" s="104"/>
      <c r="L58" s="64"/>
      <c r="M58" s="64"/>
      <c r="N58" s="62"/>
      <c r="O58" s="62"/>
      <c r="P58" s="127"/>
      <c r="Q58" s="127"/>
      <c r="R58" s="62"/>
      <c r="S58" s="64"/>
      <c r="T58" s="64"/>
      <c r="U58" s="62"/>
      <c r="V58" s="62"/>
      <c r="W58" s="127"/>
      <c r="X58" s="127"/>
      <c r="Y58" s="62"/>
      <c r="Z58" s="64"/>
      <c r="AA58" s="64"/>
      <c r="AB58" s="62"/>
      <c r="AC58" s="62"/>
      <c r="AD58" s="127"/>
      <c r="AE58" s="127"/>
      <c r="AF58" s="62"/>
      <c r="AG58" s="64"/>
      <c r="AH58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120"/>
      <c r="J59" s="120"/>
      <c r="M59" s="70"/>
      <c r="N59" s="70"/>
      <c r="O59" s="70"/>
      <c r="P59" s="120"/>
      <c r="Q59" s="120"/>
      <c r="T59" s="70"/>
      <c r="U59" s="70"/>
      <c r="V59" s="70"/>
      <c r="W59" s="120"/>
      <c r="X59" s="120"/>
      <c r="AA59" s="70"/>
      <c r="AB59" s="70"/>
      <c r="AC59" s="70"/>
      <c r="AD59" s="120"/>
      <c r="AE59" s="12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121"/>
      <c r="J60" s="121"/>
      <c r="K60" s="93"/>
      <c r="L60" s="92"/>
      <c r="M60" s="73"/>
      <c r="N60" s="73"/>
      <c r="O60" s="73"/>
      <c r="P60" s="121"/>
      <c r="Q60" s="121"/>
      <c r="R60" s="92"/>
      <c r="S60" s="92"/>
      <c r="T60" s="73"/>
      <c r="U60" s="73"/>
      <c r="V60" s="73"/>
      <c r="W60" s="121"/>
      <c r="X60" s="121"/>
      <c r="Y60" s="92"/>
      <c r="Z60" s="92"/>
      <c r="AA60" s="73"/>
      <c r="AB60" s="73"/>
      <c r="AC60" s="73"/>
      <c r="AD60" s="121"/>
      <c r="AE60" s="121"/>
      <c r="AF60" s="92"/>
      <c r="AG60" s="92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120"/>
      <c r="J61" s="120"/>
      <c r="M61" s="70"/>
      <c r="N61" s="70"/>
      <c r="O61" s="70"/>
      <c r="P61" s="120"/>
      <c r="Q61" s="120"/>
      <c r="T61" s="70"/>
      <c r="U61" s="70"/>
      <c r="V61" s="70"/>
      <c r="W61" s="120"/>
      <c r="X61" s="120"/>
      <c r="AA61" s="70"/>
      <c r="AB61" s="70"/>
      <c r="AC61" s="70"/>
      <c r="AD61" s="120"/>
      <c r="AE61" s="12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70"/>
      <c r="N74" s="70"/>
      <c r="O74" s="70"/>
      <c r="P74" s="120"/>
      <c r="R74" s="70"/>
      <c r="S74" s="70"/>
      <c r="T74" s="70"/>
      <c r="U74" s="70"/>
      <c r="V74" s="70"/>
      <c r="W74" s="120"/>
      <c r="X74" s="120"/>
      <c r="Y74" s="70"/>
      <c r="Z74" s="70"/>
      <c r="AA74" s="70"/>
      <c r="AB74" s="70"/>
      <c r="AC74" s="70"/>
      <c r="AD74" s="120"/>
      <c r="AE74" s="120"/>
      <c r="AF74" s="70"/>
      <c r="AG74" s="7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26"/>
      <c r="J76" s="126"/>
      <c r="K76" s="99"/>
      <c r="L76" s="92"/>
      <c r="M76" s="92"/>
      <c r="N76" s="100"/>
      <c r="O76" s="100"/>
      <c r="P76" s="126"/>
      <c r="Q76" s="126"/>
      <c r="R76" s="100"/>
      <c r="S76" s="92"/>
      <c r="T76" s="92"/>
      <c r="U76" s="100"/>
      <c r="V76" s="100"/>
      <c r="W76" s="126"/>
      <c r="X76" s="126"/>
      <c r="Y76" s="100"/>
      <c r="Z76" s="92"/>
      <c r="AA76" s="92"/>
      <c r="AB76" s="100"/>
      <c r="AC76" s="100"/>
      <c r="AD76" s="126"/>
      <c r="AE76" s="126"/>
      <c r="AF76" s="100"/>
      <c r="AG76" s="92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12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12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70"/>
      <c r="AD83" s="120"/>
      <c r="AF83" s="70"/>
      <c r="AG83" s="7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12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124"/>
      <c r="J87" s="124"/>
      <c r="K87" s="93"/>
      <c r="L87" s="92"/>
      <c r="M87" s="92"/>
      <c r="N87" s="92"/>
      <c r="O87" s="92"/>
      <c r="P87" s="124"/>
      <c r="Q87" s="124"/>
      <c r="R87" s="92"/>
      <c r="S87" s="92"/>
      <c r="T87" s="92"/>
      <c r="U87" s="92"/>
      <c r="V87" s="73"/>
      <c r="W87" s="124"/>
      <c r="X87" s="124"/>
      <c r="Y87" s="73"/>
      <c r="Z87" s="92"/>
      <c r="AA87" s="92"/>
      <c r="AB87" s="92"/>
      <c r="AC87" s="92"/>
      <c r="AD87" s="124"/>
      <c r="AE87" s="124"/>
      <c r="AF87" s="92"/>
      <c r="AG87" s="92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8"/>
      <c r="J88" s="68"/>
      <c r="K88" s="65"/>
      <c r="L88" s="64"/>
      <c r="M88" s="64"/>
      <c r="N88" s="64"/>
      <c r="O88" s="64"/>
      <c r="P88" s="68"/>
      <c r="Q88" s="68"/>
      <c r="R88" s="64"/>
      <c r="S88" s="64"/>
      <c r="T88" s="64"/>
      <c r="U88" s="64"/>
      <c r="V88" s="64"/>
      <c r="W88" s="125"/>
      <c r="X88" s="125"/>
      <c r="Y88" s="64"/>
      <c r="Z88" s="64"/>
      <c r="AA88"/>
      <c r="AB88" s="64"/>
      <c r="AC88" s="64"/>
      <c r="AD88" s="68"/>
      <c r="AE88" s="68"/>
      <c r="AF88" s="64"/>
      <c r="AG88" s="64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120"/>
      <c r="J89" s="120"/>
      <c r="K89" s="79"/>
      <c r="L89" s="70"/>
      <c r="M89" s="70"/>
      <c r="N89" s="70"/>
      <c r="O89" s="64"/>
      <c r="P89" s="120"/>
      <c r="Q89" s="120"/>
      <c r="R89" s="70"/>
      <c r="S89" s="70"/>
      <c r="T89" s="70"/>
      <c r="U89" s="64"/>
      <c r="V89" s="64"/>
      <c r="W89" s="68"/>
      <c r="X89" s="68"/>
      <c r="Y89" s="70"/>
      <c r="Z89" s="70"/>
      <c r="AA89" s="70"/>
      <c r="AB89" s="70"/>
      <c r="AC89" s="64"/>
      <c r="AD89" s="120"/>
      <c r="AE89" s="68"/>
      <c r="AF89" s="70"/>
      <c r="AG89" s="7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120"/>
      <c r="J90" s="120"/>
      <c r="K90" s="79"/>
      <c r="L90" s="70"/>
      <c r="M90" s="70"/>
      <c r="N90" s="70"/>
      <c r="O90" s="70"/>
      <c r="P90" s="120"/>
      <c r="Q90" s="120"/>
      <c r="R90" s="70"/>
      <c r="S90" s="70"/>
      <c r="T90" s="70"/>
      <c r="U90" s="70"/>
      <c r="V90" s="70"/>
      <c r="W90" s="120"/>
      <c r="X90" s="120"/>
      <c r="Y90" s="70"/>
      <c r="Z90" s="70"/>
      <c r="AA90" s="70"/>
      <c r="AB90" s="70"/>
      <c r="AC90" s="70"/>
      <c r="AD90" s="120"/>
      <c r="AE90" s="120"/>
      <c r="AF90" s="70"/>
      <c r="AG90" s="7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120"/>
      <c r="J91" s="120"/>
      <c r="K91" s="79"/>
      <c r="L91" s="70"/>
      <c r="M91" s="70"/>
      <c r="N91" s="70"/>
      <c r="O91" s="70"/>
      <c r="P91" s="120"/>
      <c r="Q91" s="120"/>
      <c r="R91" s="70"/>
      <c r="S91" s="70"/>
      <c r="T91" s="70"/>
      <c r="U91" s="70"/>
      <c r="V91" s="70"/>
      <c r="W91" s="120"/>
      <c r="X91" s="120"/>
      <c r="Y91" s="70"/>
      <c r="Z91" s="70"/>
      <c r="AA91" s="70"/>
      <c r="AB91" s="70"/>
      <c r="AC91" s="70"/>
      <c r="AD91" s="120"/>
      <c r="AE91" s="120"/>
      <c r="AF91" s="70"/>
      <c r="AG91" s="7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120"/>
      <c r="J92" s="120"/>
      <c r="K92" s="79"/>
      <c r="L92" s="70"/>
      <c r="M92" s="70"/>
      <c r="N92" s="70"/>
      <c r="O92" s="70"/>
      <c r="P92" s="120"/>
      <c r="Q92" s="120"/>
      <c r="R92" s="70"/>
      <c r="S92" s="70"/>
      <c r="T92" s="70"/>
      <c r="U92" s="70"/>
      <c r="V92" s="70"/>
      <c r="W92" s="120"/>
      <c r="X92" s="120"/>
      <c r="Y92" s="70"/>
      <c r="Z92" s="70"/>
      <c r="AA92" s="70"/>
      <c r="AB92" s="70"/>
      <c r="AC92" s="70"/>
      <c r="AD92" s="120"/>
      <c r="AE92" s="120"/>
      <c r="AF92" s="70"/>
      <c r="AG92" s="7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120"/>
      <c r="J93" s="120"/>
      <c r="K93" s="79"/>
      <c r="L93" s="70"/>
      <c r="M93" s="70"/>
      <c r="N93" s="70"/>
      <c r="O93" s="70"/>
      <c r="P93" s="120"/>
      <c r="Q93" s="120"/>
      <c r="R93" s="70"/>
      <c r="S93" s="70"/>
      <c r="T93" s="70"/>
      <c r="U93" s="70"/>
      <c r="V93" s="70"/>
      <c r="W93" s="120"/>
      <c r="X93" s="120"/>
      <c r="Y93" s="70"/>
      <c r="Z93" s="70"/>
      <c r="AA93" s="70"/>
      <c r="AB93" s="70"/>
      <c r="AC93" s="70"/>
      <c r="AD93" s="120"/>
      <c r="AE93" s="120"/>
      <c r="AF93" s="70"/>
      <c r="AG93" s="7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120"/>
      <c r="J94" s="120"/>
      <c r="K94" s="79"/>
      <c r="L94" s="70"/>
      <c r="M94" s="70"/>
      <c r="N94" s="70"/>
      <c r="O94" s="70"/>
      <c r="P94" s="120"/>
      <c r="Q94" s="120"/>
      <c r="R94" s="70"/>
      <c r="S94" s="70"/>
      <c r="T94" s="70"/>
      <c r="U94" s="70"/>
      <c r="V94" s="70"/>
      <c r="W94" s="120"/>
      <c r="X94" s="120"/>
      <c r="Y94" s="70"/>
      <c r="Z94" s="70"/>
      <c r="AA94" s="70"/>
      <c r="AB94" s="70"/>
      <c r="AC94" s="70"/>
      <c r="AD94" s="120"/>
      <c r="AE94" s="120"/>
      <c r="AF94" s="70"/>
      <c r="AG94" s="7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120"/>
      <c r="J95" s="120"/>
      <c r="K95" s="79"/>
      <c r="L95" s="70"/>
      <c r="M95" s="70"/>
      <c r="N95" s="70"/>
      <c r="O95" s="70"/>
      <c r="P95" s="120"/>
      <c r="Q95" s="120"/>
      <c r="R95" s="70"/>
      <c r="S95" s="70"/>
      <c r="T95" s="70"/>
      <c r="U95" s="70"/>
      <c r="V95" s="70"/>
      <c r="W95" s="120"/>
      <c r="X95" s="120"/>
      <c r="Y95" s="70"/>
      <c r="Z95" s="70"/>
      <c r="AA95" s="70"/>
      <c r="AB95" s="70"/>
      <c r="AC95" s="70"/>
      <c r="AD95" s="120"/>
      <c r="AE95" s="120"/>
      <c r="AF95" s="70"/>
      <c r="AG95" s="7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8"/>
      <c r="J105" s="68"/>
      <c r="K105" s="65"/>
      <c r="L105" s="64"/>
      <c r="M105" s="64"/>
      <c r="N105" s="64"/>
      <c r="O105" s="64"/>
      <c r="P105" s="68"/>
      <c r="Q105" s="68"/>
      <c r="R105" s="64"/>
      <c r="S105" s="64"/>
      <c r="T105" s="64"/>
      <c r="U105" s="64"/>
      <c r="V105" s="64"/>
      <c r="W105" s="68"/>
      <c r="X105" s="68"/>
      <c r="Y105" s="64"/>
      <c r="Z105" s="64"/>
      <c r="AA105" s="64"/>
      <c r="AB105" s="64"/>
      <c r="AC105" s="64"/>
      <c r="AD105" s="68"/>
      <c r="AE105" s="68"/>
      <c r="AF105" s="64"/>
      <c r="AG105" s="64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8"/>
      <c r="J106" s="68"/>
      <c r="K106" s="65"/>
      <c r="L106" s="64"/>
      <c r="M106" s="64"/>
      <c r="N106" s="64"/>
      <c r="O106" s="64"/>
      <c r="P106" s="68"/>
      <c r="Q106" s="68"/>
      <c r="R106" s="64"/>
      <c r="S106" s="64"/>
      <c r="T106" s="64"/>
      <c r="U106" s="64"/>
      <c r="V106" s="64"/>
      <c r="W106" s="68"/>
      <c r="X106" s="68"/>
      <c r="Y106" s="64"/>
      <c r="Z106" s="64"/>
      <c r="AA106" s="64"/>
      <c r="AB106" s="64"/>
      <c r="AC106" s="64"/>
      <c r="AD106" s="68"/>
      <c r="AE106" s="68"/>
      <c r="AF106" s="64"/>
      <c r="AG106" s="64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8"/>
      <c r="J107" s="68"/>
      <c r="K107" s="65"/>
      <c r="L107" s="64"/>
      <c r="M107" s="64"/>
      <c r="N107" s="64"/>
      <c r="O107" s="64"/>
      <c r="P107" s="68"/>
      <c r="Q107" s="68"/>
      <c r="R107" s="64"/>
      <c r="S107" s="64"/>
      <c r="T107" s="64"/>
      <c r="U107" s="64"/>
      <c r="V107" s="64"/>
      <c r="W107" s="68"/>
      <c r="X107" s="68"/>
      <c r="Y107" s="64"/>
      <c r="Z107" s="64"/>
      <c r="AA107" s="64"/>
      <c r="AB107" s="64"/>
      <c r="AC107" s="64"/>
      <c r="AD107" s="68"/>
      <c r="AE107" s="68"/>
      <c r="AF107" s="64"/>
      <c r="AG107" s="64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8"/>
      <c r="J108" s="68"/>
      <c r="K108" s="65"/>
      <c r="L108" s="64"/>
      <c r="M108" s="64"/>
      <c r="N108" s="64"/>
      <c r="O108" s="64"/>
      <c r="P108" s="68"/>
      <c r="Q108" s="68"/>
      <c r="R108" s="64"/>
      <c r="S108" s="64"/>
      <c r="T108" s="64"/>
      <c r="U108" s="64"/>
      <c r="V108" s="64"/>
      <c r="W108" s="68"/>
      <c r="X108" s="68"/>
      <c r="Y108" s="64"/>
      <c r="Z108" s="64"/>
      <c r="AA108" s="64"/>
      <c r="AB108" s="64"/>
      <c r="AC108" s="64"/>
      <c r="AD108" s="68"/>
      <c r="AE108" s="68"/>
      <c r="AF108" s="64"/>
      <c r="AG108" s="64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8"/>
      <c r="J109" s="68"/>
      <c r="K109" s="65"/>
      <c r="L109" s="64"/>
      <c r="M109" s="64"/>
      <c r="N109" s="64"/>
      <c r="O109" s="64"/>
      <c r="P109" s="68"/>
      <c r="Q109" s="68"/>
      <c r="R109" s="64"/>
      <c r="S109" s="64"/>
      <c r="T109" s="64"/>
      <c r="U109" s="64"/>
      <c r="V109" s="64"/>
      <c r="W109" s="68"/>
      <c r="X109" s="68"/>
      <c r="Y109" s="64"/>
      <c r="Z109" s="64"/>
      <c r="AA109" s="64"/>
      <c r="AB109" s="64"/>
      <c r="AC109" s="64"/>
      <c r="AD109" s="68"/>
      <c r="AE109" s="68"/>
      <c r="AF109" s="64"/>
      <c r="AG109" s="64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8"/>
      <c r="J110" s="68"/>
      <c r="K110" s="65"/>
      <c r="L110" s="64"/>
      <c r="M110" s="64"/>
      <c r="N110" s="64"/>
      <c r="O110" s="64"/>
      <c r="P110" s="68"/>
      <c r="Q110" s="68"/>
      <c r="R110" s="64"/>
      <c r="S110" s="64"/>
      <c r="T110" s="64"/>
      <c r="U110" s="64"/>
      <c r="V110" s="64"/>
      <c r="W110" s="68"/>
      <c r="X110" s="68"/>
      <c r="Y110" s="64"/>
      <c r="Z110" s="64"/>
      <c r="AA110" s="64"/>
      <c r="AB110" s="64"/>
      <c r="AC110" s="64"/>
      <c r="AD110" s="68"/>
      <c r="AE110" s="68"/>
      <c r="AF110" s="64"/>
      <c r="AG110" s="64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8"/>
      <c r="J111" s="68"/>
      <c r="K111" s="65"/>
      <c r="L111" s="64"/>
      <c r="M111" s="64"/>
      <c r="N111" s="64"/>
      <c r="O111" s="64"/>
      <c r="P111" s="68"/>
      <c r="Q111" s="68"/>
      <c r="R111" s="64"/>
      <c r="S111" s="64"/>
      <c r="T111" s="64"/>
      <c r="U111" s="64"/>
      <c r="V111" s="64"/>
      <c r="W111" s="68"/>
      <c r="X111" s="68"/>
      <c r="Y111" s="64"/>
      <c r="Z111" s="64"/>
      <c r="AA111" s="64"/>
      <c r="AB111" s="64"/>
      <c r="AC111" s="64"/>
      <c r="AD111" s="68"/>
      <c r="AE111" s="68"/>
      <c r="AF111" s="64"/>
      <c r="AG111" s="64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8"/>
      <c r="J112" s="68"/>
      <c r="K112" s="65"/>
      <c r="L112" s="64"/>
      <c r="M112" s="64"/>
      <c r="N112" s="64"/>
      <c r="O112" s="64"/>
      <c r="P112" s="68"/>
      <c r="Q112" s="68"/>
      <c r="R112" s="64"/>
      <c r="S112" s="64"/>
      <c r="T112" s="64"/>
      <c r="U112" s="64"/>
      <c r="V112" s="64"/>
      <c r="W112" s="68"/>
      <c r="X112" s="68"/>
      <c r="Y112" s="64"/>
      <c r="Z112" s="64"/>
      <c r="AA112" s="64"/>
      <c r="AB112" s="64"/>
      <c r="AC112" s="64"/>
      <c r="AD112" s="68"/>
      <c r="AE112" s="68"/>
      <c r="AF112" s="64"/>
      <c r="AG112" s="64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8"/>
      <c r="J113" s="68"/>
      <c r="K113" s="65"/>
      <c r="L113" s="64"/>
      <c r="M113" s="64"/>
      <c r="N113" s="64"/>
      <c r="O113" s="64"/>
      <c r="P113" s="68"/>
      <c r="Q113" s="68"/>
      <c r="R113" s="64"/>
      <c r="S113" s="64"/>
      <c r="T113" s="64"/>
      <c r="U113" s="64"/>
      <c r="V113" s="64"/>
      <c r="W113" s="68"/>
      <c r="X113" s="68"/>
      <c r="Y113" s="64"/>
      <c r="Z113" s="64"/>
      <c r="AA113" s="64"/>
      <c r="AB113" s="64"/>
      <c r="AC113" s="64"/>
      <c r="AD113" s="68"/>
      <c r="AE113" s="68"/>
      <c r="AF113" s="64"/>
      <c r="AG113" s="64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8"/>
      <c r="J114" s="68"/>
      <c r="K114" s="65"/>
      <c r="L114" s="64"/>
      <c r="M114" s="64"/>
      <c r="N114" s="64"/>
      <c r="O114" s="64"/>
      <c r="P114" s="68"/>
      <c r="Q114" s="68"/>
      <c r="R114" s="64"/>
      <c r="S114" s="64"/>
      <c r="T114" s="64"/>
      <c r="U114" s="64"/>
      <c r="V114" s="64"/>
      <c r="W114" s="68"/>
      <c r="X114" s="68"/>
      <c r="Y114" s="64"/>
      <c r="Z114" s="64"/>
      <c r="AA114" s="64"/>
      <c r="AB114" s="64"/>
      <c r="AC114" s="64"/>
      <c r="AD114" s="68"/>
      <c r="AE114" s="68"/>
      <c r="AF114" s="64"/>
      <c r="AG114" s="64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8"/>
      <c r="J115" s="68"/>
      <c r="K115" s="65"/>
      <c r="L115" s="64"/>
      <c r="M115" s="64"/>
      <c r="N115" s="64"/>
      <c r="O115" s="64"/>
      <c r="P115" s="68"/>
      <c r="Q115" s="68"/>
      <c r="R115" s="64"/>
      <c r="S115" s="64"/>
      <c r="T115" s="64"/>
      <c r="U115" s="64"/>
      <c r="V115" s="64"/>
      <c r="W115" s="68"/>
      <c r="X115" s="68"/>
      <c r="Y115" s="64"/>
      <c r="Z115" s="64"/>
      <c r="AA115" s="64"/>
      <c r="AB115" s="64"/>
      <c r="AC115" s="64"/>
      <c r="AD115" s="68"/>
      <c r="AE115" s="68"/>
      <c r="AF115" s="64"/>
      <c r="AG115" s="64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8"/>
      <c r="J116" s="68"/>
      <c r="K116" s="65"/>
      <c r="L116" s="64"/>
      <c r="M116" s="64"/>
      <c r="N116" s="64"/>
      <c r="O116" s="64"/>
      <c r="P116" s="68"/>
      <c r="Q116" s="68"/>
      <c r="R116" s="64"/>
      <c r="S116" s="64"/>
      <c r="T116" s="64"/>
      <c r="U116" s="64"/>
      <c r="V116" s="64"/>
      <c r="W116" s="68"/>
      <c r="X116" s="68"/>
      <c r="Y116" s="64"/>
      <c r="Z116" s="64"/>
      <c r="AA116" s="64"/>
      <c r="AB116" s="64"/>
      <c r="AC116" s="64"/>
      <c r="AD116" s="68"/>
      <c r="AE116" s="68"/>
      <c r="AF116" s="64"/>
      <c r="AG116" s="64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124"/>
      <c r="J117" s="124"/>
      <c r="K117" s="93"/>
      <c r="L117" s="92"/>
      <c r="M117" s="92"/>
      <c r="N117" s="92"/>
      <c r="O117" s="92"/>
      <c r="P117" s="124"/>
      <c r="Q117" s="124"/>
      <c r="R117" s="92"/>
      <c r="S117" s="92"/>
      <c r="T117" s="92"/>
      <c r="U117" s="92"/>
      <c r="V117" s="92"/>
      <c r="W117" s="124"/>
      <c r="X117" s="124"/>
      <c r="Y117" s="92"/>
      <c r="Z117" s="92"/>
      <c r="AA117" s="92"/>
      <c r="AB117" s="92"/>
      <c r="AC117" s="92"/>
      <c r="AD117" s="124"/>
      <c r="AE117" s="124"/>
      <c r="AF117" s="92"/>
      <c r="AG117" s="92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70"/>
      <c r="AD118" s="120"/>
      <c r="AF118" s="70"/>
      <c r="AG118" s="7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23"/>
      <c r="S119" s="156"/>
      <c r="AE119" s="12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8"/>
      <c r="J122" s="68"/>
      <c r="K122" s="65"/>
      <c r="L122" s="64"/>
      <c r="M122" s="64"/>
      <c r="N122" s="64"/>
      <c r="O122" s="64"/>
      <c r="P122" s="68"/>
      <c r="Q122" s="122"/>
      <c r="R122" s="70"/>
      <c r="S122" s="64"/>
      <c r="T122" s="64"/>
      <c r="U122" s="70"/>
      <c r="V122" s="64"/>
      <c r="W122" s="68"/>
      <c r="X122" s="68"/>
      <c r="Y122" s="64"/>
      <c r="Z122" s="64"/>
      <c r="AA122" s="64"/>
      <c r="AB122" s="64"/>
      <c r="AC122" s="80"/>
      <c r="AD122" s="68"/>
      <c r="AE122" s="68"/>
      <c r="AF122" s="64"/>
      <c r="AG122" s="64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120"/>
      <c r="S125" s="70"/>
      <c r="W125" s="12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8"/>
      <c r="J126" s="68"/>
      <c r="K126" s="65"/>
      <c r="L126" s="64"/>
      <c r="M126" s="70"/>
      <c r="N126" s="64"/>
      <c r="O126" s="64"/>
      <c r="P126" s="68"/>
      <c r="Q126" s="120"/>
      <c r="R126" s="64"/>
      <c r="S126" s="70"/>
      <c r="T126" s="64"/>
      <c r="U126" s="64"/>
      <c r="V126" s="64"/>
      <c r="W126" s="120"/>
      <c r="X126" s="68"/>
      <c r="Y126" s="64"/>
      <c r="Z126" s="64"/>
      <c r="AA126" s="64"/>
      <c r="AB126" s="64"/>
      <c r="AC126" s="64"/>
      <c r="AD126" s="68"/>
      <c r="AE126" s="68"/>
      <c r="AF126" s="64"/>
      <c r="AG126" s="64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120"/>
      <c r="J128" s="120"/>
      <c r="M128" s="70"/>
      <c r="N128" s="70"/>
      <c r="O128" s="70"/>
      <c r="P128" s="120"/>
      <c r="Q128" s="120"/>
      <c r="R128" s="70"/>
      <c r="S128" s="70"/>
      <c r="T128" s="70"/>
      <c r="V128" s="70"/>
      <c r="W128" s="120"/>
      <c r="X128" s="120"/>
      <c r="Z128" s="70"/>
      <c r="AA128" s="70"/>
      <c r="AB128" s="70"/>
      <c r="AC128" s="70"/>
      <c r="AD128" s="120"/>
      <c r="AE128" s="120"/>
      <c r="AF128" s="70"/>
      <c r="AG128" s="7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120"/>
      <c r="J134" s="120"/>
      <c r="M134" s="70"/>
      <c r="N134" s="70"/>
      <c r="O134" s="70"/>
      <c r="P134" s="120"/>
      <c r="Q134" s="120"/>
      <c r="R134" s="70"/>
      <c r="T134" s="70"/>
      <c r="U134" s="70"/>
      <c r="V134" s="70"/>
      <c r="Y134" s="70"/>
      <c r="Z134" s="70"/>
      <c r="AA134" s="70"/>
      <c r="AB134" s="70"/>
      <c r="AC134" s="70"/>
      <c r="AD134" s="12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0"/>
      <c r="AD135" s="120"/>
      <c r="AF135" s="7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121"/>
      <c r="J136" s="121"/>
      <c r="K136" s="74"/>
      <c r="L136" s="73"/>
      <c r="M136" s="73"/>
      <c r="N136" s="73"/>
      <c r="O136" s="73"/>
      <c r="P136" s="121"/>
      <c r="Q136" s="121"/>
      <c r="R136" s="73"/>
      <c r="S136" s="73"/>
      <c r="T136" s="73"/>
      <c r="U136" s="73"/>
      <c r="V136" s="73"/>
      <c r="W136" s="121"/>
      <c r="X136" s="121"/>
      <c r="Y136" s="73"/>
      <c r="Z136" s="73"/>
      <c r="AA136" s="73"/>
      <c r="AB136" s="73"/>
      <c r="AC136" s="73"/>
      <c r="AD136" s="121"/>
      <c r="AE136" s="121"/>
      <c r="AF136" s="73"/>
      <c r="AG136" s="73"/>
      <c r="AH136" s="73"/>
      <c r="AI136" s="73"/>
      <c r="AJ136" s="73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120"/>
      <c r="J137" s="120"/>
      <c r="K137" s="79"/>
      <c r="L137" s="70"/>
      <c r="M137" s="70"/>
      <c r="N137" s="70"/>
      <c r="O137" s="70"/>
      <c r="P137" s="120"/>
      <c r="Q137" s="120"/>
      <c r="R137" s="70"/>
      <c r="S137" s="70"/>
      <c r="T137" s="70"/>
      <c r="U137" s="70"/>
      <c r="V137" s="70"/>
      <c r="W137" s="120"/>
      <c r="X137" s="120"/>
      <c r="Y137" s="70"/>
      <c r="Z137" s="70"/>
      <c r="AA137" s="70"/>
      <c r="AB137" s="70"/>
      <c r="AC137" s="70"/>
      <c r="AD137" s="68"/>
      <c r="AE137" s="68"/>
      <c r="AF137" s="64"/>
      <c r="AG137" s="64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8"/>
      <c r="J138" s="68"/>
      <c r="K138" s="65"/>
      <c r="L138" s="64"/>
      <c r="M138" s="64"/>
      <c r="N138" s="64"/>
      <c r="O138" s="64"/>
      <c r="P138" s="68"/>
      <c r="Q138" s="68"/>
      <c r="R138" s="64"/>
      <c r="S138" s="64"/>
      <c r="T138" s="64"/>
      <c r="U138" s="64"/>
      <c r="V138" s="64"/>
      <c r="W138" s="68"/>
      <c r="X138" s="68"/>
      <c r="Y138" s="64"/>
      <c r="Z138" s="64"/>
      <c r="AA138" s="64"/>
      <c r="AB138" s="64"/>
      <c r="AC138" s="64"/>
      <c r="AD138" s="68"/>
      <c r="AE138" s="68"/>
      <c r="AF138" s="64"/>
      <c r="AG138" s="64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K146" s="65"/>
      <c r="L146" s="64"/>
      <c r="M146" s="64"/>
      <c r="N146" s="64"/>
      <c r="O146" s="64"/>
      <c r="R146" s="64"/>
      <c r="S146" s="64"/>
      <c r="T146" s="64"/>
      <c r="U146" s="64"/>
      <c r="V146" s="64"/>
      <c r="Y146" s="64"/>
      <c r="Z146" s="64"/>
      <c r="AA146" s="64"/>
      <c r="AB146" s="64"/>
      <c r="AC146" s="64"/>
      <c r="AF146" s="64"/>
      <c r="AG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K147" s="65"/>
      <c r="L147" s="64"/>
      <c r="M147" s="64"/>
      <c r="N147" s="64"/>
      <c r="O147" s="64"/>
      <c r="R147" s="64"/>
      <c r="S147" s="64"/>
      <c r="T147" s="64"/>
      <c r="U147" s="64"/>
      <c r="V147" s="64"/>
      <c r="Y147" s="64"/>
      <c r="Z147" s="64"/>
      <c r="AA147" s="64"/>
      <c r="AB147" s="64"/>
      <c r="AC147" s="64"/>
      <c r="AF147" s="64"/>
      <c r="AG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K148" s="65"/>
      <c r="L148" s="64"/>
      <c r="M148" s="64"/>
      <c r="N148" s="64"/>
      <c r="O148" s="64"/>
      <c r="R148" s="64"/>
      <c r="S148" s="64"/>
      <c r="T148" s="64"/>
      <c r="U148" s="64"/>
      <c r="V148" s="64"/>
      <c r="Y148" s="64"/>
      <c r="Z148" s="64"/>
      <c r="AA148" s="64"/>
      <c r="AB148" s="64"/>
      <c r="AC148" s="64"/>
      <c r="AF148" s="64"/>
      <c r="AG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K149" s="65"/>
      <c r="L149" s="64"/>
      <c r="M149" s="64"/>
      <c r="N149" s="64"/>
      <c r="O149" s="64"/>
      <c r="R149" s="64"/>
      <c r="S149" s="64"/>
      <c r="T149" s="64"/>
      <c r="U149" s="64"/>
      <c r="V149" s="64"/>
      <c r="Y149" s="64"/>
      <c r="Z149" s="64"/>
      <c r="AA149" s="64"/>
      <c r="AB149" s="64"/>
      <c r="AC149" s="64"/>
      <c r="AF149" s="64"/>
      <c r="AG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K150" s="65"/>
      <c r="L150" s="64"/>
      <c r="M150" s="64"/>
      <c r="N150" s="64"/>
      <c r="O150" s="64"/>
      <c r="R150" s="64"/>
      <c r="S150" s="64"/>
      <c r="T150" s="64"/>
      <c r="U150" s="64"/>
      <c r="V150" s="64"/>
      <c r="Y150" s="64"/>
      <c r="Z150" s="64"/>
      <c r="AA150" s="64"/>
      <c r="AB150" s="64"/>
      <c r="AC150" s="64"/>
      <c r="AF150" s="64"/>
      <c r="AG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K151" s="65"/>
      <c r="L151" s="64"/>
      <c r="M151" s="64"/>
      <c r="N151" s="64"/>
      <c r="O151" s="64"/>
      <c r="R151" s="64"/>
      <c r="S151" s="64"/>
      <c r="T151" s="64"/>
      <c r="U151" s="64"/>
      <c r="V151" s="64"/>
      <c r="Y151" s="64"/>
      <c r="Z151" s="64"/>
      <c r="AA151" s="64"/>
      <c r="AB151" s="64"/>
      <c r="AC151" s="64"/>
      <c r="AF151" s="64"/>
      <c r="AG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K152" s="65"/>
      <c r="L152" s="64"/>
      <c r="M152" s="64"/>
      <c r="N152" s="64"/>
      <c r="O152" s="64"/>
      <c r="R152" s="64"/>
      <c r="S152" s="64"/>
      <c r="T152" s="64"/>
      <c r="U152" s="64"/>
      <c r="V152" s="64"/>
      <c r="Y152" s="64"/>
      <c r="Z152" s="64"/>
      <c r="AA152" s="64"/>
      <c r="AB152" s="64"/>
      <c r="AC152" s="64"/>
      <c r="AF152" s="64"/>
      <c r="AG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K153" s="65"/>
      <c r="L153" s="64"/>
      <c r="M153" s="64"/>
      <c r="N153" s="64"/>
      <c r="O153" s="64"/>
      <c r="R153" s="64"/>
      <c r="S153" s="64"/>
      <c r="T153" s="64"/>
      <c r="U153" s="64"/>
      <c r="V153" s="64"/>
      <c r="Y153" s="64"/>
      <c r="Z153" s="64"/>
      <c r="AA153" s="64"/>
      <c r="AB153" s="64"/>
      <c r="AC153" s="64"/>
      <c r="AF153" s="64"/>
      <c r="AG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K154" s="65"/>
      <c r="L154" s="64"/>
      <c r="M154" s="64"/>
      <c r="N154" s="64"/>
      <c r="O154" s="64"/>
      <c r="R154" s="64"/>
      <c r="S154" s="64"/>
      <c r="T154" s="64"/>
      <c r="U154" s="64"/>
      <c r="V154" s="64"/>
      <c r="Y154" s="64"/>
      <c r="Z154" s="64"/>
      <c r="AA154" s="64"/>
      <c r="AB154" s="64"/>
      <c r="AC154" s="64"/>
      <c r="AF154" s="64"/>
      <c r="AG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K155" s="65"/>
      <c r="L155" s="64"/>
      <c r="M155" s="64"/>
      <c r="N155" s="64"/>
      <c r="O155" s="64"/>
      <c r="R155" s="64"/>
      <c r="S155" s="64"/>
      <c r="T155" s="64"/>
      <c r="U155" s="64"/>
      <c r="V155" s="64"/>
      <c r="Y155" s="64"/>
      <c r="Z155" s="64"/>
      <c r="AA155" s="64"/>
      <c r="AB155" s="64"/>
      <c r="AC155" s="64"/>
      <c r="AF155" s="64"/>
      <c r="AG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K156" s="65"/>
      <c r="L156" s="64"/>
      <c r="M156" s="64"/>
      <c r="N156" s="64"/>
      <c r="O156" s="64"/>
      <c r="R156" s="64"/>
      <c r="S156" s="64"/>
      <c r="T156" s="64"/>
      <c r="U156" s="64"/>
      <c r="V156" s="64"/>
      <c r="Y156" s="64"/>
      <c r="Z156" s="64"/>
      <c r="AA156" s="64"/>
      <c r="AB156" s="64"/>
      <c r="AC156" s="64"/>
      <c r="AF156" s="64"/>
      <c r="AG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K157" s="65"/>
      <c r="L157" s="64"/>
      <c r="M157" s="64"/>
      <c r="N157" s="64"/>
      <c r="O157" s="64"/>
      <c r="R157" s="64"/>
      <c r="S157" s="64"/>
      <c r="T157" s="64"/>
      <c r="U157" s="64"/>
      <c r="V157" s="64"/>
      <c r="Y157" s="64"/>
      <c r="Z157" s="64"/>
      <c r="AA157" s="64"/>
      <c r="AB157" s="64"/>
      <c r="AC157" s="64"/>
      <c r="AF157" s="64"/>
      <c r="AG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K158" s="65"/>
      <c r="L158" s="64"/>
      <c r="M158" s="64"/>
      <c r="N158" s="64"/>
      <c r="O158" s="64"/>
      <c r="R158" s="64"/>
      <c r="S158" s="64"/>
      <c r="T158" s="64"/>
      <c r="U158" s="64"/>
      <c r="V158" s="64"/>
      <c r="Y158" s="64"/>
      <c r="Z158" s="64"/>
      <c r="AA158" s="64"/>
      <c r="AB158" s="64"/>
      <c r="AC158" s="64"/>
      <c r="AF158" s="64"/>
      <c r="AG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K159" s="65"/>
      <c r="L159" s="64"/>
      <c r="M159" s="64"/>
      <c r="N159" s="64"/>
      <c r="O159" s="64"/>
      <c r="R159" s="64"/>
      <c r="S159" s="64"/>
      <c r="T159" s="64"/>
      <c r="U159" s="64"/>
      <c r="V159" s="64"/>
      <c r="Y159" s="64"/>
      <c r="Z159" s="64"/>
      <c r="AA159" s="64"/>
      <c r="AB159" s="64"/>
      <c r="AC159" s="64"/>
      <c r="AF159" s="64"/>
      <c r="AG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K160" s="65"/>
      <c r="L160" s="64"/>
      <c r="M160" s="64"/>
      <c r="N160" s="64"/>
      <c r="O160" s="64"/>
      <c r="R160" s="64"/>
      <c r="S160" s="64"/>
      <c r="T160" s="64"/>
      <c r="U160" s="64"/>
      <c r="V160" s="64"/>
      <c r="Y160" s="64"/>
      <c r="Z160" s="64"/>
      <c r="AA160" s="64"/>
      <c r="AB160" s="64"/>
      <c r="AC160" s="64"/>
      <c r="AF160" s="64"/>
      <c r="AG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K161" s="65"/>
      <c r="L161" s="64"/>
      <c r="M161" s="64"/>
      <c r="N161" s="64"/>
      <c r="O161" s="64"/>
      <c r="R161" s="64"/>
      <c r="S161" s="64"/>
      <c r="T161" s="64"/>
      <c r="U161" s="64"/>
      <c r="V161" s="64"/>
      <c r="Y161" s="64"/>
      <c r="Z161" s="64"/>
      <c r="AA161" s="64"/>
      <c r="AB161" s="64"/>
      <c r="AC161" s="64"/>
      <c r="AF161" s="64"/>
      <c r="AG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K162" s="65"/>
      <c r="L162" s="64"/>
      <c r="M162" s="64"/>
      <c r="N162" s="64"/>
      <c r="O162" s="64"/>
      <c r="R162" s="64"/>
      <c r="S162" s="64"/>
      <c r="T162" s="64"/>
      <c r="U162" s="64"/>
      <c r="V162" s="64"/>
      <c r="Y162" s="64"/>
      <c r="Z162" s="64"/>
      <c r="AA162" s="64"/>
      <c r="AB162" s="64"/>
      <c r="AC162" s="64"/>
      <c r="AF162" s="64"/>
      <c r="AG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K163" s="65"/>
      <c r="L163" s="64"/>
      <c r="M163" s="64"/>
      <c r="N163" s="64"/>
      <c r="O163" s="64"/>
      <c r="R163" s="64"/>
      <c r="S163" s="64"/>
      <c r="T163" s="64"/>
      <c r="U163" s="64"/>
      <c r="V163" s="64"/>
      <c r="Y163" s="64"/>
      <c r="Z163" s="64"/>
      <c r="AA163" s="64"/>
      <c r="AB163" s="64"/>
      <c r="AC163" s="64"/>
      <c r="AF163" s="64"/>
      <c r="AG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K164" s="65"/>
      <c r="L164" s="64"/>
      <c r="M164" s="64"/>
      <c r="N164" s="64"/>
      <c r="O164" s="64"/>
      <c r="R164" s="64"/>
      <c r="S164" s="64"/>
      <c r="T164" s="64"/>
      <c r="U164" s="64"/>
      <c r="V164" s="64"/>
      <c r="Y164" s="64"/>
      <c r="Z164" s="64"/>
      <c r="AA164" s="64"/>
      <c r="AB164" s="64"/>
      <c r="AC164" s="64"/>
      <c r="AF164" s="64"/>
      <c r="AG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K165" s="65"/>
      <c r="L165" s="64"/>
      <c r="M165" s="64"/>
      <c r="N165" s="64"/>
      <c r="O165" s="64"/>
      <c r="R165" s="64"/>
      <c r="S165" s="64"/>
      <c r="T165" s="64"/>
      <c r="U165" s="64"/>
      <c r="V165" s="64"/>
      <c r="Y165" s="64"/>
      <c r="Z165" s="64"/>
      <c r="AA165" s="64"/>
      <c r="AB165" s="64"/>
      <c r="AC165" s="64"/>
      <c r="AF165" s="64"/>
      <c r="AG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K166" s="65"/>
      <c r="L166" s="64"/>
      <c r="M166" s="64"/>
      <c r="N166" s="64"/>
      <c r="O166" s="64"/>
      <c r="R166" s="64"/>
      <c r="S166" s="64"/>
      <c r="T166" s="64"/>
      <c r="U166" s="64"/>
      <c r="V166" s="64"/>
      <c r="Y166" s="64"/>
      <c r="Z166" s="64"/>
      <c r="AA166" s="64"/>
      <c r="AB166" s="64"/>
      <c r="AC166" s="64"/>
      <c r="AF166" s="64"/>
      <c r="AG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K167" s="65"/>
      <c r="L167" s="64"/>
      <c r="M167" s="64"/>
      <c r="N167" s="64"/>
      <c r="O167" s="64"/>
      <c r="R167" s="64"/>
      <c r="S167" s="64"/>
      <c r="T167" s="64"/>
      <c r="U167" s="64"/>
      <c r="V167" s="64"/>
      <c r="Y167" s="64"/>
      <c r="Z167" s="64"/>
      <c r="AA167" s="64"/>
      <c r="AB167" s="64"/>
      <c r="AC167" s="64"/>
      <c r="AF167" s="64"/>
      <c r="AG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K168" s="65"/>
      <c r="L168" s="64"/>
      <c r="M168" s="64"/>
      <c r="N168" s="64"/>
      <c r="O168" s="64"/>
      <c r="R168" s="64"/>
      <c r="S168" s="64"/>
      <c r="T168" s="64"/>
      <c r="U168" s="64"/>
      <c r="V168" s="64"/>
      <c r="Y168" s="64"/>
      <c r="Z168" s="64"/>
      <c r="AA168" s="64"/>
      <c r="AB168" s="64"/>
      <c r="AC168" s="64"/>
      <c r="AF168" s="64"/>
      <c r="AG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K169" s="65"/>
      <c r="L169" s="64"/>
      <c r="M169" s="64"/>
      <c r="N169" s="64"/>
      <c r="O169" s="64"/>
      <c r="R169" s="64"/>
      <c r="S169" s="64"/>
      <c r="T169" s="64"/>
      <c r="U169" s="64"/>
      <c r="V169" s="64"/>
      <c r="Y169" s="64"/>
      <c r="Z169" s="64"/>
      <c r="AA169" s="64"/>
      <c r="AB169" s="64"/>
      <c r="AC169" s="64"/>
      <c r="AF169" s="64"/>
      <c r="AG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K170" s="65"/>
      <c r="L170" s="64"/>
      <c r="M170" s="64"/>
      <c r="N170" s="64"/>
      <c r="O170" s="64"/>
      <c r="R170" s="64"/>
      <c r="S170" s="64"/>
      <c r="T170" s="64"/>
      <c r="U170" s="64"/>
      <c r="V170" s="64"/>
      <c r="Y170" s="64"/>
      <c r="Z170" s="64"/>
      <c r="AA170" s="64"/>
      <c r="AB170" s="64"/>
      <c r="AC170" s="64"/>
      <c r="AF170" s="64"/>
      <c r="AG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K171" s="65"/>
      <c r="L171" s="64"/>
      <c r="M171" s="64"/>
      <c r="N171" s="64"/>
      <c r="O171" s="64"/>
      <c r="R171" s="64"/>
      <c r="S171" s="64"/>
      <c r="T171" s="64"/>
      <c r="U171" s="64"/>
      <c r="V171" s="64"/>
      <c r="Y171" s="64"/>
      <c r="Z171" s="64"/>
      <c r="AA171" s="64"/>
      <c r="AB171" s="64"/>
      <c r="AC171" s="64"/>
      <c r="AF171" s="64"/>
      <c r="AG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K172" s="65"/>
      <c r="L172" s="64"/>
      <c r="M172" s="64"/>
      <c r="N172" s="64"/>
      <c r="O172" s="64"/>
      <c r="R172" s="64"/>
      <c r="S172" s="64"/>
      <c r="T172" s="64"/>
      <c r="U172" s="64"/>
      <c r="V172" s="64"/>
      <c r="Y172" s="64"/>
      <c r="Z172" s="64"/>
      <c r="AA172" s="64"/>
      <c r="AB172" s="64"/>
      <c r="AC172" s="64"/>
      <c r="AF172" s="64"/>
      <c r="AG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K173" s="65"/>
      <c r="L173" s="64"/>
      <c r="M173" s="64"/>
      <c r="N173" s="64"/>
      <c r="O173" s="64"/>
      <c r="R173" s="64"/>
      <c r="S173" s="64"/>
      <c r="T173" s="64"/>
      <c r="U173" s="64"/>
      <c r="V173" s="64"/>
      <c r="Y173" s="64"/>
      <c r="Z173" s="64"/>
      <c r="AA173" s="64"/>
      <c r="AB173" s="64"/>
      <c r="AC173" s="64"/>
      <c r="AF173" s="64"/>
      <c r="AG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K174" s="65"/>
      <c r="L174" s="64"/>
      <c r="M174" s="64"/>
      <c r="N174" s="64"/>
      <c r="O174" s="64"/>
      <c r="R174" s="64"/>
      <c r="S174" s="64"/>
      <c r="T174" s="64"/>
      <c r="U174" s="64"/>
      <c r="V174" s="64"/>
      <c r="Y174" s="64"/>
      <c r="Z174" s="64"/>
      <c r="AA174" s="64"/>
      <c r="AB174" s="64"/>
      <c r="AC174" s="64"/>
      <c r="AF174" s="64"/>
      <c r="AG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K175" s="65"/>
      <c r="L175" s="64"/>
      <c r="M175" s="64"/>
      <c r="N175" s="64"/>
      <c r="O175" s="64"/>
      <c r="R175" s="64"/>
      <c r="S175" s="64"/>
      <c r="T175" s="64"/>
      <c r="U175" s="64"/>
      <c r="V175" s="64"/>
      <c r="Y175" s="64"/>
      <c r="Z175" s="64"/>
      <c r="AA175" s="64"/>
      <c r="AB175" s="64"/>
      <c r="AC175" s="64"/>
      <c r="AF175" s="64"/>
      <c r="AG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K176" s="65"/>
      <c r="L176" s="64"/>
      <c r="M176" s="64"/>
      <c r="N176" s="64"/>
      <c r="O176" s="64"/>
      <c r="R176" s="64"/>
      <c r="S176" s="64"/>
      <c r="T176" s="64"/>
      <c r="U176" s="64"/>
      <c r="V176" s="64"/>
      <c r="Y176" s="64"/>
      <c r="Z176" s="64"/>
      <c r="AA176" s="64"/>
      <c r="AB176" s="64"/>
      <c r="AC176" s="64"/>
      <c r="AF176" s="64"/>
      <c r="AG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K177" s="65"/>
      <c r="L177" s="64"/>
      <c r="M177" s="64"/>
      <c r="N177" s="64"/>
      <c r="O177" s="64"/>
      <c r="R177" s="64"/>
      <c r="S177" s="64"/>
      <c r="T177" s="64"/>
      <c r="U177" s="64"/>
      <c r="V177" s="64"/>
      <c r="Y177" s="64"/>
      <c r="Z177" s="64"/>
      <c r="AA177" s="64"/>
      <c r="AB177" s="64"/>
      <c r="AC177" s="64"/>
      <c r="AF177" s="64"/>
      <c r="AG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K178" s="65"/>
      <c r="L178" s="64"/>
      <c r="M178" s="64"/>
      <c r="N178" s="64"/>
      <c r="O178" s="64"/>
      <c r="R178" s="64"/>
      <c r="S178" s="64"/>
      <c r="T178" s="64"/>
      <c r="U178" s="64"/>
      <c r="V178" s="64"/>
      <c r="Y178" s="64"/>
      <c r="Z178" s="64"/>
      <c r="AA178" s="64"/>
      <c r="AB178" s="64"/>
      <c r="AC178" s="64"/>
      <c r="AF178" s="64"/>
      <c r="AG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K179" s="65"/>
      <c r="L179" s="64"/>
      <c r="M179" s="64"/>
      <c r="N179" s="64"/>
      <c r="O179" s="64"/>
      <c r="R179" s="64"/>
      <c r="S179" s="64"/>
      <c r="T179" s="64"/>
      <c r="U179" s="64"/>
      <c r="V179" s="64"/>
      <c r="Y179" s="64"/>
      <c r="Z179" s="64"/>
      <c r="AA179" s="64"/>
      <c r="AB179" s="64"/>
      <c r="AC179" s="64"/>
      <c r="AF179" s="64"/>
      <c r="AG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K180" s="65"/>
      <c r="L180" s="64"/>
      <c r="M180" s="64"/>
      <c r="N180" s="64"/>
      <c r="O180" s="64"/>
      <c r="R180" s="64"/>
      <c r="S180" s="64"/>
      <c r="T180" s="64"/>
      <c r="U180" s="64"/>
      <c r="V180" s="64"/>
      <c r="Y180" s="64"/>
      <c r="Z180" s="64"/>
      <c r="AA180" s="64"/>
      <c r="AB180" s="64"/>
      <c r="AC180" s="64"/>
      <c r="AF180" s="64"/>
      <c r="AG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K181" s="65"/>
      <c r="L181" s="64"/>
      <c r="M181" s="64"/>
      <c r="N181" s="64"/>
      <c r="O181" s="64"/>
      <c r="R181" s="64"/>
      <c r="S181" s="64"/>
      <c r="T181" s="64"/>
      <c r="U181" s="64"/>
      <c r="V181" s="64"/>
      <c r="Y181" s="64"/>
      <c r="Z181" s="64"/>
      <c r="AA181" s="64"/>
      <c r="AB181" s="64"/>
      <c r="AC181" s="64"/>
      <c r="AF181" s="64"/>
      <c r="AG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K182" s="65"/>
      <c r="L182" s="64"/>
      <c r="M182" s="64"/>
      <c r="N182" s="64"/>
      <c r="O182" s="64"/>
      <c r="R182" s="64"/>
      <c r="S182" s="64"/>
      <c r="T182" s="64"/>
      <c r="U182" s="64"/>
      <c r="V182" s="64"/>
      <c r="Y182" s="64"/>
      <c r="Z182" s="64"/>
      <c r="AA182" s="64"/>
      <c r="AB182" s="64"/>
      <c r="AC182" s="64"/>
      <c r="AF182" s="64"/>
      <c r="AG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K183" s="65"/>
      <c r="L183" s="64"/>
      <c r="M183" s="64"/>
      <c r="N183" s="64"/>
      <c r="O183" s="64"/>
      <c r="R183" s="64"/>
      <c r="S183" s="64"/>
      <c r="T183" s="64"/>
      <c r="U183" s="64"/>
      <c r="V183" s="64"/>
      <c r="Y183" s="64"/>
      <c r="Z183" s="64"/>
      <c r="AA183" s="64"/>
      <c r="AB183" s="64"/>
      <c r="AC183" s="64"/>
      <c r="AF183" s="64"/>
      <c r="AG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K184" s="65"/>
      <c r="L184" s="64"/>
      <c r="M184" s="64"/>
      <c r="N184" s="64"/>
      <c r="O184" s="64"/>
      <c r="R184" s="64"/>
      <c r="S184" s="64"/>
      <c r="T184" s="64"/>
      <c r="U184" s="64"/>
      <c r="V184" s="64"/>
      <c r="Y184" s="64"/>
      <c r="Z184" s="64"/>
      <c r="AA184" s="64"/>
      <c r="AB184" s="64"/>
      <c r="AC184" s="64"/>
      <c r="AF184" s="64"/>
      <c r="AG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K185" s="65"/>
      <c r="L185" s="64"/>
      <c r="M185" s="64"/>
      <c r="N185" s="64"/>
      <c r="O185" s="64"/>
      <c r="R185" s="64"/>
      <c r="S185" s="64"/>
      <c r="T185" s="64"/>
      <c r="U185" s="64"/>
      <c r="V185" s="64"/>
      <c r="Y185" s="64"/>
      <c r="Z185" s="64"/>
      <c r="AA185" s="64"/>
      <c r="AB185" s="64"/>
      <c r="AC185" s="64"/>
      <c r="AF185" s="64"/>
      <c r="AG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K186" s="65"/>
      <c r="L186" s="64"/>
      <c r="M186" s="64"/>
      <c r="N186" s="64"/>
      <c r="O186" s="64"/>
      <c r="R186" s="64"/>
      <c r="S186" s="64"/>
      <c r="T186" s="64"/>
      <c r="U186" s="64"/>
      <c r="V186" s="64"/>
      <c r="Y186" s="64"/>
      <c r="Z186" s="64"/>
      <c r="AA186" s="64"/>
      <c r="AB186" s="64"/>
      <c r="AC186" s="64"/>
      <c r="AF186" s="64"/>
      <c r="AG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K187" s="65"/>
      <c r="L187" s="64"/>
      <c r="M187" s="64"/>
      <c r="N187" s="64"/>
      <c r="O187" s="64"/>
      <c r="R187" s="64"/>
      <c r="S187" s="64"/>
      <c r="T187" s="64"/>
      <c r="U187" s="64"/>
      <c r="V187" s="64"/>
      <c r="Y187" s="64"/>
      <c r="Z187" s="64"/>
      <c r="AA187" s="64"/>
      <c r="AB187" s="64"/>
      <c r="AC187" s="64"/>
      <c r="AF187" s="64"/>
      <c r="AG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K188" s="65"/>
      <c r="L188" s="64"/>
      <c r="M188" s="64"/>
      <c r="N188" s="64"/>
      <c r="O188" s="64"/>
      <c r="R188" s="64"/>
      <c r="S188" s="64"/>
      <c r="T188" s="64"/>
      <c r="U188" s="64"/>
      <c r="V188" s="64"/>
      <c r="Y188" s="64"/>
      <c r="Z188" s="64"/>
      <c r="AA188" s="64"/>
      <c r="AB188" s="64"/>
      <c r="AC188" s="64"/>
      <c r="AF188" s="64"/>
      <c r="AG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K189" s="65"/>
      <c r="L189" s="64"/>
      <c r="M189" s="64"/>
      <c r="N189" s="64"/>
      <c r="O189" s="64"/>
      <c r="R189" s="64"/>
      <c r="S189" s="64"/>
      <c r="T189" s="64"/>
      <c r="U189" s="64"/>
      <c r="V189" s="64"/>
      <c r="Y189" s="64"/>
      <c r="Z189" s="64"/>
      <c r="AA189" s="64"/>
      <c r="AB189" s="64"/>
      <c r="AC189" s="64"/>
      <c r="AF189" s="64"/>
      <c r="AG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K190" s="65"/>
      <c r="L190" s="64"/>
      <c r="M190" s="64"/>
      <c r="N190" s="64"/>
      <c r="O190" s="64"/>
      <c r="R190" s="64"/>
      <c r="S190" s="64"/>
      <c r="T190" s="64"/>
      <c r="U190" s="64"/>
      <c r="V190" s="64"/>
      <c r="Y190" s="64"/>
      <c r="Z190" s="64"/>
      <c r="AA190" s="64"/>
      <c r="AB190" s="64"/>
      <c r="AC190" s="64"/>
      <c r="AF190" s="64"/>
      <c r="AG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K191" s="65"/>
      <c r="L191" s="64"/>
      <c r="M191" s="64"/>
      <c r="N191" s="64"/>
      <c r="O191" s="64"/>
      <c r="R191" s="64"/>
      <c r="S191" s="64"/>
      <c r="T191" s="64"/>
      <c r="U191" s="64"/>
      <c r="V191" s="64"/>
      <c r="Y191" s="64"/>
      <c r="Z191" s="64"/>
      <c r="AA191" s="64"/>
      <c r="AB191" s="64"/>
      <c r="AC191" s="64"/>
      <c r="AF191" s="64"/>
      <c r="AG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K192" s="65"/>
      <c r="L192" s="64"/>
      <c r="M192" s="64"/>
      <c r="N192" s="64"/>
      <c r="O192" s="64"/>
      <c r="R192" s="64"/>
      <c r="S192" s="64"/>
      <c r="T192" s="64"/>
      <c r="U192" s="64"/>
      <c r="V192" s="64"/>
      <c r="Y192" s="64"/>
      <c r="Z192" s="64"/>
      <c r="AA192" s="64"/>
      <c r="AB192" s="64"/>
      <c r="AC192" s="64"/>
      <c r="AF192" s="64"/>
      <c r="AG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K193" s="65"/>
      <c r="L193" s="64"/>
      <c r="M193" s="64"/>
      <c r="N193" s="64"/>
      <c r="O193" s="64"/>
      <c r="R193" s="64"/>
      <c r="S193" s="64"/>
      <c r="T193" s="64"/>
      <c r="U193" s="64"/>
      <c r="V193" s="64"/>
      <c r="Y193" s="64"/>
      <c r="Z193" s="64"/>
      <c r="AA193" s="64"/>
      <c r="AB193" s="64"/>
      <c r="AC193" s="64"/>
      <c r="AF193" s="64"/>
      <c r="AG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K194" s="65"/>
      <c r="L194" s="64"/>
      <c r="M194" s="64"/>
      <c r="N194" s="64"/>
      <c r="O194" s="64"/>
      <c r="R194" s="64"/>
      <c r="S194" s="64"/>
      <c r="T194" s="64"/>
      <c r="U194" s="64"/>
      <c r="V194" s="64"/>
      <c r="Y194" s="64"/>
      <c r="Z194" s="64"/>
      <c r="AA194" s="64"/>
      <c r="AB194" s="64"/>
      <c r="AC194" s="64"/>
      <c r="AF194" s="64"/>
      <c r="AG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K195" s="65"/>
      <c r="L195" s="64"/>
      <c r="M195" s="64"/>
      <c r="N195" s="64"/>
      <c r="O195" s="64"/>
      <c r="R195" s="64"/>
      <c r="S195" s="64"/>
      <c r="T195" s="64"/>
      <c r="U195" s="64"/>
      <c r="V195" s="64"/>
      <c r="Y195" s="64"/>
      <c r="Z195" s="64"/>
      <c r="AA195" s="64"/>
      <c r="AB195" s="64"/>
      <c r="AC195" s="64"/>
      <c r="AF195" s="64"/>
      <c r="AG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K196" s="65"/>
      <c r="L196" s="64"/>
      <c r="M196" s="64"/>
      <c r="N196" s="64"/>
      <c r="O196" s="64"/>
      <c r="R196" s="64"/>
      <c r="S196" s="64"/>
      <c r="T196" s="64"/>
      <c r="U196" s="64"/>
      <c r="V196" s="64"/>
      <c r="Y196" s="64"/>
      <c r="Z196" s="64"/>
      <c r="AA196" s="64"/>
      <c r="AB196" s="64"/>
      <c r="AC196" s="64"/>
      <c r="AF196" s="64"/>
      <c r="AG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K197" s="65"/>
      <c r="L197" s="64"/>
      <c r="M197" s="64"/>
      <c r="N197" s="64"/>
      <c r="O197" s="64"/>
      <c r="R197" s="64"/>
      <c r="S197" s="64"/>
      <c r="T197" s="64"/>
      <c r="U197" s="64"/>
      <c r="V197" s="64"/>
      <c r="Y197" s="64"/>
      <c r="Z197" s="64"/>
      <c r="AA197" s="64"/>
      <c r="AB197" s="64"/>
      <c r="AC197" s="64"/>
      <c r="AF197" s="64"/>
      <c r="AG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K198" s="65"/>
      <c r="L198" s="64"/>
      <c r="M198" s="64"/>
      <c r="N198" s="64"/>
      <c r="O198" s="64"/>
      <c r="R198" s="64"/>
      <c r="S198" s="64"/>
      <c r="T198" s="64"/>
      <c r="U198" s="64"/>
      <c r="V198" s="64"/>
      <c r="Y198" s="64"/>
      <c r="Z198" s="64"/>
      <c r="AA198" s="64"/>
      <c r="AB198" s="64"/>
      <c r="AC198" s="64"/>
      <c r="AF198" s="64"/>
      <c r="AG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K199" s="65"/>
      <c r="L199" s="64"/>
      <c r="M199" s="64"/>
      <c r="N199" s="64"/>
      <c r="O199" s="64"/>
      <c r="R199" s="64"/>
      <c r="S199" s="64"/>
      <c r="T199" s="64"/>
      <c r="U199" s="64"/>
      <c r="V199" s="64"/>
      <c r="Y199" s="64"/>
      <c r="Z199" s="64"/>
      <c r="AA199" s="64"/>
      <c r="AB199" s="64"/>
      <c r="AC199" s="64"/>
      <c r="AF199" s="64"/>
      <c r="AG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K200" s="65"/>
      <c r="L200" s="64"/>
      <c r="M200" s="64"/>
      <c r="N200" s="64"/>
      <c r="O200" s="64"/>
      <c r="R200" s="64"/>
      <c r="S200" s="64"/>
      <c r="T200" s="64"/>
      <c r="U200" s="64"/>
      <c r="V200" s="64"/>
      <c r="Y200" s="64"/>
      <c r="Z200" s="64"/>
      <c r="AA200" s="64"/>
      <c r="AB200" s="64"/>
      <c r="AC200" s="64"/>
      <c r="AF200" s="64"/>
      <c r="AG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K201" s="65"/>
      <c r="L201" s="64"/>
      <c r="M201" s="64"/>
      <c r="N201" s="64"/>
      <c r="O201" s="64"/>
      <c r="R201" s="64"/>
      <c r="S201" s="64"/>
      <c r="T201" s="64"/>
      <c r="U201" s="64"/>
      <c r="V201" s="64"/>
      <c r="Y201" s="64"/>
      <c r="Z201" s="64"/>
      <c r="AA201" s="64"/>
      <c r="AB201" s="64"/>
      <c r="AC201" s="64"/>
      <c r="AF201" s="64"/>
      <c r="AG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K202" s="65"/>
      <c r="L202" s="64"/>
      <c r="M202" s="64"/>
      <c r="N202" s="64"/>
      <c r="O202" s="64"/>
      <c r="R202" s="64"/>
      <c r="S202" s="64"/>
      <c r="T202" s="64"/>
      <c r="U202" s="64"/>
      <c r="V202" s="64"/>
      <c r="Y202" s="64"/>
      <c r="Z202" s="64"/>
      <c r="AA202" s="64"/>
      <c r="AB202" s="64"/>
      <c r="AC202" s="64"/>
      <c r="AF202" s="64"/>
      <c r="AG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K203" s="65"/>
      <c r="L203" s="64"/>
      <c r="M203" s="64"/>
      <c r="N203" s="64"/>
      <c r="O203" s="64"/>
      <c r="R203" s="64"/>
      <c r="S203" s="64"/>
      <c r="T203" s="64"/>
      <c r="U203" s="64"/>
      <c r="V203" s="64"/>
      <c r="Y203" s="64"/>
      <c r="Z203" s="64"/>
      <c r="AA203" s="64"/>
      <c r="AB203" s="64"/>
      <c r="AC203" s="64"/>
      <c r="AF203" s="64"/>
      <c r="AG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K204" s="65"/>
      <c r="L204" s="64"/>
      <c r="M204" s="64"/>
      <c r="N204" s="64"/>
      <c r="O204" s="64"/>
      <c r="R204" s="64"/>
      <c r="S204" s="64"/>
      <c r="T204" s="64"/>
      <c r="U204" s="64"/>
      <c r="V204" s="64"/>
      <c r="Y204" s="64"/>
      <c r="Z204" s="64"/>
      <c r="AA204" s="64"/>
      <c r="AB204" s="64"/>
      <c r="AC204" s="64"/>
      <c r="AF204" s="64"/>
      <c r="AG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K205" s="65"/>
      <c r="L205" s="64"/>
      <c r="M205" s="64"/>
      <c r="N205" s="64"/>
      <c r="O205" s="64"/>
      <c r="R205" s="64"/>
      <c r="S205" s="64"/>
      <c r="T205" s="64"/>
      <c r="U205" s="64"/>
      <c r="V205" s="64"/>
      <c r="Y205" s="64"/>
      <c r="Z205" s="64"/>
      <c r="AA205" s="64"/>
      <c r="AB205" s="64"/>
      <c r="AC205" s="64"/>
      <c r="AF205" s="64"/>
      <c r="AG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K206" s="65"/>
      <c r="L206" s="64"/>
      <c r="M206" s="64"/>
      <c r="N206" s="64"/>
      <c r="O206" s="64"/>
      <c r="R206" s="64"/>
      <c r="S206" s="64"/>
      <c r="T206" s="64"/>
      <c r="U206" s="64"/>
      <c r="V206" s="64"/>
      <c r="Y206" s="64"/>
      <c r="Z206" s="64"/>
      <c r="AA206" s="64"/>
      <c r="AB206" s="64"/>
      <c r="AC206" s="64"/>
      <c r="AF206" s="64"/>
      <c r="AG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K207" s="65"/>
      <c r="L207" s="64"/>
      <c r="M207" s="64"/>
      <c r="N207" s="64"/>
      <c r="O207" s="64"/>
      <c r="R207" s="64"/>
      <c r="S207" s="64"/>
      <c r="T207" s="64"/>
      <c r="U207" s="64"/>
      <c r="V207" s="64"/>
      <c r="Y207" s="64"/>
      <c r="Z207" s="64"/>
      <c r="AA207" s="64"/>
      <c r="AB207" s="64"/>
      <c r="AC207" s="64"/>
      <c r="AF207" s="64"/>
      <c r="AG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K208" s="65"/>
      <c r="L208" s="64"/>
      <c r="M208" s="64"/>
      <c r="N208" s="64"/>
      <c r="O208" s="64"/>
      <c r="R208" s="64"/>
      <c r="S208" s="64"/>
      <c r="T208" s="64"/>
      <c r="U208" s="64"/>
      <c r="V208" s="64"/>
      <c r="Y208" s="64"/>
      <c r="Z208" s="64"/>
      <c r="AA208" s="64"/>
      <c r="AB208" s="64"/>
      <c r="AC208" s="64"/>
      <c r="AF208" s="64"/>
      <c r="AG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K209" s="65"/>
      <c r="L209" s="64"/>
      <c r="M209" s="64"/>
      <c r="N209" s="64"/>
      <c r="O209" s="64"/>
      <c r="R209" s="64"/>
      <c r="S209" s="64"/>
      <c r="T209" s="64"/>
      <c r="U209" s="64"/>
      <c r="V209" s="64"/>
      <c r="Y209" s="64"/>
      <c r="Z209" s="64"/>
      <c r="AA209" s="64"/>
      <c r="AB209" s="64"/>
      <c r="AC209" s="64"/>
      <c r="AF209" s="64"/>
      <c r="AG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K210" s="65"/>
      <c r="L210" s="64"/>
      <c r="M210" s="64"/>
      <c r="N210" s="64"/>
      <c r="O210" s="64"/>
      <c r="R210" s="64"/>
      <c r="S210" s="64"/>
      <c r="T210" s="64"/>
      <c r="U210" s="64"/>
      <c r="V210" s="64"/>
      <c r="Y210" s="64"/>
      <c r="Z210" s="64"/>
      <c r="AA210" s="64"/>
      <c r="AB210" s="64"/>
      <c r="AC210" s="64"/>
      <c r="AF210" s="64"/>
      <c r="AG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K211" s="65"/>
      <c r="L211" s="64"/>
      <c r="M211" s="64"/>
      <c r="N211" s="64"/>
      <c r="O211" s="64"/>
      <c r="R211" s="64"/>
      <c r="S211" s="64"/>
      <c r="T211" s="64"/>
      <c r="U211" s="64"/>
      <c r="V211" s="64"/>
      <c r="Y211" s="64"/>
      <c r="Z211" s="64"/>
      <c r="AA211" s="64"/>
      <c r="AB211" s="64"/>
      <c r="AC211" s="64"/>
      <c r="AF211" s="64"/>
      <c r="AG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K212" s="65"/>
      <c r="L212" s="64"/>
      <c r="M212" s="64"/>
      <c r="N212" s="64"/>
      <c r="O212" s="64"/>
      <c r="R212" s="64"/>
      <c r="S212" s="64"/>
      <c r="T212" s="64"/>
      <c r="U212" s="64"/>
      <c r="V212" s="64"/>
      <c r="Y212" s="64"/>
      <c r="Z212" s="64"/>
      <c r="AA212" s="64"/>
      <c r="AB212" s="64"/>
      <c r="AC212" s="64"/>
      <c r="AF212" s="64"/>
      <c r="AG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K213" s="65"/>
      <c r="L213" s="64"/>
      <c r="M213" s="64"/>
      <c r="N213" s="64"/>
      <c r="O213" s="64"/>
      <c r="R213" s="64"/>
      <c r="S213" s="64"/>
      <c r="T213" s="64"/>
      <c r="U213" s="64"/>
      <c r="V213" s="64"/>
      <c r="Y213" s="64"/>
      <c r="Z213" s="64"/>
      <c r="AA213" s="64"/>
      <c r="AB213" s="64"/>
      <c r="AC213" s="64"/>
      <c r="AF213" s="64"/>
      <c r="AG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K214" s="65"/>
      <c r="L214" s="64"/>
      <c r="M214" s="64"/>
      <c r="N214" s="64"/>
      <c r="O214" s="64"/>
      <c r="R214" s="64"/>
      <c r="S214" s="64"/>
      <c r="T214" s="64"/>
      <c r="U214" s="64"/>
      <c r="V214" s="64"/>
      <c r="Y214" s="64"/>
      <c r="Z214" s="64"/>
      <c r="AA214" s="64"/>
      <c r="AB214" s="64"/>
      <c r="AC214" s="64"/>
      <c r="AF214" s="64"/>
      <c r="AG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K215" s="65"/>
      <c r="L215" s="64"/>
      <c r="M215" s="64"/>
      <c r="N215" s="64"/>
      <c r="O215" s="64"/>
      <c r="R215" s="64"/>
      <c r="S215" s="64"/>
      <c r="T215" s="64"/>
      <c r="U215" s="64"/>
      <c r="V215" s="64"/>
      <c r="Y215" s="64"/>
      <c r="Z215" s="64"/>
      <c r="AA215" s="64"/>
      <c r="AB215" s="64"/>
      <c r="AC215" s="64"/>
      <c r="AF215" s="64"/>
      <c r="AG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K216" s="65"/>
      <c r="L216" s="64"/>
      <c r="M216" s="64"/>
      <c r="N216" s="64"/>
      <c r="O216" s="64"/>
      <c r="R216" s="64"/>
      <c r="S216" s="64"/>
      <c r="T216" s="64"/>
      <c r="U216" s="64"/>
      <c r="V216" s="64"/>
      <c r="Y216" s="64"/>
      <c r="Z216" s="64"/>
      <c r="AA216" s="64"/>
      <c r="AB216" s="64"/>
      <c r="AC216" s="64"/>
      <c r="AF216" s="64"/>
      <c r="AG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K217" s="65"/>
      <c r="L217" s="64"/>
      <c r="M217" s="64"/>
      <c r="N217" s="64"/>
      <c r="O217" s="64"/>
      <c r="R217" s="64"/>
      <c r="S217" s="64"/>
      <c r="T217" s="64"/>
      <c r="U217" s="64"/>
      <c r="V217" s="64"/>
      <c r="Y217" s="64"/>
      <c r="Z217" s="64"/>
      <c r="AA217" s="64"/>
      <c r="AB217" s="64"/>
      <c r="AC217" s="64"/>
      <c r="AF217" s="64"/>
      <c r="AG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K218" s="65"/>
      <c r="L218" s="64"/>
      <c r="M218" s="64"/>
      <c r="N218" s="64"/>
      <c r="O218" s="64"/>
      <c r="R218" s="64"/>
      <c r="S218" s="64"/>
      <c r="T218" s="64"/>
      <c r="U218" s="64"/>
      <c r="V218" s="64"/>
      <c r="Y218" s="64"/>
      <c r="Z218" s="64"/>
      <c r="AA218" s="64"/>
      <c r="AB218" s="64"/>
      <c r="AC218" s="64"/>
      <c r="AF218" s="64"/>
      <c r="AG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K219" s="65"/>
      <c r="L219" s="64"/>
      <c r="M219" s="64"/>
      <c r="N219" s="64"/>
      <c r="O219" s="64"/>
      <c r="R219" s="64"/>
      <c r="S219" s="64"/>
      <c r="T219" s="64"/>
      <c r="U219" s="64"/>
      <c r="V219" s="64"/>
      <c r="Y219" s="64"/>
      <c r="Z219" s="64"/>
      <c r="AA219" s="64"/>
      <c r="AB219" s="64"/>
      <c r="AC219" s="64"/>
      <c r="AF219" s="64"/>
      <c r="AG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K220" s="65"/>
      <c r="L220" s="64"/>
      <c r="M220" s="64"/>
      <c r="N220" s="64"/>
      <c r="O220" s="64"/>
      <c r="R220" s="64"/>
      <c r="S220" s="64"/>
      <c r="T220" s="64"/>
      <c r="U220" s="64"/>
      <c r="V220" s="64"/>
      <c r="Y220" s="64"/>
      <c r="Z220" s="64"/>
      <c r="AA220" s="64"/>
      <c r="AB220" s="64"/>
      <c r="AC220" s="64"/>
      <c r="AF220" s="64"/>
      <c r="AG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K221" s="65"/>
      <c r="L221" s="64"/>
      <c r="M221" s="64"/>
      <c r="N221" s="64"/>
      <c r="O221" s="64"/>
      <c r="R221" s="64"/>
      <c r="S221" s="64"/>
      <c r="T221" s="64"/>
      <c r="U221" s="64"/>
      <c r="V221" s="64"/>
      <c r="Y221" s="64"/>
      <c r="Z221" s="64"/>
      <c r="AA221" s="64"/>
      <c r="AB221" s="64"/>
      <c r="AC221" s="64"/>
      <c r="AF221" s="64"/>
      <c r="AG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K222" s="65"/>
      <c r="L222" s="64"/>
      <c r="M222" s="64"/>
      <c r="N222" s="64"/>
      <c r="O222" s="64"/>
      <c r="R222" s="64"/>
      <c r="S222" s="64"/>
      <c r="T222" s="64"/>
      <c r="U222" s="64"/>
      <c r="V222" s="64"/>
      <c r="Y222" s="64"/>
      <c r="Z222" s="64"/>
      <c r="AA222" s="64"/>
      <c r="AB222" s="64"/>
      <c r="AC222" s="64"/>
      <c r="AF222" s="64"/>
      <c r="AG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K223" s="65"/>
      <c r="L223" s="64"/>
      <c r="M223" s="64"/>
      <c r="N223" s="64"/>
      <c r="O223" s="64"/>
      <c r="R223" s="64"/>
      <c r="S223" s="64"/>
      <c r="T223" s="64"/>
      <c r="U223" s="64"/>
      <c r="V223" s="64"/>
      <c r="Y223" s="64"/>
      <c r="Z223" s="64"/>
      <c r="AA223" s="64"/>
      <c r="AB223" s="64"/>
      <c r="AC223" s="64"/>
      <c r="AF223" s="64"/>
      <c r="AG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K224" s="65"/>
      <c r="L224" s="64"/>
      <c r="M224" s="64"/>
      <c r="N224" s="64"/>
      <c r="O224" s="64"/>
      <c r="R224" s="64"/>
      <c r="S224" s="64"/>
      <c r="T224" s="64"/>
      <c r="U224" s="64"/>
      <c r="V224" s="64"/>
      <c r="Y224" s="64"/>
      <c r="Z224" s="64"/>
      <c r="AA224" s="64"/>
      <c r="AB224" s="64"/>
      <c r="AC224" s="64"/>
      <c r="AF224" s="64"/>
      <c r="AG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K225" s="65"/>
      <c r="L225" s="64"/>
      <c r="M225" s="64"/>
      <c r="N225" s="64"/>
      <c r="O225" s="64"/>
      <c r="R225" s="64"/>
      <c r="S225" s="64"/>
      <c r="T225" s="64"/>
      <c r="U225" s="64"/>
      <c r="V225" s="64"/>
      <c r="Y225" s="64"/>
      <c r="Z225" s="64"/>
      <c r="AA225" s="64"/>
      <c r="AB225" s="64"/>
      <c r="AC225" s="64"/>
      <c r="AF225" s="64"/>
      <c r="AG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K226" s="65"/>
      <c r="L226" s="64"/>
      <c r="M226" s="64"/>
      <c r="N226" s="64"/>
      <c r="O226" s="64"/>
      <c r="R226" s="64"/>
      <c r="S226" s="64"/>
      <c r="T226" s="64"/>
      <c r="U226" s="64"/>
      <c r="V226" s="64"/>
      <c r="Y226" s="64"/>
      <c r="Z226" s="64"/>
      <c r="AA226" s="64"/>
      <c r="AB226" s="64"/>
      <c r="AC226" s="64"/>
      <c r="AF226" s="64"/>
      <c r="AG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K227" s="65"/>
      <c r="L227" s="64"/>
      <c r="M227" s="64"/>
      <c r="N227" s="64"/>
      <c r="O227" s="64"/>
      <c r="R227" s="64"/>
      <c r="S227" s="64"/>
      <c r="T227" s="64"/>
      <c r="U227" s="64"/>
      <c r="V227" s="64"/>
      <c r="Y227" s="64"/>
      <c r="Z227" s="64"/>
      <c r="AA227" s="64"/>
      <c r="AB227" s="64"/>
      <c r="AC227" s="64"/>
      <c r="AF227" s="64"/>
      <c r="AG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K228" s="65"/>
      <c r="L228" s="64"/>
      <c r="M228" s="64"/>
      <c r="N228" s="64"/>
      <c r="O228" s="64"/>
      <c r="R228" s="64"/>
      <c r="S228" s="64"/>
      <c r="T228" s="64"/>
      <c r="U228" s="64"/>
      <c r="V228" s="64"/>
      <c r="Y228" s="64"/>
      <c r="Z228" s="64"/>
      <c r="AA228" s="64"/>
      <c r="AB228" s="64"/>
      <c r="AC228" s="64"/>
      <c r="AF228" s="64"/>
      <c r="AG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K229" s="65"/>
      <c r="L229" s="64"/>
      <c r="M229" s="64"/>
      <c r="N229" s="64"/>
      <c r="O229" s="64"/>
      <c r="R229" s="64"/>
      <c r="S229" s="64"/>
      <c r="T229" s="64"/>
      <c r="U229" s="64"/>
      <c r="V229" s="64"/>
      <c r="Y229" s="64"/>
      <c r="Z229" s="64"/>
      <c r="AA229" s="64"/>
      <c r="AB229" s="64"/>
      <c r="AC229" s="64"/>
      <c r="AF229" s="64"/>
      <c r="AG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K230" s="65"/>
      <c r="L230" s="64"/>
      <c r="M230" s="64"/>
      <c r="N230" s="64"/>
      <c r="O230" s="64"/>
      <c r="R230" s="64"/>
      <c r="S230" s="64"/>
      <c r="T230" s="64"/>
      <c r="U230" s="64"/>
      <c r="V230" s="64"/>
      <c r="Y230" s="64"/>
      <c r="Z230" s="64"/>
      <c r="AA230" s="64"/>
      <c r="AB230" s="64"/>
      <c r="AC230" s="64"/>
      <c r="AF230" s="64"/>
      <c r="AG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K231" s="65"/>
      <c r="L231" s="64"/>
      <c r="M231" s="64"/>
      <c r="N231" s="64"/>
      <c r="O231" s="64"/>
      <c r="R231" s="64"/>
      <c r="S231" s="64"/>
      <c r="T231" s="64"/>
      <c r="U231" s="64"/>
      <c r="V231" s="64"/>
      <c r="Y231" s="64"/>
      <c r="Z231" s="64"/>
      <c r="AA231" s="64"/>
      <c r="AB231" s="64"/>
      <c r="AC231" s="64"/>
      <c r="AF231" s="64"/>
      <c r="AG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K232" s="65"/>
      <c r="L232" s="64"/>
      <c r="M232" s="64"/>
      <c r="N232" s="64"/>
      <c r="O232" s="64"/>
      <c r="R232" s="64"/>
      <c r="S232" s="64"/>
      <c r="T232" s="64"/>
      <c r="U232" s="64"/>
      <c r="V232" s="64"/>
      <c r="Y232" s="64"/>
      <c r="Z232" s="64"/>
      <c r="AA232" s="64"/>
      <c r="AB232" s="64"/>
      <c r="AC232" s="64"/>
      <c r="AF232" s="64"/>
      <c r="AG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K233" s="65"/>
      <c r="L233" s="64"/>
      <c r="M233" s="64"/>
      <c r="N233" s="64"/>
      <c r="O233" s="64"/>
      <c r="R233" s="64"/>
      <c r="S233" s="64"/>
      <c r="T233" s="64"/>
      <c r="U233" s="64"/>
      <c r="V233" s="64"/>
      <c r="Y233" s="64"/>
      <c r="Z233" s="64"/>
      <c r="AA233" s="64"/>
      <c r="AB233" s="64"/>
      <c r="AC233" s="64"/>
      <c r="AF233" s="64"/>
      <c r="AG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K234" s="65"/>
      <c r="L234" s="64"/>
      <c r="M234" s="64"/>
      <c r="N234" s="64"/>
      <c r="O234" s="64"/>
      <c r="R234" s="64"/>
      <c r="S234" s="64"/>
      <c r="T234" s="64"/>
      <c r="U234" s="64"/>
      <c r="V234" s="64"/>
      <c r="Y234" s="64"/>
      <c r="Z234" s="64"/>
      <c r="AA234" s="64"/>
      <c r="AB234" s="64"/>
      <c r="AC234" s="64"/>
      <c r="AF234" s="64"/>
      <c r="AG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K235" s="65"/>
      <c r="L235" s="64"/>
      <c r="M235" s="64"/>
      <c r="N235" s="64"/>
      <c r="O235" s="64"/>
      <c r="R235" s="64"/>
      <c r="S235" s="64"/>
      <c r="T235" s="64"/>
      <c r="U235" s="64"/>
      <c r="V235" s="64"/>
      <c r="Y235" s="64"/>
      <c r="Z235" s="64"/>
      <c r="AA235" s="64"/>
      <c r="AB235" s="64"/>
      <c r="AC235" s="64"/>
      <c r="AF235" s="64"/>
      <c r="AG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K236" s="65"/>
      <c r="L236" s="64"/>
      <c r="M236" s="64"/>
      <c r="N236" s="64"/>
      <c r="O236" s="64"/>
      <c r="R236" s="64"/>
      <c r="S236" s="64"/>
      <c r="T236" s="64"/>
      <c r="U236" s="64"/>
      <c r="V236" s="64"/>
      <c r="Y236" s="64"/>
      <c r="Z236" s="64"/>
      <c r="AA236" s="64"/>
      <c r="AB236" s="64"/>
      <c r="AC236" s="64"/>
      <c r="AF236" s="64"/>
      <c r="AG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K237" s="65"/>
      <c r="L237" s="64"/>
      <c r="M237" s="64"/>
      <c r="N237" s="64"/>
      <c r="O237" s="64"/>
      <c r="R237" s="64"/>
      <c r="S237" s="64"/>
      <c r="T237" s="64"/>
      <c r="U237" s="64"/>
      <c r="V237" s="64"/>
      <c r="Y237" s="64"/>
      <c r="Z237" s="64"/>
      <c r="AA237" s="64"/>
      <c r="AB237" s="64"/>
      <c r="AC237" s="64"/>
      <c r="AF237" s="64"/>
      <c r="AG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K238" s="65"/>
      <c r="L238" s="64"/>
      <c r="M238" s="64"/>
      <c r="N238" s="64"/>
      <c r="O238" s="64"/>
      <c r="R238" s="64"/>
      <c r="S238" s="64"/>
      <c r="T238" s="64"/>
      <c r="U238" s="64"/>
      <c r="V238" s="64"/>
      <c r="Y238" s="64"/>
      <c r="Z238" s="64"/>
      <c r="AA238" s="64"/>
      <c r="AB238" s="64"/>
      <c r="AC238" s="64"/>
      <c r="AF238" s="64"/>
      <c r="AG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K239" s="65"/>
      <c r="L239" s="64"/>
      <c r="M239" s="64"/>
      <c r="N239" s="64"/>
      <c r="O239" s="64"/>
      <c r="R239" s="64"/>
      <c r="S239" s="64"/>
      <c r="T239" s="64"/>
      <c r="U239" s="64"/>
      <c r="V239" s="64"/>
      <c r="Y239" s="64"/>
      <c r="Z239" s="64"/>
      <c r="AA239" s="64"/>
      <c r="AB239" s="64"/>
      <c r="AC239" s="64"/>
      <c r="AF239" s="64"/>
      <c r="AG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K240" s="65"/>
      <c r="L240" s="64"/>
      <c r="M240" s="64"/>
      <c r="N240" s="64"/>
      <c r="O240" s="64"/>
      <c r="R240" s="64"/>
      <c r="S240" s="64"/>
      <c r="T240" s="64"/>
      <c r="U240" s="64"/>
      <c r="V240" s="64"/>
      <c r="Y240" s="64"/>
      <c r="Z240" s="64"/>
      <c r="AA240" s="64"/>
      <c r="AB240" s="64"/>
      <c r="AC240" s="64"/>
      <c r="AF240" s="64"/>
      <c r="AG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K241" s="65"/>
      <c r="L241" s="64"/>
      <c r="M241" s="64"/>
      <c r="N241" s="64"/>
      <c r="O241" s="64"/>
      <c r="R241" s="64"/>
      <c r="S241" s="64"/>
      <c r="T241" s="64"/>
      <c r="U241" s="64"/>
      <c r="V241" s="64"/>
      <c r="Y241" s="64"/>
      <c r="Z241" s="64"/>
      <c r="AA241" s="64"/>
      <c r="AB241" s="64"/>
      <c r="AC241" s="64"/>
      <c r="AF241" s="64"/>
      <c r="AG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K242" s="65"/>
      <c r="L242" s="64"/>
      <c r="M242" s="64"/>
      <c r="N242" s="64"/>
      <c r="O242" s="64"/>
      <c r="R242" s="64"/>
      <c r="S242" s="64"/>
      <c r="T242" s="64"/>
      <c r="U242" s="64"/>
      <c r="V242" s="64"/>
      <c r="Y242" s="64"/>
      <c r="Z242" s="64"/>
      <c r="AA242" s="64"/>
      <c r="AB242" s="64"/>
      <c r="AC242" s="64"/>
      <c r="AF242" s="64"/>
      <c r="AG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K243" s="65"/>
      <c r="L243" s="64"/>
      <c r="M243" s="64"/>
      <c r="N243" s="64"/>
      <c r="O243" s="64"/>
      <c r="R243" s="64"/>
      <c r="S243" s="64"/>
      <c r="T243" s="64"/>
      <c r="U243" s="64"/>
      <c r="V243" s="64"/>
      <c r="Y243" s="64"/>
      <c r="Z243" s="64"/>
      <c r="AA243" s="64"/>
      <c r="AB243" s="64"/>
      <c r="AC243" s="64"/>
      <c r="AF243" s="64"/>
      <c r="AG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K244" s="65"/>
      <c r="L244" s="64"/>
      <c r="M244" s="64"/>
      <c r="N244" s="64"/>
      <c r="O244" s="64"/>
      <c r="R244" s="64"/>
      <c r="S244" s="64"/>
      <c r="T244" s="64"/>
      <c r="U244" s="64"/>
      <c r="V244" s="64"/>
      <c r="Y244" s="64"/>
      <c r="Z244" s="64"/>
      <c r="AA244" s="64"/>
      <c r="AB244" s="64"/>
      <c r="AC244" s="64"/>
      <c r="AF244" s="64"/>
      <c r="AG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K245" s="65"/>
      <c r="L245" s="64"/>
      <c r="M245" s="64"/>
      <c r="N245" s="64"/>
      <c r="O245" s="64"/>
      <c r="R245" s="64"/>
      <c r="S245" s="64"/>
      <c r="T245" s="64"/>
      <c r="U245" s="64"/>
      <c r="V245" s="64"/>
      <c r="Y245" s="64"/>
      <c r="Z245" s="64"/>
      <c r="AA245" s="64"/>
      <c r="AB245" s="64"/>
      <c r="AC245" s="64"/>
      <c r="AF245" s="64"/>
      <c r="AG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K246" s="65"/>
      <c r="L246" s="64"/>
      <c r="M246" s="64"/>
      <c r="N246" s="64"/>
      <c r="O246" s="64"/>
      <c r="R246" s="64"/>
      <c r="S246" s="64"/>
      <c r="T246" s="64"/>
      <c r="U246" s="64"/>
      <c r="V246" s="64"/>
      <c r="Y246" s="64"/>
      <c r="Z246" s="64"/>
      <c r="AA246" s="64"/>
      <c r="AB246" s="64"/>
      <c r="AC246" s="64"/>
      <c r="AF246" s="64"/>
      <c r="AG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K247" s="65"/>
      <c r="L247" s="64"/>
      <c r="M247" s="64"/>
      <c r="N247" s="64"/>
      <c r="O247" s="64"/>
      <c r="R247" s="64"/>
      <c r="S247" s="64"/>
      <c r="T247" s="64"/>
      <c r="U247" s="64"/>
      <c r="V247" s="64"/>
      <c r="Y247" s="64"/>
      <c r="Z247" s="64"/>
      <c r="AA247" s="64"/>
      <c r="AB247" s="64"/>
      <c r="AC247" s="64"/>
      <c r="AF247" s="64"/>
      <c r="AG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K248" s="65"/>
      <c r="L248" s="64"/>
      <c r="M248" s="64"/>
      <c r="N248" s="64"/>
      <c r="O248" s="64"/>
      <c r="R248" s="64"/>
      <c r="S248" s="64"/>
      <c r="T248" s="64"/>
      <c r="U248" s="64"/>
      <c r="V248" s="64"/>
      <c r="Y248" s="64"/>
      <c r="Z248" s="64"/>
      <c r="AA248" s="64"/>
      <c r="AB248" s="64"/>
      <c r="AC248" s="64"/>
      <c r="AF248" s="64"/>
      <c r="AG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K249" s="65"/>
      <c r="L249" s="64"/>
      <c r="M249" s="64"/>
      <c r="N249" s="64"/>
      <c r="O249" s="64"/>
      <c r="R249" s="64"/>
      <c r="S249" s="64"/>
      <c r="T249" s="64"/>
      <c r="U249" s="64"/>
      <c r="V249" s="64"/>
      <c r="Y249" s="64"/>
      <c r="Z249" s="64"/>
      <c r="AA249" s="64"/>
      <c r="AB249" s="64"/>
      <c r="AC249" s="64"/>
      <c r="AF249" s="64"/>
      <c r="AG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K250" s="65"/>
      <c r="L250" s="64"/>
      <c r="M250" s="64"/>
      <c r="N250" s="64"/>
      <c r="O250" s="64"/>
      <c r="R250" s="64"/>
      <c r="S250" s="64"/>
      <c r="T250" s="64"/>
      <c r="U250" s="64"/>
      <c r="V250" s="64"/>
      <c r="Y250" s="64"/>
      <c r="Z250" s="64"/>
      <c r="AA250" s="64"/>
      <c r="AB250" s="64"/>
      <c r="AC250" s="64"/>
      <c r="AF250" s="64"/>
      <c r="AG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K251" s="65"/>
      <c r="L251" s="64"/>
      <c r="M251" s="64"/>
      <c r="N251" s="64"/>
      <c r="O251" s="64"/>
      <c r="R251" s="64"/>
      <c r="S251" s="64"/>
      <c r="T251" s="64"/>
      <c r="U251" s="64"/>
      <c r="V251" s="64"/>
      <c r="Y251" s="64"/>
      <c r="Z251" s="64"/>
      <c r="AA251" s="64"/>
      <c r="AB251" s="64"/>
      <c r="AC251" s="64"/>
      <c r="AF251" s="64"/>
      <c r="AG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K252" s="65"/>
      <c r="L252" s="64"/>
      <c r="M252" s="64"/>
      <c r="N252" s="64"/>
      <c r="O252" s="64"/>
      <c r="R252" s="64"/>
      <c r="S252" s="64"/>
      <c r="T252" s="64"/>
      <c r="U252" s="64"/>
      <c r="V252" s="64"/>
      <c r="Y252" s="64"/>
      <c r="Z252" s="64"/>
      <c r="AA252" s="64"/>
      <c r="AB252" s="64"/>
      <c r="AC252" s="64"/>
      <c r="AF252" s="64"/>
      <c r="AG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K253" s="65"/>
      <c r="L253" s="64"/>
      <c r="M253" s="64"/>
      <c r="N253" s="64"/>
      <c r="O253" s="64"/>
      <c r="R253" s="64"/>
      <c r="S253" s="64"/>
      <c r="T253" s="64"/>
      <c r="U253" s="64"/>
      <c r="V253" s="64"/>
      <c r="Y253" s="64"/>
      <c r="Z253" s="64"/>
      <c r="AA253" s="64"/>
      <c r="AB253" s="64"/>
      <c r="AC253" s="64"/>
      <c r="AF253" s="64"/>
      <c r="AG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K254" s="65"/>
      <c r="L254" s="64"/>
      <c r="M254" s="64"/>
      <c r="N254" s="64"/>
      <c r="O254" s="64"/>
      <c r="R254" s="64"/>
      <c r="S254" s="64"/>
      <c r="T254" s="64"/>
      <c r="U254" s="64"/>
      <c r="V254" s="64"/>
      <c r="Y254" s="64"/>
      <c r="Z254" s="64"/>
      <c r="AA254" s="64"/>
      <c r="AB254" s="64"/>
      <c r="AC254" s="64"/>
      <c r="AF254" s="64"/>
      <c r="AG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K255" s="65"/>
      <c r="L255" s="64"/>
      <c r="M255" s="64"/>
      <c r="N255" s="64"/>
      <c r="O255" s="64"/>
      <c r="R255" s="64"/>
      <c r="S255" s="64"/>
      <c r="T255" s="64"/>
      <c r="U255" s="64"/>
      <c r="V255" s="64"/>
      <c r="Y255" s="64"/>
      <c r="Z255" s="64"/>
      <c r="AA255" s="64"/>
      <c r="AB255" s="64"/>
      <c r="AC255" s="64"/>
      <c r="AF255" s="64"/>
      <c r="AG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K256" s="65"/>
      <c r="L256" s="64"/>
      <c r="M256" s="64"/>
      <c r="N256" s="64"/>
      <c r="O256" s="64"/>
      <c r="R256" s="64"/>
      <c r="S256" s="64"/>
      <c r="T256" s="64"/>
      <c r="U256" s="64"/>
      <c r="V256" s="64"/>
      <c r="Y256" s="64"/>
      <c r="Z256" s="64"/>
      <c r="AA256" s="64"/>
      <c r="AB256" s="64"/>
      <c r="AC256" s="64"/>
      <c r="AF256" s="64"/>
      <c r="AG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K257" s="65"/>
      <c r="L257" s="64"/>
      <c r="M257" s="64"/>
      <c r="N257" s="64"/>
      <c r="O257" s="64"/>
      <c r="R257" s="64"/>
      <c r="S257" s="64"/>
      <c r="T257" s="64"/>
      <c r="U257" s="64"/>
      <c r="V257" s="64"/>
      <c r="Y257" s="64"/>
      <c r="Z257" s="64"/>
      <c r="AA257" s="64"/>
      <c r="AB257" s="64"/>
      <c r="AC257" s="64"/>
      <c r="AF257" s="64"/>
      <c r="AG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K258" s="65"/>
      <c r="L258" s="64"/>
      <c r="M258" s="64"/>
      <c r="N258" s="64"/>
      <c r="O258" s="64"/>
      <c r="R258" s="64"/>
      <c r="S258" s="64"/>
      <c r="T258" s="64"/>
      <c r="U258" s="64"/>
      <c r="V258" s="64"/>
      <c r="Y258" s="64"/>
      <c r="Z258" s="64"/>
      <c r="AA258" s="64"/>
      <c r="AB258" s="64"/>
      <c r="AC258" s="64"/>
      <c r="AF258" s="64"/>
      <c r="AG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K259" s="65"/>
      <c r="L259" s="64"/>
      <c r="M259" s="64"/>
      <c r="N259" s="64"/>
      <c r="O259" s="64"/>
      <c r="R259" s="64"/>
      <c r="S259" s="64"/>
      <c r="T259" s="64"/>
      <c r="U259" s="64"/>
      <c r="V259" s="64"/>
      <c r="Y259" s="64"/>
      <c r="Z259" s="64"/>
      <c r="AA259" s="64"/>
      <c r="AB259" s="64"/>
      <c r="AC259" s="64"/>
      <c r="AF259" s="64"/>
      <c r="AG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K260" s="65"/>
      <c r="L260" s="64"/>
      <c r="M260" s="64"/>
      <c r="N260" s="64"/>
      <c r="O260" s="64"/>
      <c r="R260" s="64"/>
      <c r="S260" s="64"/>
      <c r="T260" s="64"/>
      <c r="U260" s="64"/>
      <c r="V260" s="64"/>
      <c r="Y260" s="64"/>
      <c r="Z260" s="64"/>
      <c r="AA260" s="64"/>
      <c r="AB260" s="64"/>
      <c r="AC260" s="64"/>
      <c r="AF260" s="64"/>
      <c r="AG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K261" s="65"/>
      <c r="L261" s="64"/>
      <c r="M261" s="64"/>
      <c r="N261" s="64"/>
      <c r="O261" s="64"/>
      <c r="R261" s="64"/>
      <c r="S261" s="64"/>
      <c r="T261" s="64"/>
      <c r="U261" s="64"/>
      <c r="V261" s="64"/>
      <c r="Y261" s="64"/>
      <c r="Z261" s="64"/>
      <c r="AA261" s="64"/>
      <c r="AB261" s="64"/>
      <c r="AC261" s="64"/>
      <c r="AF261" s="64"/>
      <c r="AG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K262" s="65"/>
      <c r="L262" s="64"/>
      <c r="M262" s="64"/>
      <c r="N262" s="64"/>
      <c r="O262" s="64"/>
      <c r="R262" s="64"/>
      <c r="S262" s="64"/>
      <c r="T262" s="64"/>
      <c r="U262" s="64"/>
      <c r="V262" s="64"/>
      <c r="Y262" s="64"/>
      <c r="Z262" s="64"/>
      <c r="AA262" s="64"/>
      <c r="AB262" s="64"/>
      <c r="AC262" s="64"/>
      <c r="AF262" s="64"/>
      <c r="AG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K263" s="65"/>
      <c r="L263" s="64"/>
      <c r="M263" s="64"/>
      <c r="N263" s="64"/>
      <c r="O263" s="64"/>
      <c r="R263" s="64"/>
      <c r="S263" s="64"/>
      <c r="T263" s="64"/>
      <c r="U263" s="64"/>
      <c r="V263" s="64"/>
      <c r="Y263" s="64"/>
      <c r="Z263" s="64"/>
      <c r="AA263" s="64"/>
      <c r="AB263" s="64"/>
      <c r="AC263" s="64"/>
      <c r="AF263" s="64"/>
      <c r="AG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K264" s="65"/>
      <c r="L264" s="64"/>
      <c r="M264" s="64"/>
      <c r="N264" s="64"/>
      <c r="O264" s="64"/>
      <c r="R264" s="64"/>
      <c r="S264" s="64"/>
      <c r="T264" s="64"/>
      <c r="U264" s="64"/>
      <c r="V264" s="64"/>
      <c r="Y264" s="64"/>
      <c r="Z264" s="64"/>
      <c r="AA264" s="64"/>
      <c r="AB264" s="64"/>
      <c r="AC264" s="64"/>
      <c r="AF264" s="64"/>
      <c r="AG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K265" s="65"/>
      <c r="L265" s="64"/>
      <c r="M265" s="64"/>
      <c r="N265" s="64"/>
      <c r="O265" s="64"/>
      <c r="R265" s="64"/>
      <c r="S265" s="64"/>
      <c r="T265" s="64"/>
      <c r="U265" s="64"/>
      <c r="V265" s="64"/>
      <c r="Y265" s="64"/>
      <c r="Z265" s="64"/>
      <c r="AA265" s="64"/>
      <c r="AB265" s="64"/>
      <c r="AC265" s="64"/>
      <c r="AF265" s="64"/>
      <c r="AG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K266" s="65"/>
      <c r="L266" s="64"/>
      <c r="M266" s="64"/>
      <c r="N266" s="64"/>
      <c r="O266" s="64"/>
      <c r="R266" s="64"/>
      <c r="S266" s="64"/>
      <c r="T266" s="64"/>
      <c r="U266" s="64"/>
      <c r="V266" s="64"/>
      <c r="Y266" s="64"/>
      <c r="Z266" s="64"/>
      <c r="AA266" s="64"/>
      <c r="AB266" s="64"/>
      <c r="AC266" s="64"/>
      <c r="AF266" s="64"/>
      <c r="AG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K267" s="65"/>
      <c r="L267" s="64"/>
      <c r="M267" s="64"/>
      <c r="N267" s="64"/>
      <c r="O267" s="64"/>
      <c r="R267" s="64"/>
      <c r="S267" s="64"/>
      <c r="T267" s="64"/>
      <c r="U267" s="64"/>
      <c r="V267" s="64"/>
      <c r="Y267" s="64"/>
      <c r="Z267" s="64"/>
      <c r="AA267" s="64"/>
      <c r="AB267" s="64"/>
      <c r="AC267" s="64"/>
      <c r="AF267" s="64"/>
      <c r="AG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K268" s="65"/>
      <c r="L268" s="64"/>
      <c r="M268" s="64"/>
      <c r="N268" s="64"/>
      <c r="O268" s="64"/>
      <c r="R268" s="64"/>
      <c r="S268" s="64"/>
      <c r="T268" s="64"/>
      <c r="U268" s="64"/>
      <c r="V268" s="64"/>
      <c r="Y268" s="64"/>
      <c r="Z268" s="64"/>
      <c r="AA268" s="64"/>
      <c r="AB268" s="64"/>
      <c r="AC268" s="64"/>
      <c r="AF268" s="64"/>
      <c r="AG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K269" s="65"/>
      <c r="L269" s="64"/>
      <c r="M269" s="64"/>
      <c r="N269" s="64"/>
      <c r="O269" s="64"/>
      <c r="R269" s="64"/>
      <c r="S269" s="64"/>
      <c r="T269" s="64"/>
      <c r="U269" s="64"/>
      <c r="V269" s="64"/>
      <c r="Y269" s="64"/>
      <c r="Z269" s="64"/>
      <c r="AA269" s="64"/>
      <c r="AB269" s="64"/>
      <c r="AC269" s="64"/>
      <c r="AF269" s="64"/>
      <c r="AG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K270" s="65"/>
      <c r="L270" s="64"/>
      <c r="M270" s="64"/>
      <c r="N270" s="64"/>
      <c r="O270" s="64"/>
      <c r="R270" s="64"/>
      <c r="S270" s="64"/>
      <c r="T270" s="64"/>
      <c r="U270" s="64"/>
      <c r="V270" s="64"/>
      <c r="Y270" s="64"/>
      <c r="Z270" s="64"/>
      <c r="AA270" s="64"/>
      <c r="AB270" s="64"/>
      <c r="AC270" s="64"/>
      <c r="AF270" s="64"/>
      <c r="AG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K271" s="65"/>
      <c r="L271" s="64"/>
      <c r="M271" s="64"/>
      <c r="N271" s="64"/>
      <c r="O271" s="64"/>
      <c r="R271" s="64"/>
      <c r="S271" s="64"/>
      <c r="T271" s="64"/>
      <c r="U271" s="64"/>
      <c r="V271" s="64"/>
      <c r="Y271" s="64"/>
      <c r="Z271" s="64"/>
      <c r="AA271" s="64"/>
      <c r="AB271" s="64"/>
      <c r="AC271" s="64"/>
      <c r="AF271" s="64"/>
      <c r="AG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K272" s="65"/>
      <c r="L272" s="64"/>
      <c r="M272" s="64"/>
      <c r="N272" s="64"/>
      <c r="O272" s="64"/>
      <c r="R272" s="64"/>
      <c r="S272" s="64"/>
      <c r="T272" s="64"/>
      <c r="U272" s="64"/>
      <c r="V272" s="64"/>
      <c r="Y272" s="64"/>
      <c r="Z272" s="64"/>
      <c r="AA272" s="64"/>
      <c r="AB272" s="64"/>
      <c r="AC272" s="64"/>
      <c r="AF272" s="64"/>
      <c r="AG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K273" s="65"/>
      <c r="L273" s="64"/>
      <c r="M273" s="64"/>
      <c r="N273" s="64"/>
      <c r="O273" s="64"/>
      <c r="R273" s="64"/>
      <c r="S273" s="64"/>
      <c r="T273" s="64"/>
      <c r="U273" s="64"/>
      <c r="V273" s="64"/>
      <c r="Y273" s="64"/>
      <c r="Z273" s="64"/>
      <c r="AA273" s="64"/>
      <c r="AB273" s="64"/>
      <c r="AC273" s="64"/>
      <c r="AF273" s="64"/>
      <c r="AG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K274" s="65"/>
      <c r="L274" s="64"/>
      <c r="M274" s="64"/>
      <c r="N274" s="64"/>
      <c r="O274" s="64"/>
      <c r="R274" s="64"/>
      <c r="S274" s="64"/>
      <c r="T274" s="64"/>
      <c r="U274" s="64"/>
      <c r="V274" s="64"/>
      <c r="Y274" s="64"/>
      <c r="Z274" s="64"/>
      <c r="AA274" s="64"/>
      <c r="AB274" s="64"/>
      <c r="AC274" s="64"/>
      <c r="AF274" s="64"/>
      <c r="AG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K275" s="65"/>
      <c r="L275" s="64"/>
      <c r="M275" s="64"/>
      <c r="N275" s="64"/>
      <c r="O275" s="64"/>
      <c r="R275" s="64"/>
      <c r="S275" s="64"/>
      <c r="T275" s="64"/>
      <c r="U275" s="64"/>
      <c r="V275" s="64"/>
      <c r="Y275" s="64"/>
      <c r="Z275" s="64"/>
      <c r="AA275" s="64"/>
      <c r="AB275" s="64"/>
      <c r="AC275" s="64"/>
      <c r="AF275" s="64"/>
      <c r="AG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K276" s="65"/>
      <c r="L276" s="64"/>
      <c r="M276" s="64"/>
      <c r="N276" s="64"/>
      <c r="O276" s="64"/>
      <c r="R276" s="64"/>
      <c r="S276" s="64"/>
      <c r="T276" s="64"/>
      <c r="U276" s="64"/>
      <c r="V276" s="64"/>
      <c r="Y276" s="64"/>
      <c r="Z276" s="64"/>
      <c r="AA276" s="64"/>
      <c r="AB276" s="64"/>
      <c r="AC276" s="64"/>
      <c r="AF276" s="64"/>
      <c r="AG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K277" s="65"/>
      <c r="L277" s="64"/>
      <c r="M277" s="64"/>
      <c r="N277" s="64"/>
      <c r="O277" s="64"/>
      <c r="R277" s="64"/>
      <c r="S277" s="64"/>
      <c r="T277" s="64"/>
      <c r="U277" s="64"/>
      <c r="V277" s="64"/>
      <c r="Y277" s="64"/>
      <c r="Z277" s="64"/>
      <c r="AA277" s="64"/>
      <c r="AB277" s="64"/>
      <c r="AC277" s="64"/>
      <c r="AF277" s="64"/>
      <c r="AG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K278" s="65"/>
      <c r="L278" s="64"/>
      <c r="M278" s="64"/>
      <c r="N278" s="64"/>
      <c r="O278" s="64"/>
      <c r="R278" s="64"/>
      <c r="S278" s="64"/>
      <c r="T278" s="64"/>
      <c r="U278" s="64"/>
      <c r="V278" s="64"/>
      <c r="Y278" s="64"/>
      <c r="Z278" s="64"/>
      <c r="AA278" s="64"/>
      <c r="AB278" s="64"/>
      <c r="AC278" s="64"/>
      <c r="AF278" s="64"/>
      <c r="AG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K279" s="65"/>
      <c r="L279" s="64"/>
      <c r="M279" s="64"/>
      <c r="N279" s="64"/>
      <c r="O279" s="64"/>
      <c r="R279" s="64"/>
      <c r="S279" s="64"/>
      <c r="T279" s="64"/>
      <c r="U279" s="64"/>
      <c r="V279" s="64"/>
      <c r="Y279" s="64"/>
      <c r="Z279" s="64"/>
      <c r="AA279" s="64"/>
      <c r="AB279" s="64"/>
      <c r="AC279" s="64"/>
      <c r="AF279" s="64"/>
      <c r="AG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K280" s="65"/>
      <c r="L280" s="64"/>
      <c r="M280" s="64"/>
      <c r="N280" s="64"/>
      <c r="O280" s="64"/>
      <c r="R280" s="64"/>
      <c r="S280" s="64"/>
      <c r="T280" s="64"/>
      <c r="U280" s="64"/>
      <c r="V280" s="64"/>
      <c r="Y280" s="64"/>
      <c r="Z280" s="64"/>
      <c r="AA280" s="64"/>
      <c r="AB280" s="64"/>
      <c r="AC280" s="64"/>
      <c r="AF280" s="64"/>
      <c r="AG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K281" s="65"/>
      <c r="L281" s="64"/>
      <c r="M281" s="64"/>
      <c r="N281" s="64"/>
      <c r="O281" s="64"/>
      <c r="R281" s="64"/>
      <c r="S281" s="64"/>
      <c r="T281" s="64"/>
      <c r="U281" s="64"/>
      <c r="V281" s="64"/>
      <c r="Y281" s="64"/>
      <c r="Z281" s="64"/>
      <c r="AA281" s="64"/>
      <c r="AB281" s="64"/>
      <c r="AC281" s="64"/>
      <c r="AF281" s="64"/>
      <c r="AG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K282" s="65"/>
      <c r="L282" s="64"/>
      <c r="M282" s="64"/>
      <c r="N282" s="64"/>
      <c r="O282" s="64"/>
      <c r="R282" s="64"/>
      <c r="S282" s="64"/>
      <c r="T282" s="64"/>
      <c r="U282" s="64"/>
      <c r="V282" s="64"/>
      <c r="Y282" s="64"/>
      <c r="Z282" s="64"/>
      <c r="AA282" s="64"/>
      <c r="AB282" s="64"/>
      <c r="AC282" s="64"/>
      <c r="AF282" s="64"/>
      <c r="AG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K283" s="65"/>
      <c r="L283" s="64"/>
      <c r="M283" s="64"/>
      <c r="N283" s="64"/>
      <c r="O283" s="64"/>
      <c r="R283" s="64"/>
      <c r="S283" s="64"/>
      <c r="T283" s="64"/>
      <c r="U283" s="64"/>
      <c r="V283" s="64"/>
      <c r="Y283" s="64"/>
      <c r="Z283" s="64"/>
      <c r="AA283" s="64"/>
      <c r="AB283" s="64"/>
      <c r="AC283" s="64"/>
      <c r="AF283" s="64"/>
      <c r="AG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K284" s="65"/>
      <c r="L284" s="64"/>
      <c r="M284" s="64"/>
      <c r="N284" s="64"/>
      <c r="O284" s="64"/>
      <c r="R284" s="64"/>
      <c r="S284" s="64"/>
      <c r="T284" s="64"/>
      <c r="U284" s="64"/>
      <c r="V284" s="64"/>
      <c r="Y284" s="64"/>
      <c r="Z284" s="64"/>
      <c r="AA284" s="64"/>
      <c r="AB284" s="64"/>
      <c r="AC284" s="64"/>
      <c r="AF284" s="64"/>
      <c r="AG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K285" s="65"/>
      <c r="L285" s="64"/>
      <c r="M285" s="64"/>
      <c r="N285" s="64"/>
      <c r="O285" s="64"/>
      <c r="R285" s="64"/>
      <c r="S285" s="64"/>
      <c r="T285" s="64"/>
      <c r="U285" s="64"/>
      <c r="V285" s="64"/>
      <c r="Y285" s="64"/>
      <c r="Z285" s="64"/>
      <c r="AA285" s="64"/>
      <c r="AB285" s="64"/>
      <c r="AC285" s="64"/>
      <c r="AF285" s="64"/>
      <c r="AG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K286" s="65"/>
      <c r="L286" s="64"/>
      <c r="M286" s="64"/>
      <c r="N286" s="64"/>
      <c r="O286" s="64"/>
      <c r="R286" s="64"/>
      <c r="S286" s="64"/>
      <c r="T286" s="64"/>
      <c r="U286" s="64"/>
      <c r="V286" s="64"/>
      <c r="Y286" s="64"/>
      <c r="Z286" s="64"/>
      <c r="AA286" s="64"/>
      <c r="AB286" s="64"/>
      <c r="AC286" s="64"/>
      <c r="AF286" s="64"/>
      <c r="AG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K287" s="65"/>
      <c r="L287" s="64"/>
      <c r="M287" s="64"/>
      <c r="N287" s="64"/>
      <c r="O287" s="64"/>
      <c r="R287" s="64"/>
      <c r="S287" s="64"/>
      <c r="T287" s="64"/>
      <c r="U287" s="64"/>
      <c r="V287" s="64"/>
      <c r="Y287" s="64"/>
      <c r="Z287" s="64"/>
      <c r="AA287" s="64"/>
      <c r="AB287" s="64"/>
      <c r="AC287" s="64"/>
      <c r="AF287" s="64"/>
      <c r="AG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K288" s="65"/>
      <c r="L288" s="64"/>
      <c r="M288" s="64"/>
      <c r="N288" s="64"/>
      <c r="O288" s="64"/>
      <c r="R288" s="64"/>
      <c r="S288" s="64"/>
      <c r="T288" s="64"/>
      <c r="U288" s="64"/>
      <c r="V288" s="64"/>
      <c r="Y288" s="64"/>
      <c r="Z288" s="64"/>
      <c r="AA288" s="64"/>
      <c r="AB288" s="64"/>
      <c r="AC288" s="64"/>
      <c r="AF288" s="64"/>
      <c r="AG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K289" s="65"/>
      <c r="L289" s="64"/>
      <c r="M289" s="64"/>
      <c r="N289" s="64"/>
      <c r="O289" s="64"/>
      <c r="R289" s="64"/>
      <c r="S289" s="64"/>
      <c r="T289" s="64"/>
      <c r="U289" s="64"/>
      <c r="V289" s="64"/>
      <c r="Y289" s="64"/>
      <c r="Z289" s="64"/>
      <c r="AA289" s="64"/>
      <c r="AB289" s="64"/>
      <c r="AC289" s="64"/>
      <c r="AF289" s="64"/>
      <c r="AG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K290" s="65"/>
      <c r="L290" s="64"/>
      <c r="M290" s="64"/>
      <c r="N290" s="64"/>
      <c r="O290" s="64"/>
      <c r="R290" s="64"/>
      <c r="S290" s="64"/>
      <c r="T290" s="64"/>
      <c r="U290" s="64"/>
      <c r="V290" s="64"/>
      <c r="Y290" s="64"/>
      <c r="Z290" s="64"/>
      <c r="AA290" s="64"/>
      <c r="AB290" s="64"/>
      <c r="AC290" s="64"/>
      <c r="AF290" s="64"/>
      <c r="AG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K291" s="65"/>
      <c r="L291" s="64"/>
      <c r="M291" s="64"/>
      <c r="N291" s="64"/>
      <c r="O291" s="64"/>
      <c r="R291" s="64"/>
      <c r="S291" s="64"/>
      <c r="T291" s="64"/>
      <c r="U291" s="64"/>
      <c r="V291" s="64"/>
      <c r="Y291" s="64"/>
      <c r="Z291" s="64"/>
      <c r="AA291" s="64"/>
      <c r="AB291" s="64"/>
      <c r="AC291" s="64"/>
      <c r="AF291" s="64"/>
      <c r="AG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K292" s="65"/>
      <c r="L292" s="64"/>
      <c r="M292" s="64"/>
      <c r="N292" s="64"/>
      <c r="O292" s="64"/>
      <c r="R292" s="64"/>
      <c r="S292" s="64"/>
      <c r="T292" s="64"/>
      <c r="U292" s="64"/>
      <c r="V292" s="64"/>
      <c r="Y292" s="64"/>
      <c r="Z292" s="64"/>
      <c r="AA292" s="64"/>
      <c r="AB292" s="64"/>
      <c r="AC292" s="64"/>
      <c r="AF292" s="64"/>
      <c r="AG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K293" s="65"/>
      <c r="L293" s="64"/>
      <c r="M293" s="64"/>
      <c r="N293" s="64"/>
      <c r="O293" s="64"/>
      <c r="R293" s="64"/>
      <c r="S293" s="64"/>
      <c r="T293" s="64"/>
      <c r="U293" s="64"/>
      <c r="V293" s="64"/>
      <c r="Y293" s="64"/>
      <c r="Z293" s="64"/>
      <c r="AA293" s="64"/>
      <c r="AB293" s="64"/>
      <c r="AC293" s="64"/>
      <c r="AF293" s="64"/>
      <c r="AG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K294" s="65"/>
      <c r="L294" s="64"/>
      <c r="M294" s="64"/>
      <c r="N294" s="64"/>
      <c r="O294" s="64"/>
      <c r="R294" s="64"/>
      <c r="S294" s="64"/>
      <c r="T294" s="64"/>
      <c r="U294" s="64"/>
      <c r="V294" s="64"/>
      <c r="Y294" s="64"/>
      <c r="Z294" s="64"/>
      <c r="AA294" s="64"/>
      <c r="AB294" s="64"/>
      <c r="AC294" s="64"/>
      <c r="AF294" s="64"/>
      <c r="AG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K295" s="65"/>
      <c r="L295" s="64"/>
      <c r="M295" s="64"/>
      <c r="N295" s="64"/>
      <c r="O295" s="64"/>
      <c r="R295" s="64"/>
      <c r="S295" s="64"/>
      <c r="T295" s="64"/>
      <c r="U295" s="64"/>
      <c r="V295" s="64"/>
      <c r="Y295" s="64"/>
      <c r="Z295" s="64"/>
      <c r="AA295" s="64"/>
      <c r="AB295" s="64"/>
      <c r="AC295" s="64"/>
      <c r="AF295" s="64"/>
      <c r="AG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K296" s="65"/>
      <c r="L296" s="64"/>
      <c r="M296" s="64"/>
      <c r="N296" s="64"/>
      <c r="O296" s="64"/>
      <c r="R296" s="64"/>
      <c r="S296" s="64"/>
      <c r="T296" s="64"/>
      <c r="U296" s="64"/>
      <c r="V296" s="64"/>
      <c r="Y296" s="64"/>
      <c r="Z296" s="64"/>
      <c r="AA296" s="64"/>
      <c r="AB296" s="64"/>
      <c r="AC296" s="64"/>
      <c r="AF296" s="64"/>
      <c r="AG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K297" s="65"/>
      <c r="L297" s="64"/>
      <c r="M297" s="64"/>
      <c r="N297" s="64"/>
      <c r="O297" s="64"/>
      <c r="R297" s="64"/>
      <c r="S297" s="64"/>
      <c r="T297" s="64"/>
      <c r="U297" s="64"/>
      <c r="V297" s="64"/>
      <c r="Y297" s="64"/>
      <c r="Z297" s="64"/>
      <c r="AA297" s="64"/>
      <c r="AB297" s="64"/>
      <c r="AC297" s="64"/>
      <c r="AF297" s="64"/>
      <c r="AG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K298" s="65"/>
      <c r="L298" s="64"/>
      <c r="M298" s="64"/>
      <c r="N298" s="64"/>
      <c r="O298" s="64"/>
      <c r="R298" s="64"/>
      <c r="S298" s="64"/>
      <c r="T298" s="64"/>
      <c r="U298" s="64"/>
      <c r="V298" s="64"/>
      <c r="Y298" s="64"/>
      <c r="Z298" s="64"/>
      <c r="AA298" s="64"/>
      <c r="AB298" s="64"/>
      <c r="AC298" s="64"/>
      <c r="AF298" s="64"/>
      <c r="AG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K299" s="65"/>
      <c r="L299" s="64"/>
      <c r="M299" s="64"/>
      <c r="N299" s="64"/>
      <c r="O299" s="64"/>
      <c r="R299" s="64"/>
      <c r="S299" s="64"/>
      <c r="T299" s="64"/>
      <c r="U299" s="64"/>
      <c r="V299" s="64"/>
      <c r="Y299" s="64"/>
      <c r="Z299" s="64"/>
      <c r="AA299" s="64"/>
      <c r="AB299" s="64"/>
      <c r="AC299" s="64"/>
      <c r="AF299" s="64"/>
      <c r="AG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K300" s="65"/>
      <c r="L300" s="64"/>
      <c r="M300" s="64"/>
      <c r="N300" s="64"/>
      <c r="O300" s="64"/>
      <c r="R300" s="64"/>
      <c r="S300" s="64"/>
      <c r="T300" s="64"/>
      <c r="U300" s="64"/>
      <c r="V300" s="64"/>
      <c r="Y300" s="64"/>
      <c r="Z300" s="64"/>
      <c r="AA300" s="64"/>
      <c r="AB300" s="64"/>
      <c r="AC300" s="64"/>
      <c r="AF300" s="64"/>
      <c r="AG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K301" s="65"/>
      <c r="L301" s="64"/>
      <c r="M301" s="64"/>
      <c r="N301" s="64"/>
      <c r="O301" s="64"/>
      <c r="R301" s="64"/>
      <c r="S301" s="64"/>
      <c r="T301" s="64"/>
      <c r="U301" s="64"/>
      <c r="V301" s="64"/>
      <c r="Y301" s="64"/>
      <c r="Z301" s="64"/>
      <c r="AA301" s="64"/>
      <c r="AB301" s="64"/>
      <c r="AC301" s="64"/>
      <c r="AF301" s="64"/>
      <c r="AG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K302" s="65"/>
      <c r="L302" s="64"/>
      <c r="M302" s="64"/>
      <c r="N302" s="64"/>
      <c r="O302" s="64"/>
      <c r="R302" s="64"/>
      <c r="S302" s="64"/>
      <c r="T302" s="64"/>
      <c r="U302" s="64"/>
      <c r="V302" s="64"/>
      <c r="Y302" s="64"/>
      <c r="Z302" s="64"/>
      <c r="AA302" s="64"/>
      <c r="AB302" s="64"/>
      <c r="AC302" s="64"/>
      <c r="AF302" s="64"/>
      <c r="AG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K303" s="65"/>
      <c r="L303" s="64"/>
      <c r="M303" s="64"/>
      <c r="N303" s="64"/>
      <c r="O303" s="64"/>
      <c r="R303" s="64"/>
      <c r="S303" s="64"/>
      <c r="T303" s="64"/>
      <c r="U303" s="64"/>
      <c r="V303" s="64"/>
      <c r="Y303" s="64"/>
      <c r="Z303" s="64"/>
      <c r="AA303" s="64"/>
      <c r="AB303" s="64"/>
      <c r="AC303" s="64"/>
      <c r="AF303" s="64"/>
      <c r="AG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K304" s="65"/>
      <c r="L304" s="64"/>
      <c r="M304" s="64"/>
      <c r="N304" s="64"/>
      <c r="O304" s="64"/>
      <c r="R304" s="64"/>
      <c r="S304" s="64"/>
      <c r="T304" s="64"/>
      <c r="U304" s="64"/>
      <c r="V304" s="64"/>
      <c r="Y304" s="64"/>
      <c r="Z304" s="64"/>
      <c r="AA304" s="64"/>
      <c r="AB304" s="64"/>
      <c r="AC304" s="64"/>
      <c r="AF304" s="64"/>
      <c r="AG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K305" s="65"/>
      <c r="L305" s="64"/>
      <c r="M305" s="64"/>
      <c r="N305" s="64"/>
      <c r="O305" s="64"/>
      <c r="R305" s="64"/>
      <c r="S305" s="64"/>
      <c r="T305" s="64"/>
      <c r="U305" s="64"/>
      <c r="V305" s="64"/>
      <c r="Y305" s="64"/>
      <c r="Z305" s="64"/>
      <c r="AA305" s="64"/>
      <c r="AB305" s="64"/>
      <c r="AC305" s="64"/>
      <c r="AF305" s="64"/>
      <c r="AG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K306" s="65"/>
      <c r="L306" s="64"/>
      <c r="M306" s="64"/>
      <c r="N306" s="64"/>
      <c r="O306" s="64"/>
      <c r="R306" s="64"/>
      <c r="S306" s="64"/>
      <c r="T306" s="64"/>
      <c r="U306" s="64"/>
      <c r="V306" s="64"/>
      <c r="Y306" s="64"/>
      <c r="Z306" s="64"/>
      <c r="AA306" s="64"/>
      <c r="AB306" s="64"/>
      <c r="AC306" s="64"/>
      <c r="AF306" s="64"/>
      <c r="AG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K307" s="65"/>
      <c r="L307" s="64"/>
      <c r="M307" s="64"/>
      <c r="N307" s="64"/>
      <c r="O307" s="64"/>
      <c r="R307" s="64"/>
      <c r="S307" s="64"/>
      <c r="T307" s="64"/>
      <c r="U307" s="64"/>
      <c r="V307" s="64"/>
      <c r="Y307" s="64"/>
      <c r="Z307" s="64"/>
      <c r="AA307" s="64"/>
      <c r="AB307" s="64"/>
      <c r="AC307" s="64"/>
      <c r="AF307" s="64"/>
      <c r="AG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K308" s="65"/>
      <c r="L308" s="64"/>
      <c r="M308" s="64"/>
      <c r="N308" s="64"/>
      <c r="O308" s="64"/>
      <c r="R308" s="64"/>
      <c r="S308" s="64"/>
      <c r="T308" s="64"/>
      <c r="U308" s="64"/>
      <c r="V308" s="64"/>
      <c r="Y308" s="64"/>
      <c r="Z308" s="64"/>
      <c r="AA308" s="64"/>
      <c r="AB308" s="64"/>
      <c r="AC308" s="64"/>
      <c r="AF308" s="64"/>
      <c r="AG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K309" s="65"/>
      <c r="L309" s="64"/>
      <c r="M309" s="64"/>
      <c r="N309" s="64"/>
      <c r="O309" s="64"/>
      <c r="R309" s="64"/>
      <c r="S309" s="64"/>
      <c r="T309" s="64"/>
      <c r="U309" s="64"/>
      <c r="V309" s="64"/>
      <c r="Y309" s="64"/>
      <c r="Z309" s="64"/>
      <c r="AA309" s="64"/>
      <c r="AB309" s="64"/>
      <c r="AC309" s="64"/>
      <c r="AF309" s="64"/>
      <c r="AG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K310" s="65"/>
      <c r="L310" s="64"/>
      <c r="M310" s="64"/>
      <c r="N310" s="64"/>
      <c r="O310" s="64"/>
      <c r="R310" s="64"/>
      <c r="S310" s="64"/>
      <c r="T310" s="64"/>
      <c r="U310" s="64"/>
      <c r="V310" s="64"/>
      <c r="Y310" s="64"/>
      <c r="Z310" s="64"/>
      <c r="AA310" s="64"/>
      <c r="AB310" s="64"/>
      <c r="AC310" s="64"/>
      <c r="AF310" s="64"/>
      <c r="AG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K311" s="65"/>
      <c r="L311" s="64"/>
      <c r="M311" s="64"/>
      <c r="N311" s="64"/>
      <c r="O311" s="64"/>
      <c r="R311" s="64"/>
      <c r="S311" s="64"/>
      <c r="T311" s="64"/>
      <c r="U311" s="64"/>
      <c r="V311" s="64"/>
      <c r="Y311" s="64"/>
      <c r="Z311" s="64"/>
      <c r="AA311" s="64"/>
      <c r="AB311" s="64"/>
      <c r="AC311" s="64"/>
      <c r="AF311" s="64"/>
      <c r="AG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K312" s="65"/>
      <c r="L312" s="64"/>
      <c r="M312" s="64"/>
      <c r="N312" s="64"/>
      <c r="O312" s="64"/>
      <c r="R312" s="64"/>
      <c r="S312" s="64"/>
      <c r="T312" s="64"/>
      <c r="U312" s="64"/>
      <c r="V312" s="64"/>
      <c r="Y312" s="64"/>
      <c r="Z312" s="64"/>
      <c r="AA312" s="64"/>
      <c r="AB312" s="64"/>
      <c r="AC312" s="64"/>
      <c r="AF312" s="64"/>
      <c r="AG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K313" s="65"/>
      <c r="L313" s="64"/>
      <c r="M313" s="64"/>
      <c r="N313" s="64"/>
      <c r="O313" s="64"/>
      <c r="R313" s="64"/>
      <c r="S313" s="64"/>
      <c r="T313" s="64"/>
      <c r="U313" s="64"/>
      <c r="V313" s="64"/>
      <c r="Y313" s="64"/>
      <c r="Z313" s="64"/>
      <c r="AA313" s="64"/>
      <c r="AB313" s="64"/>
      <c r="AC313" s="64"/>
      <c r="AF313" s="64"/>
      <c r="AG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K314" s="65"/>
      <c r="L314" s="64"/>
      <c r="M314" s="64"/>
      <c r="N314" s="64"/>
      <c r="O314" s="64"/>
      <c r="R314" s="64"/>
      <c r="S314" s="64"/>
      <c r="T314" s="64"/>
      <c r="U314" s="64"/>
      <c r="V314" s="64"/>
      <c r="Y314" s="64"/>
      <c r="Z314" s="64"/>
      <c r="AA314" s="64"/>
      <c r="AB314" s="64"/>
      <c r="AC314" s="64"/>
      <c r="AF314" s="64"/>
      <c r="AG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K315" s="65"/>
      <c r="L315" s="64"/>
      <c r="M315" s="64"/>
      <c r="N315" s="64"/>
      <c r="O315" s="64"/>
      <c r="R315" s="64"/>
      <c r="S315" s="64"/>
      <c r="T315" s="64"/>
      <c r="U315" s="64"/>
      <c r="V315" s="64"/>
      <c r="Y315" s="64"/>
      <c r="Z315" s="64"/>
      <c r="AA315" s="64"/>
      <c r="AB315" s="64"/>
      <c r="AC315" s="64"/>
      <c r="AF315" s="64"/>
      <c r="AG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K316" s="65"/>
      <c r="L316" s="64"/>
      <c r="M316" s="64"/>
      <c r="N316" s="64"/>
      <c r="O316" s="64"/>
      <c r="R316" s="64"/>
      <c r="S316" s="64"/>
      <c r="T316" s="64"/>
      <c r="U316" s="64"/>
      <c r="V316" s="64"/>
      <c r="Y316" s="64"/>
      <c r="Z316" s="64"/>
      <c r="AA316" s="64"/>
      <c r="AB316" s="64"/>
      <c r="AC316" s="64"/>
      <c r="AF316" s="64"/>
      <c r="AG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K317" s="65"/>
      <c r="L317" s="64"/>
      <c r="M317" s="64"/>
      <c r="N317" s="64"/>
      <c r="O317" s="64"/>
      <c r="R317" s="64"/>
      <c r="S317" s="64"/>
      <c r="T317" s="64"/>
      <c r="U317" s="64"/>
      <c r="V317" s="64"/>
      <c r="Y317" s="64"/>
      <c r="Z317" s="64"/>
      <c r="AA317" s="64"/>
      <c r="AB317" s="64"/>
      <c r="AC317" s="64"/>
      <c r="AF317" s="64"/>
      <c r="AG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K318" s="65"/>
      <c r="L318" s="64"/>
      <c r="M318" s="64"/>
      <c r="N318" s="64"/>
      <c r="O318" s="64"/>
      <c r="R318" s="64"/>
      <c r="S318" s="64"/>
      <c r="T318" s="64"/>
      <c r="U318" s="64"/>
      <c r="V318" s="64"/>
      <c r="Y318" s="64"/>
      <c r="Z318" s="64"/>
      <c r="AA318" s="64"/>
      <c r="AB318" s="64"/>
      <c r="AC318" s="64"/>
      <c r="AF318" s="64"/>
      <c r="AG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K319" s="65"/>
      <c r="L319" s="64"/>
      <c r="M319" s="64"/>
      <c r="N319" s="64"/>
      <c r="O319" s="64"/>
      <c r="R319" s="64"/>
      <c r="S319" s="64"/>
      <c r="T319" s="64"/>
      <c r="U319" s="64"/>
      <c r="V319" s="64"/>
      <c r="Y319" s="64"/>
      <c r="Z319" s="64"/>
      <c r="AA319" s="64"/>
      <c r="AB319" s="64"/>
      <c r="AC319" s="64"/>
      <c r="AF319" s="64"/>
      <c r="AG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K320" s="65"/>
      <c r="L320" s="64"/>
      <c r="M320" s="64"/>
      <c r="N320" s="64"/>
      <c r="O320" s="64"/>
      <c r="R320" s="64"/>
      <c r="S320" s="64"/>
      <c r="T320" s="64"/>
      <c r="U320" s="64"/>
      <c r="V320" s="64"/>
      <c r="Y320" s="64"/>
      <c r="Z320" s="64"/>
      <c r="AA320" s="64"/>
      <c r="AB320" s="64"/>
      <c r="AC320" s="64"/>
      <c r="AF320" s="64"/>
      <c r="AG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K321" s="65"/>
      <c r="L321" s="64"/>
      <c r="M321" s="64"/>
      <c r="N321" s="64"/>
      <c r="O321" s="64"/>
      <c r="R321" s="64"/>
      <c r="S321" s="64"/>
      <c r="T321" s="64"/>
      <c r="U321" s="64"/>
      <c r="V321" s="64"/>
      <c r="Y321" s="64"/>
      <c r="Z321" s="64"/>
      <c r="AA321" s="64"/>
      <c r="AB321" s="64"/>
      <c r="AC321" s="64"/>
      <c r="AF321" s="64"/>
      <c r="AG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K322" s="65"/>
      <c r="L322" s="64"/>
      <c r="M322" s="64"/>
      <c r="N322" s="64"/>
      <c r="O322" s="64"/>
      <c r="R322" s="64"/>
      <c r="S322" s="64"/>
      <c r="T322" s="64"/>
      <c r="U322" s="64"/>
      <c r="V322" s="64"/>
      <c r="Y322" s="64"/>
      <c r="Z322" s="64"/>
      <c r="AA322" s="64"/>
      <c r="AB322" s="64"/>
      <c r="AC322" s="64"/>
      <c r="AF322" s="64"/>
      <c r="AG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K323" s="65"/>
      <c r="L323" s="64"/>
      <c r="M323" s="64"/>
      <c r="N323" s="64"/>
      <c r="O323" s="64"/>
      <c r="R323" s="64"/>
      <c r="S323" s="64"/>
      <c r="T323" s="64"/>
      <c r="U323" s="64"/>
      <c r="V323" s="64"/>
      <c r="Y323" s="64"/>
      <c r="Z323" s="64"/>
      <c r="AA323" s="64"/>
      <c r="AB323" s="64"/>
      <c r="AC323" s="64"/>
      <c r="AF323" s="64"/>
      <c r="AG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K324" s="65"/>
      <c r="L324" s="64"/>
      <c r="M324" s="64"/>
      <c r="N324" s="64"/>
      <c r="O324" s="64"/>
      <c r="R324" s="64"/>
      <c r="S324" s="64"/>
      <c r="T324" s="64"/>
      <c r="U324" s="64"/>
      <c r="V324" s="64"/>
      <c r="Y324" s="64"/>
      <c r="Z324" s="64"/>
      <c r="AA324" s="64"/>
      <c r="AB324" s="64"/>
      <c r="AC324" s="64"/>
      <c r="AF324" s="64"/>
      <c r="AG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K325" s="65"/>
      <c r="L325" s="64"/>
      <c r="M325" s="64"/>
      <c r="N325" s="64"/>
      <c r="O325" s="64"/>
      <c r="R325" s="64"/>
      <c r="S325" s="64"/>
      <c r="T325" s="64"/>
      <c r="U325" s="64"/>
      <c r="V325" s="64"/>
      <c r="Y325" s="64"/>
      <c r="Z325" s="64"/>
      <c r="AA325" s="64"/>
      <c r="AB325" s="64"/>
      <c r="AC325" s="64"/>
      <c r="AF325" s="64"/>
      <c r="AG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K326" s="65"/>
      <c r="L326" s="64"/>
      <c r="M326" s="64"/>
      <c r="N326" s="64"/>
      <c r="O326" s="64"/>
      <c r="R326" s="64"/>
      <c r="S326" s="64"/>
      <c r="T326" s="64"/>
      <c r="U326" s="64"/>
      <c r="V326" s="64"/>
      <c r="Y326" s="64"/>
      <c r="Z326" s="64"/>
      <c r="AA326" s="64"/>
      <c r="AB326" s="64"/>
      <c r="AC326" s="64"/>
      <c r="AF326" s="64"/>
      <c r="AG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K327" s="65"/>
      <c r="L327" s="64"/>
      <c r="M327" s="64"/>
      <c r="N327" s="64"/>
      <c r="O327" s="64"/>
      <c r="R327" s="64"/>
      <c r="S327" s="64"/>
      <c r="T327" s="64"/>
      <c r="U327" s="64"/>
      <c r="V327" s="64"/>
      <c r="Y327" s="64"/>
      <c r="Z327" s="64"/>
      <c r="AA327" s="64"/>
      <c r="AB327" s="64"/>
      <c r="AC327" s="64"/>
      <c r="AF327" s="64"/>
      <c r="AG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K328" s="65"/>
      <c r="L328" s="64"/>
      <c r="M328" s="64"/>
      <c r="N328" s="64"/>
      <c r="O328" s="64"/>
      <c r="R328" s="64"/>
      <c r="S328" s="64"/>
      <c r="T328" s="64"/>
      <c r="U328" s="64"/>
      <c r="V328" s="64"/>
      <c r="Y328" s="64"/>
      <c r="Z328" s="64"/>
      <c r="AA328" s="64"/>
      <c r="AB328" s="64"/>
      <c r="AC328" s="64"/>
      <c r="AF328" s="64"/>
      <c r="AG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K329" s="65"/>
      <c r="L329" s="64"/>
      <c r="M329" s="64"/>
      <c r="N329" s="64"/>
      <c r="O329" s="64"/>
      <c r="R329" s="64"/>
      <c r="S329" s="64"/>
      <c r="T329" s="64"/>
      <c r="U329" s="64"/>
      <c r="V329" s="64"/>
      <c r="Y329" s="64"/>
      <c r="Z329" s="64"/>
      <c r="AA329" s="64"/>
      <c r="AB329" s="64"/>
      <c r="AC329" s="64"/>
      <c r="AF329" s="64"/>
      <c r="AG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K330" s="65"/>
      <c r="L330" s="64"/>
      <c r="M330" s="64"/>
      <c r="N330" s="64"/>
      <c r="O330" s="64"/>
      <c r="R330" s="64"/>
      <c r="S330" s="64"/>
      <c r="T330" s="64"/>
      <c r="U330" s="64"/>
      <c r="V330" s="64"/>
      <c r="Y330" s="64"/>
      <c r="Z330" s="64"/>
      <c r="AA330" s="64"/>
      <c r="AB330" s="64"/>
      <c r="AC330" s="64"/>
      <c r="AF330" s="64"/>
      <c r="AG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K331" s="65"/>
      <c r="L331" s="64"/>
      <c r="M331" s="64"/>
      <c r="N331" s="64"/>
      <c r="O331" s="64"/>
      <c r="R331" s="64"/>
      <c r="S331" s="64"/>
      <c r="T331" s="64"/>
      <c r="U331" s="64"/>
      <c r="V331" s="64"/>
      <c r="Y331" s="64"/>
      <c r="Z331" s="64"/>
      <c r="AA331" s="64"/>
      <c r="AB331" s="64"/>
      <c r="AC331" s="64"/>
      <c r="AF331" s="64"/>
      <c r="AG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K332" s="65"/>
      <c r="L332" s="64"/>
      <c r="M332" s="64"/>
      <c r="N332" s="64"/>
      <c r="O332" s="64"/>
      <c r="R332" s="64"/>
      <c r="S332" s="64"/>
      <c r="T332" s="64"/>
      <c r="U332" s="64"/>
      <c r="V332" s="64"/>
      <c r="Y332" s="64"/>
      <c r="Z332" s="64"/>
      <c r="AA332" s="64"/>
      <c r="AB332" s="64"/>
      <c r="AC332" s="64"/>
      <c r="AF332" s="64"/>
      <c r="AG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K333" s="65"/>
      <c r="L333" s="64"/>
      <c r="M333" s="64"/>
      <c r="N333" s="64"/>
      <c r="O333" s="64"/>
      <c r="R333" s="64"/>
      <c r="S333" s="64"/>
      <c r="T333" s="64"/>
      <c r="U333" s="64"/>
      <c r="V333" s="64"/>
      <c r="Y333" s="64"/>
      <c r="Z333" s="64"/>
      <c r="AA333" s="64"/>
      <c r="AB333" s="64"/>
      <c r="AC333" s="64"/>
      <c r="AF333" s="64"/>
      <c r="AG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K334" s="65"/>
      <c r="L334" s="64"/>
      <c r="M334" s="64"/>
      <c r="N334" s="64"/>
      <c r="O334" s="64"/>
      <c r="R334" s="64"/>
      <c r="S334" s="64"/>
      <c r="T334" s="64"/>
      <c r="U334" s="64"/>
      <c r="V334" s="64"/>
      <c r="Y334" s="64"/>
      <c r="Z334" s="64"/>
      <c r="AA334" s="64"/>
      <c r="AB334" s="64"/>
      <c r="AC334" s="64"/>
      <c r="AF334" s="64"/>
      <c r="AG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K335" s="65"/>
      <c r="L335" s="64"/>
      <c r="M335" s="64"/>
      <c r="N335" s="64"/>
      <c r="O335" s="64"/>
      <c r="R335" s="64"/>
      <c r="S335" s="64"/>
      <c r="T335" s="64"/>
      <c r="U335" s="64"/>
      <c r="V335" s="64"/>
      <c r="Y335" s="64"/>
      <c r="Z335" s="64"/>
      <c r="AA335" s="64"/>
      <c r="AB335" s="64"/>
      <c r="AC335" s="64"/>
      <c r="AF335" s="64"/>
      <c r="AG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K336" s="65"/>
      <c r="L336" s="64"/>
      <c r="M336" s="64"/>
      <c r="N336" s="64"/>
      <c r="O336" s="64"/>
      <c r="R336" s="64"/>
      <c r="S336" s="64"/>
      <c r="T336" s="64"/>
      <c r="U336" s="64"/>
      <c r="V336" s="64"/>
      <c r="Y336" s="64"/>
      <c r="Z336" s="64"/>
      <c r="AA336" s="64"/>
      <c r="AB336" s="64"/>
      <c r="AC336" s="64"/>
      <c r="AF336" s="64"/>
      <c r="AG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K337" s="65"/>
      <c r="L337" s="64"/>
      <c r="M337" s="64"/>
      <c r="N337" s="64"/>
      <c r="O337" s="64"/>
      <c r="R337" s="64"/>
      <c r="S337" s="64"/>
      <c r="T337" s="64"/>
      <c r="U337" s="64"/>
      <c r="V337" s="64"/>
      <c r="Y337" s="64"/>
      <c r="Z337" s="64"/>
      <c r="AA337" s="64"/>
      <c r="AB337" s="64"/>
      <c r="AC337" s="64"/>
      <c r="AF337" s="64"/>
      <c r="AG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K338" s="65"/>
      <c r="L338" s="64"/>
      <c r="M338" s="64"/>
      <c r="N338" s="64"/>
      <c r="O338" s="64"/>
      <c r="R338" s="64"/>
      <c r="S338" s="64"/>
      <c r="T338" s="64"/>
      <c r="U338" s="64"/>
      <c r="V338" s="64"/>
      <c r="Y338" s="64"/>
      <c r="Z338" s="64"/>
      <c r="AA338" s="64"/>
      <c r="AB338" s="64"/>
      <c r="AC338" s="64"/>
      <c r="AF338" s="64"/>
      <c r="AG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K339" s="65"/>
      <c r="L339" s="64"/>
      <c r="M339" s="64"/>
      <c r="N339" s="64"/>
      <c r="O339" s="64"/>
      <c r="R339" s="64"/>
      <c r="S339" s="64"/>
      <c r="T339" s="64"/>
      <c r="U339" s="64"/>
      <c r="V339" s="64"/>
      <c r="Y339" s="64"/>
      <c r="Z339" s="64"/>
      <c r="AA339" s="64"/>
      <c r="AB339" s="64"/>
      <c r="AC339" s="64"/>
      <c r="AF339" s="64"/>
      <c r="AG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88" priority="8" operator="lessThan">
      <formula>0</formula>
    </cfRule>
  </conditionalFormatting>
  <conditionalFormatting sqref="M80 P80 R80:AJ80 F131:H131 J131">
    <cfRule type="cellIs" dxfId="87" priority="11" operator="lessThan">
      <formula>0</formula>
    </cfRule>
  </conditionalFormatting>
  <conditionalFormatting sqref="M120:X123">
    <cfRule type="cellIs" dxfId="86" priority="9" operator="lessThan">
      <formula>0</formula>
    </cfRule>
  </conditionalFormatting>
  <conditionalFormatting sqref="M128:X132">
    <cfRule type="cellIs" dxfId="85" priority="6" operator="lessThan">
      <formula>0</formula>
    </cfRule>
  </conditionalFormatting>
  <conditionalFormatting sqref="M77:AJ79 F77:L87 M81:AJ87 F88:AK117 M118:AJ119 F118:J130 K118:L132 AK118:AK135 F132:J135 K134:AJ135">
    <cfRule type="cellIs" dxfId="84" priority="7" operator="lessThan">
      <formula>0</formula>
    </cfRule>
  </conditionalFormatting>
  <conditionalFormatting sqref="M124:AJ124 M125:X126 M127:Q127 S127:X127">
    <cfRule type="cellIs" dxfId="83" priority="10" operator="lessThan">
      <formula>0</formula>
    </cfRule>
  </conditionalFormatting>
  <conditionalFormatting sqref="Z120:AJ123">
    <cfRule type="cellIs" dxfId="82" priority="5" operator="lessThan">
      <formula>0</formula>
    </cfRule>
  </conditionalFormatting>
  <conditionalFormatting sqref="Z125:AJ133">
    <cfRule type="cellIs" dxfId="81" priority="4" operator="lessThan">
      <formula>0</formula>
    </cfRule>
  </conditionalFormatting>
  <conditionalFormatting sqref="AK29:AK30">
    <cfRule type="cellIs" dxfId="80" priority="3" operator="lessThan">
      <formula>0</formula>
    </cfRule>
  </conditionalFormatting>
  <conditionalFormatting sqref="F29:AJ30">
    <cfRule type="cellIs" dxfId="7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5712-36FE-4493-825E-E5F085B6886B}">
  <dimension ref="A1:AS339"/>
  <sheetViews>
    <sheetView zoomScale="80" zoomScaleNormal="80" workbookViewId="0">
      <pane xSplit="1" ySplit="2" topLeftCell="B8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8" bestFit="1" customWidth="1"/>
    <col min="7" max="7" width="6.140625" style="64" customWidth="1"/>
    <col min="8" max="8" width="4.5703125" style="64" bestFit="1" customWidth="1"/>
    <col min="9" max="11" width="5.5703125" style="64" bestFit="1" customWidth="1"/>
    <col min="12" max="12" width="5.5703125" style="68" customWidth="1"/>
    <col min="13" max="13" width="5.5703125" style="68" bestFit="1" customWidth="1"/>
    <col min="14" max="16" width="5.5703125" style="64" bestFit="1" customWidth="1"/>
    <col min="17" max="17" width="6.140625" style="64" customWidth="1"/>
    <col min="18" max="18" width="5.5703125" style="64" customWidth="1"/>
    <col min="19" max="19" width="6.7109375" style="68" bestFit="1" customWidth="1"/>
    <col min="20" max="20" width="4.5703125" style="68" bestFit="1" customWidth="1"/>
    <col min="21" max="21" width="5.140625" style="64" bestFit="1" customWidth="1"/>
    <col min="22" max="22" width="5.5703125" style="64" bestFit="1" customWidth="1"/>
    <col min="23" max="23" width="4.5703125" style="64" bestFit="1" customWidth="1"/>
    <col min="24" max="25" width="5.5703125" style="64" bestFit="1" customWidth="1"/>
    <col min="26" max="26" width="5.5703125" style="68" bestFit="1" customWidth="1"/>
    <col min="27" max="27" width="6.7109375" style="68" bestFit="1" customWidth="1"/>
    <col min="28" max="28" width="5.140625" style="64" bestFit="1" customWidth="1"/>
    <col min="29" max="29" width="5" style="64" bestFit="1" customWidth="1"/>
    <col min="30" max="30" width="6.7109375" style="64" bestFit="1" customWidth="1"/>
    <col min="31" max="31" width="5.5703125" style="64" bestFit="1" customWidth="1"/>
    <col min="32" max="32" width="4.5703125" style="64" bestFit="1" customWidth="1"/>
    <col min="33" max="33" width="4.5703125" style="68" bestFit="1" customWidth="1"/>
    <col min="34" max="34" width="5.7109375" style="68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20" t="s">
        <v>337</v>
      </c>
      <c r="G1" s="116" t="s">
        <v>338</v>
      </c>
      <c r="H1" s="116" t="s">
        <v>339</v>
      </c>
      <c r="I1" s="116" t="s">
        <v>333</v>
      </c>
      <c r="J1" s="116" t="s">
        <v>334</v>
      </c>
      <c r="K1" s="116" t="s">
        <v>335</v>
      </c>
      <c r="L1" s="120" t="s">
        <v>336</v>
      </c>
      <c r="M1" s="120" t="s">
        <v>337</v>
      </c>
      <c r="N1" s="116" t="s">
        <v>338</v>
      </c>
      <c r="O1" s="116" t="s">
        <v>339</v>
      </c>
      <c r="P1" s="116" t="s">
        <v>333</v>
      </c>
      <c r="Q1" s="116" t="s">
        <v>334</v>
      </c>
      <c r="R1" s="116" t="s">
        <v>335</v>
      </c>
      <c r="S1" s="120" t="s">
        <v>336</v>
      </c>
      <c r="T1" s="120" t="s">
        <v>337</v>
      </c>
      <c r="U1" s="116" t="s">
        <v>338</v>
      </c>
      <c r="V1" s="116" t="s">
        <v>339</v>
      </c>
      <c r="W1" s="116" t="s">
        <v>333</v>
      </c>
      <c r="X1" s="116" t="s">
        <v>334</v>
      </c>
      <c r="Y1" s="116" t="s">
        <v>335</v>
      </c>
      <c r="Z1" s="120" t="s">
        <v>336</v>
      </c>
      <c r="AA1" s="120" t="s">
        <v>337</v>
      </c>
      <c r="AB1" s="116" t="s">
        <v>338</v>
      </c>
      <c r="AC1" s="116" t="s">
        <v>339</v>
      </c>
      <c r="AD1" s="116" t="s">
        <v>333</v>
      </c>
      <c r="AE1" s="116" t="s">
        <v>334</v>
      </c>
      <c r="AF1" s="116" t="s">
        <v>335</v>
      </c>
      <c r="AG1" s="120" t="s">
        <v>336</v>
      </c>
      <c r="AH1" s="120" t="s">
        <v>337</v>
      </c>
      <c r="AI1" s="116" t="s">
        <v>338</v>
      </c>
      <c r="AJ1" s="116" t="s">
        <v>339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29">
        <v>46600</v>
      </c>
      <c r="G2" s="112">
        <v>46601</v>
      </c>
      <c r="H2" s="112">
        <v>46602</v>
      </c>
      <c r="I2" s="112">
        <v>46603</v>
      </c>
      <c r="J2" s="112">
        <v>46604</v>
      </c>
      <c r="K2" s="112">
        <v>46605</v>
      </c>
      <c r="L2" s="129">
        <v>46606</v>
      </c>
      <c r="M2" s="129">
        <v>46607</v>
      </c>
      <c r="N2" s="112">
        <v>46608</v>
      </c>
      <c r="O2" s="112">
        <v>46609</v>
      </c>
      <c r="P2" s="112">
        <v>46610</v>
      </c>
      <c r="Q2" s="112">
        <v>46611</v>
      </c>
      <c r="R2" s="112">
        <v>46612</v>
      </c>
      <c r="S2" s="129">
        <v>46613</v>
      </c>
      <c r="T2" s="129">
        <v>46614</v>
      </c>
      <c r="U2" s="112">
        <v>46615</v>
      </c>
      <c r="V2" s="112">
        <v>46616</v>
      </c>
      <c r="W2" s="112">
        <v>46617</v>
      </c>
      <c r="X2" s="112">
        <v>46618</v>
      </c>
      <c r="Y2" s="112">
        <v>46619</v>
      </c>
      <c r="Z2" s="129">
        <v>46620</v>
      </c>
      <c r="AA2" s="129">
        <v>46621</v>
      </c>
      <c r="AB2" s="112">
        <v>46622</v>
      </c>
      <c r="AC2" s="112">
        <v>46623</v>
      </c>
      <c r="AD2" s="112">
        <v>46624</v>
      </c>
      <c r="AE2" s="112">
        <v>46625</v>
      </c>
      <c r="AF2" s="112">
        <v>46626</v>
      </c>
      <c r="AG2" s="129">
        <v>46627</v>
      </c>
      <c r="AH2" s="129">
        <v>46628</v>
      </c>
      <c r="AI2" s="112">
        <v>46629</v>
      </c>
      <c r="AJ2" s="112">
        <v>46630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120"/>
      <c r="G4" s="70"/>
      <c r="H4" s="70"/>
      <c r="I4" s="70"/>
      <c r="J4" s="70"/>
      <c r="K4" s="70"/>
      <c r="L4" s="120"/>
      <c r="M4" s="120"/>
      <c r="N4" s="70"/>
      <c r="O4" s="70"/>
      <c r="P4" s="70"/>
      <c r="Q4" s="70"/>
      <c r="R4" s="70"/>
      <c r="S4" s="120"/>
      <c r="T4" s="120"/>
      <c r="U4" s="70"/>
      <c r="V4" s="70"/>
      <c r="W4" s="70"/>
      <c r="X4" s="70"/>
      <c r="Y4" s="70"/>
      <c r="Z4" s="120"/>
      <c r="AA4" s="120"/>
      <c r="AB4" s="70"/>
      <c r="AC4" s="70"/>
      <c r="AD4" s="70"/>
      <c r="AE4" s="70"/>
      <c r="AF4" s="70"/>
      <c r="AG4" s="120"/>
      <c r="AH4" s="12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120"/>
      <c r="G5" s="70"/>
      <c r="H5" s="70"/>
      <c r="I5" s="70"/>
      <c r="J5" s="70"/>
      <c r="K5" s="70"/>
      <c r="L5" s="120"/>
      <c r="M5" s="120"/>
      <c r="N5" s="70"/>
      <c r="O5" s="70"/>
      <c r="P5" s="70"/>
      <c r="Q5" s="70"/>
      <c r="R5" s="70"/>
      <c r="S5" s="120"/>
      <c r="T5" s="120"/>
      <c r="U5" s="70"/>
      <c r="V5" s="70"/>
      <c r="W5" s="70"/>
      <c r="X5" s="70"/>
      <c r="Y5" s="70"/>
      <c r="Z5" s="120"/>
      <c r="AA5" s="120"/>
      <c r="AB5" s="70"/>
      <c r="AC5" s="70"/>
      <c r="AD5" s="70"/>
      <c r="AE5" s="70"/>
      <c r="AF5" s="70"/>
      <c r="AG5" s="120"/>
      <c r="AH5" s="12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120"/>
      <c r="G6" s="70"/>
      <c r="H6" s="70"/>
      <c r="I6" s="70"/>
      <c r="J6" s="70"/>
      <c r="K6" s="70"/>
      <c r="L6" s="120"/>
      <c r="M6" s="120"/>
      <c r="N6" s="70"/>
      <c r="O6" s="70"/>
      <c r="P6" s="70"/>
      <c r="Q6" s="70"/>
      <c r="R6" s="70"/>
      <c r="S6" s="120"/>
      <c r="T6" s="120"/>
      <c r="U6" s="70"/>
      <c r="V6" s="70"/>
      <c r="W6" s="70"/>
      <c r="X6" s="70"/>
      <c r="Y6" s="70"/>
      <c r="Z6" s="120"/>
      <c r="AA6" s="120"/>
      <c r="AB6" s="70"/>
      <c r="AC6" s="70"/>
      <c r="AD6" s="70"/>
      <c r="AE6" s="70"/>
      <c r="AF6" s="70"/>
      <c r="AG6" s="120"/>
      <c r="AH6" s="12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120"/>
      <c r="G7" s="70"/>
      <c r="H7" s="70"/>
      <c r="I7" s="70"/>
      <c r="J7" s="70"/>
      <c r="K7" s="70"/>
      <c r="L7" s="120"/>
      <c r="M7" s="120"/>
      <c r="N7" s="70"/>
      <c r="O7" s="70"/>
      <c r="P7" s="70"/>
      <c r="Q7" s="70"/>
      <c r="R7" s="70"/>
      <c r="S7" s="120"/>
      <c r="T7" s="120"/>
      <c r="U7" s="70"/>
      <c r="V7" s="70"/>
      <c r="W7" s="70"/>
      <c r="X7" s="70"/>
      <c r="Y7" s="70"/>
      <c r="Z7" s="120"/>
      <c r="AA7" s="120"/>
      <c r="AB7" s="70"/>
      <c r="AC7" s="70"/>
      <c r="AD7" s="70"/>
      <c r="AE7" s="70"/>
      <c r="AF7" s="70"/>
      <c r="AG7" s="120"/>
      <c r="AH7" s="12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28"/>
      <c r="G8" s="108"/>
      <c r="I8" s="108"/>
      <c r="J8" s="108"/>
      <c r="K8" s="108"/>
      <c r="L8" s="128"/>
      <c r="M8" s="128"/>
      <c r="N8" s="108"/>
      <c r="O8" s="108"/>
      <c r="P8" s="108"/>
      <c r="Q8" s="108"/>
      <c r="R8" s="108"/>
      <c r="S8" s="128"/>
      <c r="T8" s="128"/>
      <c r="U8" s="70"/>
      <c r="V8" s="108"/>
      <c r="W8" s="70"/>
      <c r="X8" s="70"/>
      <c r="Y8" s="108"/>
      <c r="Z8" s="128"/>
      <c r="AA8" s="128"/>
      <c r="AB8" s="108"/>
      <c r="AC8" s="108"/>
      <c r="AD8" s="70"/>
      <c r="AE8" s="70"/>
      <c r="AF8" s="70"/>
      <c r="AG8" s="120"/>
      <c r="AH8" s="12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120"/>
      <c r="G9" s="70"/>
      <c r="H9" s="70"/>
      <c r="I9" s="70"/>
      <c r="J9" s="70"/>
      <c r="K9" s="70"/>
      <c r="L9" s="120"/>
      <c r="M9" s="120"/>
      <c r="N9" s="70"/>
      <c r="O9" s="70"/>
      <c r="P9" s="70"/>
      <c r="Q9" s="70"/>
      <c r="R9" s="70"/>
      <c r="S9" s="120"/>
      <c r="T9" s="120"/>
      <c r="U9" s="70"/>
      <c r="V9" s="70"/>
      <c r="W9" s="70"/>
      <c r="X9" s="70"/>
      <c r="Y9" s="70"/>
      <c r="Z9" s="120"/>
      <c r="AA9" s="120"/>
      <c r="AB9" s="70"/>
      <c r="AC9" s="70"/>
      <c r="AD9" s="70"/>
      <c r="AE9" s="70"/>
      <c r="AF9" s="70"/>
      <c r="AG9" s="120"/>
      <c r="AH9" s="12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120"/>
      <c r="G10" s="70"/>
      <c r="H10" s="70"/>
      <c r="I10" s="70"/>
      <c r="J10" s="70"/>
      <c r="K10" s="70"/>
      <c r="L10" s="120"/>
      <c r="M10" s="120"/>
      <c r="N10" s="70"/>
      <c r="O10" s="70"/>
      <c r="P10" s="70"/>
      <c r="Q10" s="70"/>
      <c r="R10" s="70"/>
      <c r="S10" s="120"/>
      <c r="T10" s="120"/>
      <c r="U10" s="70"/>
      <c r="V10" s="70"/>
      <c r="W10" s="70"/>
      <c r="X10" s="70"/>
      <c r="Y10" s="70"/>
      <c r="Z10" s="120"/>
      <c r="AA10" s="120"/>
      <c r="AB10" s="70"/>
      <c r="AC10" s="70"/>
      <c r="AD10" s="70"/>
      <c r="AE10" s="70"/>
      <c r="AF10" s="70"/>
      <c r="AG10" s="120"/>
      <c r="AH10" s="12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120"/>
      <c r="G11" s="70"/>
      <c r="H11" s="70"/>
      <c r="I11" s="70"/>
      <c r="J11" s="70"/>
      <c r="K11" s="70"/>
      <c r="L11" s="120"/>
      <c r="M11" s="120"/>
      <c r="N11" s="70"/>
      <c r="O11" s="70"/>
      <c r="P11" s="70"/>
      <c r="Q11" s="70"/>
      <c r="R11" s="70"/>
      <c r="S11" s="120"/>
      <c r="T11" s="120"/>
      <c r="U11" s="70"/>
      <c r="V11" s="70"/>
      <c r="W11" s="70"/>
      <c r="X11" s="70"/>
      <c r="Y11" s="70"/>
      <c r="Z11" s="120"/>
      <c r="AA11" s="120"/>
      <c r="AB11" s="70"/>
      <c r="AC11" s="70"/>
      <c r="AD11" s="70"/>
      <c r="AE11" s="70"/>
      <c r="AF11" s="70"/>
      <c r="AG11" s="120"/>
      <c r="AH11" s="12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120"/>
      <c r="G12" s="70"/>
      <c r="H12" s="70"/>
      <c r="I12" s="70"/>
      <c r="J12" s="70"/>
      <c r="K12" s="70"/>
      <c r="L12" s="120"/>
      <c r="M12" s="120"/>
      <c r="N12" s="70"/>
      <c r="O12" s="70"/>
      <c r="P12" s="70"/>
      <c r="Q12" s="70"/>
      <c r="R12" s="70"/>
      <c r="S12" s="120"/>
      <c r="T12" s="120"/>
      <c r="U12" s="70"/>
      <c r="V12" s="70"/>
      <c r="W12" s="70"/>
      <c r="X12" s="70"/>
      <c r="Y12" s="70"/>
      <c r="Z12" s="120"/>
      <c r="AA12" s="120"/>
      <c r="AB12" s="70"/>
      <c r="AC12" s="70"/>
      <c r="AD12" s="70"/>
      <c r="AE12" s="70"/>
      <c r="AF12" s="70"/>
      <c r="AG12" s="120"/>
      <c r="AH12" s="12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120"/>
      <c r="G13" s="70"/>
      <c r="H13" s="70"/>
      <c r="I13" s="70"/>
      <c r="J13" s="70"/>
      <c r="K13" s="70"/>
      <c r="L13" s="120"/>
      <c r="M13" s="120"/>
      <c r="N13" s="70"/>
      <c r="O13" s="70"/>
      <c r="P13" s="70"/>
      <c r="Q13" s="70"/>
      <c r="R13" s="70"/>
      <c r="S13" s="120"/>
      <c r="T13" s="120"/>
      <c r="U13" s="70"/>
      <c r="V13" s="70"/>
      <c r="W13" s="70"/>
      <c r="X13" s="70"/>
      <c r="Y13" s="70"/>
      <c r="Z13" s="120"/>
      <c r="AA13" s="120"/>
      <c r="AB13" s="70"/>
      <c r="AC13" s="70"/>
      <c r="AD13" s="70"/>
      <c r="AE13" s="70"/>
      <c r="AF13" s="70"/>
      <c r="AG13" s="120"/>
      <c r="AH13" s="12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120"/>
      <c r="G14" s="70"/>
      <c r="H14" s="70"/>
      <c r="I14" s="70"/>
      <c r="J14" s="70"/>
      <c r="K14" s="70"/>
      <c r="L14" s="120"/>
      <c r="M14" s="120"/>
      <c r="N14" s="70"/>
      <c r="O14" s="70"/>
      <c r="P14" s="70"/>
      <c r="Q14" s="70"/>
      <c r="R14" s="70"/>
      <c r="S14" s="120"/>
      <c r="T14" s="120"/>
      <c r="U14" s="70"/>
      <c r="V14" s="70"/>
      <c r="W14" s="70"/>
      <c r="X14" s="70"/>
      <c r="Y14" s="70"/>
      <c r="Z14" s="120"/>
      <c r="AA14" s="120"/>
      <c r="AB14" s="70"/>
      <c r="AC14" s="70"/>
      <c r="AD14" s="70"/>
      <c r="AE14" s="70"/>
      <c r="AF14" s="70"/>
      <c r="AG14" s="120"/>
      <c r="AH14" s="12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120"/>
      <c r="G15" s="70"/>
      <c r="H15" s="70"/>
      <c r="I15" s="70"/>
      <c r="J15" s="70"/>
      <c r="K15" s="70"/>
      <c r="L15" s="120"/>
      <c r="M15" s="120"/>
      <c r="N15" s="70"/>
      <c r="O15" s="70"/>
      <c r="P15" s="70"/>
      <c r="Q15" s="70"/>
      <c r="R15" s="70"/>
      <c r="S15" s="120"/>
      <c r="T15" s="120"/>
      <c r="U15" s="70"/>
      <c r="V15" s="70"/>
      <c r="W15" s="70"/>
      <c r="X15" s="70"/>
      <c r="Y15" s="70"/>
      <c r="Z15" s="120"/>
      <c r="AA15" s="120"/>
      <c r="AB15" s="70"/>
      <c r="AC15" s="70"/>
      <c r="AD15" s="70"/>
      <c r="AE15" s="70"/>
      <c r="AF15" s="70"/>
      <c r="AG15" s="120"/>
      <c r="AH15" s="12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120"/>
      <c r="G16" s="70"/>
      <c r="H16" s="70"/>
      <c r="I16" s="70"/>
      <c r="J16" s="70"/>
      <c r="K16" s="70"/>
      <c r="L16" s="120"/>
      <c r="M16" s="120"/>
      <c r="N16" s="70"/>
      <c r="O16" s="70"/>
      <c r="P16" s="70"/>
      <c r="Q16" s="70"/>
      <c r="R16" s="70"/>
      <c r="S16" s="120"/>
      <c r="T16" s="120"/>
      <c r="U16" s="70"/>
      <c r="V16" s="70"/>
      <c r="W16" s="70"/>
      <c r="X16" s="70"/>
      <c r="Y16" s="70"/>
      <c r="Z16" s="120"/>
      <c r="AA16" s="120"/>
      <c r="AB16" s="70"/>
      <c r="AC16" s="70"/>
      <c r="AD16" s="70"/>
      <c r="AE16" s="70"/>
      <c r="AF16" s="70"/>
      <c r="AG16" s="120"/>
      <c r="AH16" s="12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120"/>
      <c r="G17" s="70"/>
      <c r="H17" s="70"/>
      <c r="I17" s="70"/>
      <c r="J17" s="70"/>
      <c r="K17" s="70"/>
      <c r="L17" s="120"/>
      <c r="M17" s="120"/>
      <c r="N17" s="70"/>
      <c r="O17" s="70"/>
      <c r="P17" s="70"/>
      <c r="Q17" s="70"/>
      <c r="R17" s="70"/>
      <c r="S17" s="120"/>
      <c r="T17" s="120"/>
      <c r="U17" s="70"/>
      <c r="V17" s="70"/>
      <c r="W17" s="70"/>
      <c r="X17" s="70"/>
      <c r="Y17" s="70"/>
      <c r="Z17" s="120"/>
      <c r="AA17" s="120"/>
      <c r="AB17" s="70"/>
      <c r="AC17" s="70"/>
      <c r="AD17" s="70"/>
      <c r="AE17" s="70"/>
      <c r="AF17" s="70"/>
      <c r="AG17" s="120"/>
      <c r="AH17" s="12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120"/>
      <c r="G18" s="70"/>
      <c r="H18" s="70"/>
      <c r="I18" s="70"/>
      <c r="J18" s="70"/>
      <c r="K18" s="70"/>
      <c r="L18" s="120"/>
      <c r="M18" s="120"/>
      <c r="N18" s="70"/>
      <c r="O18" s="70"/>
      <c r="P18" s="70"/>
      <c r="Q18" s="70"/>
      <c r="R18" s="70"/>
      <c r="S18" s="120"/>
      <c r="T18" s="120"/>
      <c r="U18" s="70"/>
      <c r="V18" s="70"/>
      <c r="W18" s="70"/>
      <c r="X18" s="70"/>
      <c r="Y18" s="70"/>
      <c r="Z18" s="120"/>
      <c r="AA18" s="120"/>
      <c r="AB18" s="70"/>
      <c r="AC18" s="70"/>
      <c r="AD18" s="70"/>
      <c r="AE18" s="70"/>
      <c r="AF18" s="70"/>
      <c r="AG18" s="120"/>
      <c r="AH18" s="12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120"/>
      <c r="G19" s="70"/>
      <c r="H19" s="70"/>
      <c r="I19" s="70"/>
      <c r="J19" s="70"/>
      <c r="K19" s="70"/>
      <c r="L19" s="120"/>
      <c r="M19" s="120"/>
      <c r="N19" s="70"/>
      <c r="O19" s="70"/>
      <c r="P19" s="70"/>
      <c r="Q19" s="70"/>
      <c r="R19" s="70"/>
      <c r="S19" s="120"/>
      <c r="T19" s="120"/>
      <c r="U19" s="70"/>
      <c r="V19" s="70"/>
      <c r="W19" s="70"/>
      <c r="X19" s="70"/>
      <c r="Y19" s="70"/>
      <c r="Z19" s="120"/>
      <c r="AA19" s="120"/>
      <c r="AB19" s="70"/>
      <c r="AC19" s="70"/>
      <c r="AD19" s="70"/>
      <c r="AE19" s="70"/>
      <c r="AF19" s="70"/>
      <c r="AG19" s="120"/>
      <c r="AH19" s="12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120"/>
      <c r="G20" s="70"/>
      <c r="H20" s="70"/>
      <c r="I20" s="70"/>
      <c r="J20" s="70"/>
      <c r="K20" s="70"/>
      <c r="L20" s="120"/>
      <c r="M20" s="120"/>
      <c r="N20" s="70"/>
      <c r="O20" s="70"/>
      <c r="P20" s="70"/>
      <c r="Q20" s="70"/>
      <c r="R20" s="70"/>
      <c r="S20" s="120"/>
      <c r="T20" s="120"/>
      <c r="U20" s="70"/>
      <c r="V20" s="70"/>
      <c r="W20" s="70"/>
      <c r="X20" s="70"/>
      <c r="Y20" s="70"/>
      <c r="Z20" s="120"/>
      <c r="AA20" s="120"/>
      <c r="AB20" s="70"/>
      <c r="AC20" s="70"/>
      <c r="AD20" s="70"/>
      <c r="AE20" s="70"/>
      <c r="AF20" s="70"/>
      <c r="AG20" s="120"/>
      <c r="AH20" s="12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120"/>
      <c r="G21" s="70"/>
      <c r="H21" s="70"/>
      <c r="I21" s="70"/>
      <c r="J21" s="70"/>
      <c r="K21" s="70"/>
      <c r="L21" s="120"/>
      <c r="M21" s="120"/>
      <c r="N21" s="70"/>
      <c r="O21" s="70"/>
      <c r="P21" s="70"/>
      <c r="Q21" s="70"/>
      <c r="R21" s="70"/>
      <c r="S21" s="120"/>
      <c r="T21" s="120"/>
      <c r="U21" s="70"/>
      <c r="V21" s="70"/>
      <c r="W21" s="70"/>
      <c r="X21" s="70"/>
      <c r="Y21" s="70"/>
      <c r="Z21" s="120"/>
      <c r="AA21" s="120"/>
      <c r="AB21" s="70"/>
      <c r="AC21" s="70"/>
      <c r="AD21" s="70"/>
      <c r="AE21" s="70"/>
      <c r="AF21" s="70"/>
      <c r="AG21" s="120"/>
      <c r="AH21" s="12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120"/>
      <c r="G22" s="70"/>
      <c r="H22" s="70"/>
      <c r="I22" s="70"/>
      <c r="J22" s="70"/>
      <c r="K22" s="70"/>
      <c r="L22" s="120"/>
      <c r="M22" s="120"/>
      <c r="N22" s="70"/>
      <c r="O22" s="70"/>
      <c r="P22" s="70"/>
      <c r="Q22" s="70"/>
      <c r="R22" s="70"/>
      <c r="S22" s="120"/>
      <c r="T22" s="120"/>
      <c r="U22" s="70"/>
      <c r="V22" s="70"/>
      <c r="W22" s="70"/>
      <c r="X22" s="70"/>
      <c r="Y22" s="70"/>
      <c r="Z22" s="120"/>
      <c r="AA22" s="120"/>
      <c r="AB22" s="70"/>
      <c r="AC22" s="70"/>
      <c r="AD22" s="70"/>
      <c r="AE22" s="70"/>
      <c r="AF22" s="70"/>
      <c r="AG22" s="120"/>
      <c r="AH22" s="12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120"/>
      <c r="G23" s="70"/>
      <c r="H23" s="70"/>
      <c r="I23" s="70"/>
      <c r="J23" s="70"/>
      <c r="K23" s="70"/>
      <c r="L23" s="120"/>
      <c r="M23" s="120"/>
      <c r="N23" s="70"/>
      <c r="O23" s="70"/>
      <c r="P23" s="70"/>
      <c r="Q23" s="70"/>
      <c r="R23" s="70"/>
      <c r="S23" s="120"/>
      <c r="T23" s="120"/>
      <c r="U23" s="70"/>
      <c r="V23" s="70"/>
      <c r="W23" s="70"/>
      <c r="X23" s="70"/>
      <c r="Y23" s="70"/>
      <c r="Z23" s="120"/>
      <c r="AA23" s="120"/>
      <c r="AB23" s="70"/>
      <c r="AC23" s="70"/>
      <c r="AD23" s="70"/>
      <c r="AE23" s="70"/>
      <c r="AF23" s="70"/>
      <c r="AG23" s="120"/>
      <c r="AH23" s="12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120"/>
      <c r="G24" s="70"/>
      <c r="H24" s="70"/>
      <c r="I24" s="70"/>
      <c r="J24" s="70"/>
      <c r="K24" s="70"/>
      <c r="L24" s="120"/>
      <c r="M24" s="120"/>
      <c r="N24" s="70"/>
      <c r="O24" s="70"/>
      <c r="P24" s="70"/>
      <c r="Q24" s="70"/>
      <c r="R24" s="70"/>
      <c r="S24" s="120"/>
      <c r="T24" s="120"/>
      <c r="U24" s="70"/>
      <c r="V24" s="70"/>
      <c r="W24" s="70"/>
      <c r="X24" s="70"/>
      <c r="Y24" s="70"/>
      <c r="Z24" s="120"/>
      <c r="AA24" s="120"/>
      <c r="AB24" s="70"/>
      <c r="AC24" s="70"/>
      <c r="AD24" s="70"/>
      <c r="AE24" s="70"/>
      <c r="AF24" s="70"/>
      <c r="AG24" s="120"/>
      <c r="AH24" s="12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120"/>
      <c r="G25" s="70"/>
      <c r="H25" s="70"/>
      <c r="I25" s="70"/>
      <c r="J25" s="70"/>
      <c r="K25" s="70"/>
      <c r="L25" s="120"/>
      <c r="M25" s="120"/>
      <c r="N25" s="70"/>
      <c r="O25" s="70"/>
      <c r="P25" s="70"/>
      <c r="Q25" s="70"/>
      <c r="R25" s="70"/>
      <c r="S25" s="120"/>
      <c r="T25" s="120"/>
      <c r="U25" s="70"/>
      <c r="V25" s="70"/>
      <c r="W25" s="70"/>
      <c r="X25" s="70"/>
      <c r="Y25" s="70"/>
      <c r="Z25" s="120"/>
      <c r="AA25" s="120"/>
      <c r="AB25" s="70"/>
      <c r="AC25" s="70"/>
      <c r="AD25" s="70"/>
      <c r="AE25" s="70"/>
      <c r="AF25" s="70"/>
      <c r="AG25" s="120"/>
      <c r="AH25" s="12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120"/>
      <c r="G26" s="70"/>
      <c r="H26" s="70"/>
      <c r="I26" s="70"/>
      <c r="J26" s="70"/>
      <c r="K26" s="70"/>
      <c r="L26" s="120"/>
      <c r="M26" s="120"/>
      <c r="N26" s="70"/>
      <c r="O26" s="70"/>
      <c r="P26" s="70"/>
      <c r="Q26" s="70"/>
      <c r="R26" s="70"/>
      <c r="S26" s="120"/>
      <c r="T26" s="120"/>
      <c r="U26" s="70"/>
      <c r="V26" s="70"/>
      <c r="W26" s="70"/>
      <c r="X26" s="70"/>
      <c r="Y26" s="70"/>
      <c r="Z26" s="120"/>
      <c r="AA26" s="120"/>
      <c r="AB26" s="70"/>
      <c r="AC26" s="70"/>
      <c r="AD26" s="70"/>
      <c r="AE26" s="70"/>
      <c r="AF26" s="70"/>
      <c r="AG26" s="120"/>
      <c r="AH26" s="12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120"/>
      <c r="G27" s="70"/>
      <c r="H27" s="70"/>
      <c r="I27" s="70"/>
      <c r="J27" s="70"/>
      <c r="K27" s="70"/>
      <c r="L27" s="120"/>
      <c r="M27" s="120"/>
      <c r="N27" s="70"/>
      <c r="O27" s="70"/>
      <c r="P27" s="70"/>
      <c r="Q27" s="70"/>
      <c r="R27" s="70"/>
      <c r="S27" s="120"/>
      <c r="T27" s="120"/>
      <c r="U27" s="70"/>
      <c r="V27" s="70"/>
      <c r="W27" s="70"/>
      <c r="X27" s="70"/>
      <c r="Y27" s="70"/>
      <c r="Z27" s="120"/>
      <c r="AA27" s="120"/>
      <c r="AB27" s="70"/>
      <c r="AC27" s="70"/>
      <c r="AD27" s="70"/>
      <c r="AE27" s="70"/>
      <c r="AF27" s="70"/>
      <c r="AG27" s="120"/>
      <c r="AH27" s="12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120"/>
      <c r="G28" s="70"/>
      <c r="H28" s="70"/>
      <c r="I28" s="70"/>
      <c r="J28" s="70"/>
      <c r="K28" s="70"/>
      <c r="L28" s="120"/>
      <c r="M28" s="120"/>
      <c r="N28" s="70"/>
      <c r="O28" s="70"/>
      <c r="P28" s="70"/>
      <c r="Q28" s="70"/>
      <c r="R28" s="70"/>
      <c r="S28" s="120"/>
      <c r="T28" s="120"/>
      <c r="U28" s="70"/>
      <c r="V28" s="70"/>
      <c r="W28" s="70"/>
      <c r="X28" s="70"/>
      <c r="Y28" s="70"/>
      <c r="Z28" s="120"/>
      <c r="AA28" s="120"/>
      <c r="AB28" s="70"/>
      <c r="AC28" s="70"/>
      <c r="AD28" s="70"/>
      <c r="AE28" s="70"/>
      <c r="AF28" s="70"/>
      <c r="AG28" s="120"/>
      <c r="AH28" s="12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120"/>
      <c r="G29" s="70"/>
      <c r="H29" s="70"/>
      <c r="I29" s="70"/>
      <c r="J29" s="70"/>
      <c r="K29" s="70"/>
      <c r="L29" s="120"/>
      <c r="M29" s="120"/>
      <c r="N29" s="70"/>
      <c r="O29" s="70"/>
      <c r="P29" s="70"/>
      <c r="Q29" s="70"/>
      <c r="R29" s="70"/>
      <c r="S29" s="120"/>
      <c r="T29" s="120"/>
      <c r="U29" s="70"/>
      <c r="V29" s="70"/>
      <c r="W29" s="70"/>
      <c r="X29" s="70"/>
      <c r="Y29" s="70"/>
      <c r="Z29" s="120"/>
      <c r="AA29" s="120"/>
      <c r="AB29" s="70"/>
      <c r="AC29" s="70"/>
      <c r="AD29" s="70"/>
      <c r="AE29" s="70"/>
      <c r="AF29" s="70"/>
      <c r="AG29" s="120"/>
      <c r="AH29" s="12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120"/>
      <c r="G30" s="70"/>
      <c r="H30" s="70"/>
      <c r="I30" s="70"/>
      <c r="J30" s="70"/>
      <c r="K30" s="70"/>
      <c r="L30" s="120"/>
      <c r="M30" s="120"/>
      <c r="N30" s="70"/>
      <c r="O30" s="70"/>
      <c r="P30" s="70"/>
      <c r="Q30" s="70"/>
      <c r="R30" s="70"/>
      <c r="S30" s="120"/>
      <c r="T30" s="120"/>
      <c r="U30" s="70"/>
      <c r="V30" s="70"/>
      <c r="W30" s="70"/>
      <c r="X30" s="70"/>
      <c r="Y30" s="70"/>
      <c r="Z30" s="120"/>
      <c r="AA30" s="120"/>
      <c r="AB30" s="70"/>
      <c r="AC30" s="70"/>
      <c r="AD30" s="70"/>
      <c r="AE30" s="70"/>
      <c r="AF30" s="70"/>
      <c r="AG30" s="120"/>
      <c r="AH30" s="12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120"/>
      <c r="G31" s="70"/>
      <c r="H31" s="70"/>
      <c r="I31" s="70"/>
      <c r="J31" s="70"/>
      <c r="K31" s="70"/>
      <c r="L31" s="120"/>
      <c r="M31" s="120"/>
      <c r="N31" s="70"/>
      <c r="O31" s="70"/>
      <c r="P31" s="70"/>
      <c r="Q31" s="70"/>
      <c r="R31" s="70"/>
      <c r="S31" s="120"/>
      <c r="T31" s="120"/>
      <c r="U31" s="70"/>
      <c r="V31" s="70"/>
      <c r="W31" s="70"/>
      <c r="X31" s="70"/>
      <c r="Y31" s="70"/>
      <c r="Z31" s="120"/>
      <c r="AA31" s="120"/>
      <c r="AB31" s="70"/>
      <c r="AC31" s="70"/>
      <c r="AD31" s="70"/>
      <c r="AE31" s="70"/>
      <c r="AF31" s="70"/>
      <c r="AG31" s="120"/>
      <c r="AH31" s="12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120"/>
      <c r="G32" s="108"/>
      <c r="H32" s="70"/>
      <c r="I32" s="70"/>
      <c r="J32" s="70"/>
      <c r="K32" s="108"/>
      <c r="L32" s="128"/>
      <c r="M32" s="128"/>
      <c r="N32" s="108"/>
      <c r="O32" s="108"/>
      <c r="P32" s="70"/>
      <c r="Q32" s="70"/>
      <c r="R32" s="70"/>
      <c r="S32" s="128"/>
      <c r="T32" s="128"/>
      <c r="U32" s="108"/>
      <c r="V32" s="108"/>
      <c r="W32" s="108"/>
      <c r="X32" s="108"/>
      <c r="Y32" s="108"/>
      <c r="Z32" s="128"/>
      <c r="AA32" s="128"/>
      <c r="AB32" s="108"/>
      <c r="AC32" s="108"/>
      <c r="AD32" s="108"/>
      <c r="AE32" s="108"/>
      <c r="AF32" s="108"/>
      <c r="AG32" s="128"/>
      <c r="AH32" s="158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120"/>
      <c r="G33" s="70"/>
      <c r="H33" s="70"/>
      <c r="I33" s="70"/>
      <c r="J33" s="70"/>
      <c r="K33" s="70"/>
      <c r="L33" s="120"/>
      <c r="M33" s="120"/>
      <c r="N33" s="70"/>
      <c r="O33" s="70"/>
      <c r="P33" s="70"/>
      <c r="Q33" s="70"/>
      <c r="R33" s="70"/>
      <c r="S33" s="120"/>
      <c r="T33" s="120"/>
      <c r="U33" s="70"/>
      <c r="V33" s="70"/>
      <c r="W33" s="70"/>
      <c r="X33" s="70"/>
      <c r="Y33" s="70"/>
      <c r="Z33" s="120"/>
      <c r="AA33" s="120"/>
      <c r="AB33" s="70"/>
      <c r="AC33" s="70"/>
      <c r="AD33" s="70"/>
      <c r="AE33" s="70"/>
      <c r="AF33" s="70"/>
      <c r="AG33" s="120"/>
      <c r="AH33" s="12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120"/>
      <c r="G34" s="70"/>
      <c r="H34" s="70"/>
      <c r="I34" s="70"/>
      <c r="J34" s="70"/>
      <c r="K34" s="70"/>
      <c r="L34" s="120"/>
      <c r="M34" s="120"/>
      <c r="N34" s="70"/>
      <c r="O34" s="70"/>
      <c r="P34" s="70"/>
      <c r="Q34" s="70"/>
      <c r="R34" s="70"/>
      <c r="S34" s="120"/>
      <c r="T34" s="120"/>
      <c r="U34" s="70"/>
      <c r="V34" s="70"/>
      <c r="W34" s="70"/>
      <c r="X34" s="70"/>
      <c r="Y34" s="70"/>
      <c r="Z34" s="120"/>
      <c r="AA34" s="120"/>
      <c r="AB34" s="70"/>
      <c r="AC34" s="70"/>
      <c r="AD34" s="70"/>
      <c r="AE34" s="70"/>
      <c r="AF34" s="70"/>
      <c r="AG34" s="120"/>
      <c r="AH34" s="12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120"/>
      <c r="G35" s="70"/>
      <c r="H35" s="70"/>
      <c r="I35" s="70"/>
      <c r="J35" s="70"/>
      <c r="K35" s="70"/>
      <c r="L35" s="120"/>
      <c r="M35" s="120"/>
      <c r="N35" s="70"/>
      <c r="O35" s="70"/>
      <c r="P35" s="70"/>
      <c r="Q35" s="70"/>
      <c r="R35" s="70"/>
      <c r="S35" s="120"/>
      <c r="T35" s="120"/>
      <c r="U35" s="70"/>
      <c r="V35" s="70"/>
      <c r="W35" s="70"/>
      <c r="X35" s="70"/>
      <c r="Y35" s="70"/>
      <c r="Z35" s="120"/>
      <c r="AA35" s="120"/>
      <c r="AB35" s="70"/>
      <c r="AC35" s="70"/>
      <c r="AD35" s="70"/>
      <c r="AE35" s="70"/>
      <c r="AF35" s="70"/>
      <c r="AG35" s="120"/>
      <c r="AH35" s="12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120"/>
      <c r="G36" s="70"/>
      <c r="H36" s="70"/>
      <c r="I36" s="70"/>
      <c r="J36" s="70"/>
      <c r="K36" s="70"/>
      <c r="L36" s="120"/>
      <c r="M36" s="120"/>
      <c r="N36" s="70"/>
      <c r="O36" s="70"/>
      <c r="P36" s="70"/>
      <c r="Q36" s="70"/>
      <c r="R36" s="70"/>
      <c r="S36" s="120"/>
      <c r="T36" s="120"/>
      <c r="U36" s="70"/>
      <c r="V36" s="70"/>
      <c r="W36" s="70"/>
      <c r="X36" s="70"/>
      <c r="Y36" s="70"/>
      <c r="Z36" s="120"/>
      <c r="AA36" s="120"/>
      <c r="AB36" s="70"/>
      <c r="AC36" s="70"/>
      <c r="AD36" s="70"/>
      <c r="AE36" s="70"/>
      <c r="AF36" s="70"/>
      <c r="AG36" s="120"/>
      <c r="AH36" s="12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8"/>
      <c r="G37" s="64"/>
      <c r="H37" s="64"/>
      <c r="I37" s="64"/>
      <c r="J37" s="64"/>
      <c r="K37" s="64"/>
      <c r="L37" s="68"/>
      <c r="M37" s="68"/>
      <c r="N37" s="64"/>
      <c r="O37" s="64"/>
      <c r="P37" s="64"/>
      <c r="Q37" s="64"/>
      <c r="R37" s="64"/>
      <c r="S37" s="68"/>
      <c r="T37" s="68"/>
      <c r="U37" s="64"/>
      <c r="V37" s="64"/>
      <c r="W37" s="64"/>
      <c r="X37" s="64"/>
      <c r="Y37" s="64"/>
      <c r="Z37" s="68"/>
      <c r="AA37" s="68"/>
      <c r="AB37" s="64"/>
      <c r="AC37" s="64"/>
      <c r="AD37" s="64"/>
      <c r="AE37" s="64"/>
      <c r="AF37" s="64"/>
      <c r="AG37" s="68"/>
      <c r="AH37" s="68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8"/>
      <c r="G38" s="64"/>
      <c r="H38" s="64"/>
      <c r="I38" s="64"/>
      <c r="J38" s="64"/>
      <c r="K38" s="64"/>
      <c r="L38" s="68"/>
      <c r="M38" s="68"/>
      <c r="N38" s="64"/>
      <c r="O38" s="64"/>
      <c r="P38" s="64"/>
      <c r="Q38" s="64"/>
      <c r="R38" s="64"/>
      <c r="S38" s="68"/>
      <c r="T38" s="68"/>
      <c r="U38" s="64"/>
      <c r="V38" s="64"/>
      <c r="W38" s="64"/>
      <c r="X38" s="64"/>
      <c r="Y38" s="64"/>
      <c r="Z38" s="68"/>
      <c r="AA38" s="68"/>
      <c r="AB38" s="64"/>
      <c r="AC38" s="64"/>
      <c r="AD38" s="64"/>
      <c r="AE38" s="64"/>
      <c r="AF38" s="64"/>
      <c r="AG38" s="68"/>
      <c r="AH38" s="68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120"/>
      <c r="G39" s="70"/>
      <c r="H39" s="70"/>
      <c r="I39" s="70"/>
      <c r="J39" s="70"/>
      <c r="K39" s="70"/>
      <c r="L39" s="120"/>
      <c r="M39" s="120"/>
      <c r="N39" s="70"/>
      <c r="O39" s="70"/>
      <c r="P39" s="70"/>
      <c r="Q39" s="70"/>
      <c r="R39" s="70"/>
      <c r="S39" s="120"/>
      <c r="T39" s="120"/>
      <c r="U39" s="70"/>
      <c r="V39" s="70"/>
      <c r="W39" s="70"/>
      <c r="X39" s="70"/>
      <c r="Y39" s="70"/>
      <c r="Z39" s="120"/>
      <c r="AA39" s="120"/>
      <c r="AB39" s="70"/>
      <c r="AC39" s="70"/>
      <c r="AD39" s="70"/>
      <c r="AE39" s="70"/>
      <c r="AF39" s="70"/>
      <c r="AG39" s="120"/>
      <c r="AH39" s="12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124"/>
      <c r="G40" s="92"/>
      <c r="H40" s="92"/>
      <c r="I40" s="92"/>
      <c r="J40" s="92"/>
      <c r="K40" s="92"/>
      <c r="L40" s="124"/>
      <c r="M40" s="124"/>
      <c r="N40" s="92"/>
      <c r="O40" s="92"/>
      <c r="P40" s="92"/>
      <c r="Q40" s="92"/>
      <c r="R40" s="92"/>
      <c r="S40" s="124"/>
      <c r="T40" s="124"/>
      <c r="U40" s="92"/>
      <c r="V40" s="92"/>
      <c r="W40" s="92"/>
      <c r="X40" s="92"/>
      <c r="Y40" s="92"/>
      <c r="Z40" s="124"/>
      <c r="AA40" s="124"/>
      <c r="AB40" s="92"/>
      <c r="AC40" s="92"/>
      <c r="AD40" s="92"/>
      <c r="AE40" s="92"/>
      <c r="AF40" s="92"/>
      <c r="AG40" s="124"/>
      <c r="AH40" s="124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131"/>
      <c r="H41" s="83"/>
      <c r="T41" s="131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8"/>
      <c r="G42" s="62"/>
      <c r="H42" s="62"/>
      <c r="I42" s="62"/>
      <c r="J42" s="62"/>
      <c r="K42" s="62"/>
      <c r="L42" s="68"/>
      <c r="M42" s="68"/>
      <c r="N42" s="62"/>
      <c r="O42" s="62"/>
      <c r="P42" s="62"/>
      <c r="Q42" s="62"/>
      <c r="R42" s="62"/>
      <c r="S42" s="68"/>
      <c r="T42" s="68"/>
      <c r="U42" s="62"/>
      <c r="V42" s="62"/>
      <c r="W42" s="62"/>
      <c r="X42" s="62"/>
      <c r="Y42" s="62"/>
      <c r="Z42" s="68"/>
      <c r="AA42" s="68"/>
      <c r="AB42" s="62"/>
      <c r="AC42" s="62"/>
      <c r="AD42" s="62"/>
      <c r="AE42" s="62"/>
      <c r="AF42" s="62"/>
      <c r="AG42" s="68"/>
      <c r="AH42" s="125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62"/>
      <c r="J43" s="62"/>
      <c r="K43" s="62"/>
      <c r="N43" s="62"/>
      <c r="O43" s="62"/>
      <c r="P43" s="62"/>
      <c r="Q43" s="62"/>
      <c r="R43" s="62"/>
      <c r="U43" s="62"/>
      <c r="V43" s="62"/>
      <c r="W43" s="62"/>
      <c r="X43" s="62"/>
      <c r="Y43" s="62"/>
      <c r="AB43" s="62"/>
      <c r="AC43" s="62"/>
      <c r="AD43" s="62"/>
      <c r="AE43" s="62"/>
      <c r="AF43" s="62"/>
      <c r="AH43" s="125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8"/>
      <c r="G44" s="62"/>
      <c r="H44" s="62"/>
      <c r="I44" s="62"/>
      <c r="J44" s="62"/>
      <c r="K44" s="62"/>
      <c r="L44" s="68"/>
      <c r="M44" s="68"/>
      <c r="N44" s="62"/>
      <c r="O44" s="62"/>
      <c r="P44" s="62"/>
      <c r="Q44" s="62"/>
      <c r="R44" s="62"/>
      <c r="S44" s="68"/>
      <c r="T44" s="68"/>
      <c r="U44" s="62"/>
      <c r="V44" s="62"/>
      <c r="W44" s="62"/>
      <c r="X44" s="62"/>
      <c r="Y44" s="62"/>
      <c r="Z44" s="68"/>
      <c r="AA44" s="68"/>
      <c r="AB44" s="62"/>
      <c r="AC44" s="62"/>
      <c r="AD44" s="62"/>
      <c r="AE44" s="62"/>
      <c r="AF44" s="62"/>
      <c r="AG44" s="68"/>
      <c r="AH44" s="125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8"/>
      <c r="G45" s="62"/>
      <c r="H45" s="62"/>
      <c r="I45" s="62"/>
      <c r="J45" s="62"/>
      <c r="K45" s="62"/>
      <c r="L45" s="68"/>
      <c r="M45" s="68"/>
      <c r="N45" s="62"/>
      <c r="O45" s="62"/>
      <c r="P45" s="62"/>
      <c r="Q45" s="62"/>
      <c r="R45" s="62"/>
      <c r="S45" s="68"/>
      <c r="T45" s="68"/>
      <c r="U45" s="62"/>
      <c r="V45" s="62"/>
      <c r="W45" s="62"/>
      <c r="X45" s="62"/>
      <c r="Y45" s="62"/>
      <c r="Z45" s="68"/>
      <c r="AA45" s="68"/>
      <c r="AB45" s="62"/>
      <c r="AC45" s="62"/>
      <c r="AD45" s="62"/>
      <c r="AE45" s="62"/>
      <c r="AF45" s="62"/>
      <c r="AG45" s="68"/>
      <c r="AH45" s="12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8"/>
      <c r="G46" s="62"/>
      <c r="H46" s="62"/>
      <c r="I46" s="62"/>
      <c r="J46" s="62"/>
      <c r="K46" s="62"/>
      <c r="L46" s="68"/>
      <c r="M46" s="68"/>
      <c r="N46" s="62"/>
      <c r="O46" s="62"/>
      <c r="P46" s="62"/>
      <c r="Q46" s="62"/>
      <c r="R46" s="62"/>
      <c r="S46" s="68"/>
      <c r="T46" s="68"/>
      <c r="U46" s="62"/>
      <c r="V46" s="62"/>
      <c r="W46" s="62"/>
      <c r="X46" s="62"/>
      <c r="Y46" s="62"/>
      <c r="Z46" s="68"/>
      <c r="AA46" s="68"/>
      <c r="AB46" s="62"/>
      <c r="AC46" s="62"/>
      <c r="AD46" s="62"/>
      <c r="AE46" s="62"/>
      <c r="AF46" s="62"/>
      <c r="AG46" s="68"/>
      <c r="AH46" s="125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8"/>
      <c r="G47" s="62"/>
      <c r="H47" s="62"/>
      <c r="I47" s="62"/>
      <c r="J47" s="62"/>
      <c r="K47" s="62"/>
      <c r="L47" s="68"/>
      <c r="M47" s="68"/>
      <c r="N47" s="62"/>
      <c r="O47" s="62"/>
      <c r="P47" s="62"/>
      <c r="Q47" s="62"/>
      <c r="R47" s="62"/>
      <c r="S47" s="68"/>
      <c r="T47" s="68"/>
      <c r="U47" s="62"/>
      <c r="V47" s="62"/>
      <c r="W47" s="62"/>
      <c r="X47" s="62"/>
      <c r="Y47" s="62"/>
      <c r="Z47" s="68"/>
      <c r="AA47" s="68"/>
      <c r="AB47" s="62"/>
      <c r="AC47" s="62"/>
      <c r="AD47" s="62"/>
      <c r="AE47" s="62"/>
      <c r="AF47" s="62"/>
      <c r="AG47" s="68"/>
      <c r="AH47" s="125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8"/>
      <c r="G48" s="62"/>
      <c r="H48" s="62"/>
      <c r="I48" s="62"/>
      <c r="J48" s="62"/>
      <c r="K48" s="62"/>
      <c r="L48" s="68"/>
      <c r="M48" s="68"/>
      <c r="N48" s="62"/>
      <c r="O48" s="62"/>
      <c r="P48" s="62"/>
      <c r="Q48" s="62"/>
      <c r="R48" s="62"/>
      <c r="S48" s="68"/>
      <c r="T48" s="68"/>
      <c r="U48" s="62"/>
      <c r="V48" s="62"/>
      <c r="W48" s="62"/>
      <c r="X48" s="62"/>
      <c r="Y48" s="62"/>
      <c r="Z48" s="68"/>
      <c r="AA48" s="68"/>
      <c r="AB48" s="62"/>
      <c r="AC48" s="62"/>
      <c r="AD48" s="62"/>
      <c r="AE48" s="62"/>
      <c r="AF48" s="62"/>
      <c r="AG48" s="68"/>
      <c r="AH48" s="125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8"/>
      <c r="G49" s="62"/>
      <c r="H49" s="62"/>
      <c r="I49" s="62"/>
      <c r="J49" s="62"/>
      <c r="K49" s="62"/>
      <c r="L49" s="68"/>
      <c r="M49" s="68"/>
      <c r="N49" s="62"/>
      <c r="O49" s="62"/>
      <c r="P49" s="62"/>
      <c r="Q49" s="62"/>
      <c r="R49" s="62"/>
      <c r="S49" s="68"/>
      <c r="T49" s="68"/>
      <c r="U49" s="62"/>
      <c r="V49" s="62"/>
      <c r="W49" s="62"/>
      <c r="X49" s="62"/>
      <c r="Y49" s="62"/>
      <c r="Z49" s="68"/>
      <c r="AA49" s="68"/>
      <c r="AB49" s="62"/>
      <c r="AC49" s="62"/>
      <c r="AD49" s="62"/>
      <c r="AE49" s="62"/>
      <c r="AF49" s="62"/>
      <c r="AG49" s="68"/>
      <c r="AH49" s="125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8"/>
      <c r="G50" s="62"/>
      <c r="H50" s="62"/>
      <c r="I50" s="62"/>
      <c r="J50" s="62"/>
      <c r="K50" s="62"/>
      <c r="L50" s="68"/>
      <c r="M50" s="68"/>
      <c r="N50" s="62"/>
      <c r="O50" s="62"/>
      <c r="P50" s="62"/>
      <c r="Q50" s="62"/>
      <c r="R50" s="62"/>
      <c r="S50" s="68"/>
      <c r="T50" s="68"/>
      <c r="U50" s="62"/>
      <c r="V50" s="62"/>
      <c r="W50" s="62"/>
      <c r="X50" s="62"/>
      <c r="Y50" s="62"/>
      <c r="Z50" s="68"/>
      <c r="AA50" s="68"/>
      <c r="AB50" s="62"/>
      <c r="AC50" s="62"/>
      <c r="AD50" s="62"/>
      <c r="AE50" s="62"/>
      <c r="AF50" s="62"/>
      <c r="AG50" s="68"/>
      <c r="AH50" s="125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8"/>
      <c r="G51" s="62"/>
      <c r="H51" s="62"/>
      <c r="I51" s="62"/>
      <c r="J51" s="62"/>
      <c r="K51" s="62"/>
      <c r="L51" s="68"/>
      <c r="M51" s="68"/>
      <c r="N51" s="62"/>
      <c r="O51" s="62"/>
      <c r="P51" s="62"/>
      <c r="Q51" s="62"/>
      <c r="R51" s="62"/>
      <c r="S51" s="68"/>
      <c r="T51" s="68"/>
      <c r="U51" s="62"/>
      <c r="V51" s="62"/>
      <c r="W51" s="62"/>
      <c r="X51" s="62"/>
      <c r="Y51" s="62"/>
      <c r="Z51" s="68"/>
      <c r="AA51" s="68"/>
      <c r="AB51" s="62"/>
      <c r="AC51" s="62"/>
      <c r="AD51" s="62"/>
      <c r="AE51" s="62"/>
      <c r="AF51" s="62"/>
      <c r="AG51" s="68"/>
      <c r="AH51" s="125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8"/>
      <c r="G52" s="62"/>
      <c r="H52" s="62"/>
      <c r="I52" s="62"/>
      <c r="J52" s="62"/>
      <c r="K52" s="62"/>
      <c r="L52" s="68"/>
      <c r="M52" s="68"/>
      <c r="N52" s="62"/>
      <c r="O52" s="62"/>
      <c r="P52" s="62"/>
      <c r="Q52" s="62"/>
      <c r="R52" s="62"/>
      <c r="S52" s="68"/>
      <c r="T52" s="68"/>
      <c r="U52" s="62"/>
      <c r="V52" s="62"/>
      <c r="W52" s="62"/>
      <c r="X52" s="62"/>
      <c r="Y52" s="62"/>
      <c r="Z52" s="68"/>
      <c r="AA52" s="68"/>
      <c r="AB52" s="62"/>
      <c r="AC52" s="62"/>
      <c r="AD52" s="62"/>
      <c r="AE52" s="62"/>
      <c r="AF52" s="62"/>
      <c r="AG52" s="68"/>
      <c r="AH52" s="125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8"/>
      <c r="G53" s="62"/>
      <c r="H53" s="62"/>
      <c r="I53" s="62"/>
      <c r="J53" s="62"/>
      <c r="K53" s="62"/>
      <c r="L53" s="68"/>
      <c r="M53" s="68"/>
      <c r="N53" s="62"/>
      <c r="O53" s="62"/>
      <c r="P53" s="62"/>
      <c r="Q53" s="62"/>
      <c r="R53" s="62"/>
      <c r="S53" s="68"/>
      <c r="T53" s="68"/>
      <c r="U53" s="62"/>
      <c r="V53" s="62"/>
      <c r="W53" s="62"/>
      <c r="X53" s="62"/>
      <c r="Y53" s="62"/>
      <c r="Z53" s="68"/>
      <c r="AA53" s="68"/>
      <c r="AB53" s="62"/>
      <c r="AC53" s="62"/>
      <c r="AD53" s="62"/>
      <c r="AE53" s="62"/>
      <c r="AF53" s="62"/>
      <c r="AG53" s="68"/>
      <c r="AH53" s="125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8"/>
      <c r="G54" s="62"/>
      <c r="H54" s="62"/>
      <c r="I54" s="62"/>
      <c r="J54" s="62"/>
      <c r="K54" s="62"/>
      <c r="L54" s="68"/>
      <c r="M54" s="68"/>
      <c r="N54" s="62"/>
      <c r="O54" s="62"/>
      <c r="P54" s="62"/>
      <c r="Q54" s="62"/>
      <c r="R54" s="62"/>
      <c r="S54" s="68"/>
      <c r="T54" s="68"/>
      <c r="U54" s="62"/>
      <c r="V54" s="62"/>
      <c r="W54" s="62"/>
      <c r="X54" s="62"/>
      <c r="Y54" s="62"/>
      <c r="Z54" s="68"/>
      <c r="AA54" s="68"/>
      <c r="AB54" s="62"/>
      <c r="AC54" s="62"/>
      <c r="AD54" s="62"/>
      <c r="AE54" s="62"/>
      <c r="AF54" s="62"/>
      <c r="AG54" s="68"/>
      <c r="AH54" s="125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8"/>
      <c r="G55" s="62"/>
      <c r="H55" s="62"/>
      <c r="I55" s="62"/>
      <c r="J55" s="62"/>
      <c r="K55" s="62"/>
      <c r="L55" s="68"/>
      <c r="M55" s="68"/>
      <c r="N55" s="62"/>
      <c r="O55" s="62"/>
      <c r="P55" s="62"/>
      <c r="Q55" s="62"/>
      <c r="R55" s="62"/>
      <c r="S55" s="68"/>
      <c r="T55" s="68"/>
      <c r="U55" s="62"/>
      <c r="V55" s="62"/>
      <c r="W55" s="62"/>
      <c r="X55" s="62"/>
      <c r="Y55" s="62"/>
      <c r="Z55" s="68"/>
      <c r="AA55" s="68"/>
      <c r="AB55" s="62"/>
      <c r="AC55" s="62"/>
      <c r="AD55" s="62"/>
      <c r="AE55" s="62"/>
      <c r="AF55" s="62"/>
      <c r="AG55" s="68"/>
      <c r="AH55" s="12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8"/>
      <c r="G56" s="62"/>
      <c r="H56" s="62"/>
      <c r="I56" s="62"/>
      <c r="J56" s="62"/>
      <c r="K56" s="62"/>
      <c r="L56" s="68"/>
      <c r="M56" s="68"/>
      <c r="N56" s="62"/>
      <c r="O56" s="62"/>
      <c r="P56" s="62"/>
      <c r="Q56" s="62"/>
      <c r="R56" s="62"/>
      <c r="S56" s="68"/>
      <c r="T56" s="68"/>
      <c r="U56" s="62"/>
      <c r="V56" s="62"/>
      <c r="W56" s="62"/>
      <c r="X56" s="62"/>
      <c r="Y56" s="62"/>
      <c r="Z56" s="68"/>
      <c r="AA56" s="68"/>
      <c r="AB56" s="62"/>
      <c r="AC56" s="62"/>
      <c r="AD56" s="62"/>
      <c r="AE56" s="62"/>
      <c r="AF56" s="62"/>
      <c r="AG56" s="68"/>
      <c r="AH56" s="125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8"/>
      <c r="G57" s="62"/>
      <c r="H57" s="62"/>
      <c r="I57" s="62"/>
      <c r="J57" s="62"/>
      <c r="K57" s="62"/>
      <c r="L57" s="68"/>
      <c r="M57" s="68"/>
      <c r="N57" s="62"/>
      <c r="O57" s="62"/>
      <c r="P57" s="62"/>
      <c r="Q57" s="62"/>
      <c r="R57" s="62"/>
      <c r="S57" s="68"/>
      <c r="T57" s="68"/>
      <c r="U57" s="62"/>
      <c r="V57" s="62"/>
      <c r="W57" s="62"/>
      <c r="X57" s="62"/>
      <c r="Y57" s="62"/>
      <c r="Z57" s="68"/>
      <c r="AA57" s="68"/>
      <c r="AB57" s="62"/>
      <c r="AC57" s="62"/>
      <c r="AD57" s="62"/>
      <c r="AE57" s="62"/>
      <c r="AF57" s="62"/>
      <c r="AG57" s="68"/>
      <c r="AH57" s="125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8"/>
      <c r="G58" s="62"/>
      <c r="H58" s="62"/>
      <c r="I58" s="62"/>
      <c r="J58" s="62"/>
      <c r="K58" s="62"/>
      <c r="L58" s="68"/>
      <c r="M58" s="68"/>
      <c r="N58" s="62"/>
      <c r="O58" s="62"/>
      <c r="P58" s="62"/>
      <c r="Q58" s="62"/>
      <c r="R58" s="62"/>
      <c r="S58" s="68"/>
      <c r="T58" s="68"/>
      <c r="U58" s="62"/>
      <c r="V58" s="62"/>
      <c r="W58" s="62"/>
      <c r="X58" s="62"/>
      <c r="Y58" s="62"/>
      <c r="Z58" s="68"/>
      <c r="AA58" s="68"/>
      <c r="AB58" s="62"/>
      <c r="AC58" s="62"/>
      <c r="AD58" s="62"/>
      <c r="AE58" s="62"/>
      <c r="AF58" s="62"/>
      <c r="AG58" s="68"/>
      <c r="AH58" s="125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120"/>
      <c r="G59" s="70"/>
      <c r="H59" s="70"/>
      <c r="I59" s="70"/>
      <c r="J59" s="70"/>
      <c r="M59" s="120"/>
      <c r="N59" s="70"/>
      <c r="O59" s="70"/>
      <c r="P59" s="70"/>
      <c r="Q59" s="70"/>
      <c r="T59" s="120"/>
      <c r="U59" s="70"/>
      <c r="V59" s="70"/>
      <c r="W59" s="70"/>
      <c r="X59" s="70"/>
      <c r="AA59" s="120"/>
      <c r="AB59" s="70"/>
      <c r="AC59" s="70"/>
      <c r="AD59" s="70"/>
      <c r="AE59" s="70"/>
      <c r="AH59" s="12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121"/>
      <c r="G60" s="73"/>
      <c r="H60" s="73"/>
      <c r="I60" s="73"/>
      <c r="J60" s="73"/>
      <c r="K60" s="92"/>
      <c r="L60" s="124"/>
      <c r="M60" s="121"/>
      <c r="N60" s="73"/>
      <c r="O60" s="73"/>
      <c r="P60" s="73"/>
      <c r="Q60" s="73"/>
      <c r="R60" s="92"/>
      <c r="S60" s="124"/>
      <c r="T60" s="121"/>
      <c r="U60" s="73"/>
      <c r="V60" s="73"/>
      <c r="W60" s="73"/>
      <c r="X60" s="73"/>
      <c r="Y60" s="92"/>
      <c r="Z60" s="124"/>
      <c r="AA60" s="121"/>
      <c r="AB60" s="73"/>
      <c r="AC60" s="73"/>
      <c r="AD60" s="73"/>
      <c r="AE60" s="73"/>
      <c r="AF60" s="92"/>
      <c r="AG60" s="124"/>
      <c r="AH60" s="121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120"/>
      <c r="G61" s="70"/>
      <c r="H61" s="70"/>
      <c r="I61" s="70"/>
      <c r="J61" s="70"/>
      <c r="M61" s="120"/>
      <c r="N61" s="70"/>
      <c r="O61" s="70"/>
      <c r="P61" s="70"/>
      <c r="Q61" s="70"/>
      <c r="T61" s="120"/>
      <c r="U61" s="70"/>
      <c r="V61" s="70"/>
      <c r="W61" s="70"/>
      <c r="X61" s="70"/>
      <c r="AA61" s="120"/>
      <c r="AB61" s="70"/>
      <c r="AC61" s="70"/>
      <c r="AD61" s="70"/>
      <c r="AE61" s="70"/>
      <c r="AH61" s="12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120"/>
      <c r="N74" s="70"/>
      <c r="O74" s="70"/>
      <c r="P74" s="70"/>
      <c r="R74" s="70"/>
      <c r="S74" s="120"/>
      <c r="T74" s="120"/>
      <c r="U74" s="70"/>
      <c r="V74" s="70"/>
      <c r="W74" s="70"/>
      <c r="X74" s="70"/>
      <c r="Y74" s="70"/>
      <c r="Z74" s="120"/>
      <c r="AA74" s="120"/>
      <c r="AB74" s="70"/>
      <c r="AC74" s="70"/>
      <c r="AD74" s="70"/>
      <c r="AE74" s="70"/>
      <c r="AF74" s="70"/>
      <c r="AG74" s="120"/>
      <c r="AH74" s="12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124"/>
      <c r="G76" s="100"/>
      <c r="H76" s="100"/>
      <c r="I76" s="100"/>
      <c r="J76" s="100"/>
      <c r="K76" s="100"/>
      <c r="L76" s="124"/>
      <c r="M76" s="124"/>
      <c r="N76" s="100"/>
      <c r="O76" s="100"/>
      <c r="P76" s="100"/>
      <c r="Q76" s="100"/>
      <c r="R76" s="100"/>
      <c r="S76" s="124"/>
      <c r="T76" s="124"/>
      <c r="U76" s="100"/>
      <c r="V76" s="100"/>
      <c r="W76" s="100"/>
      <c r="X76" s="100"/>
      <c r="Y76" s="100"/>
      <c r="Z76" s="124"/>
      <c r="AA76" s="124"/>
      <c r="AB76" s="100"/>
      <c r="AC76" s="100"/>
      <c r="AD76" s="100"/>
      <c r="AE76" s="100"/>
      <c r="AF76" s="100"/>
      <c r="AG76" s="124"/>
      <c r="AH76" s="130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120"/>
      <c r="AC83" s="70"/>
      <c r="AD83" s="70"/>
      <c r="AF83" s="70"/>
      <c r="AG83" s="12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124"/>
      <c r="G87" s="92"/>
      <c r="H87" s="92"/>
      <c r="I87" s="92"/>
      <c r="J87" s="92"/>
      <c r="K87" s="92"/>
      <c r="L87" s="124"/>
      <c r="M87" s="124"/>
      <c r="N87" s="92"/>
      <c r="O87" s="92"/>
      <c r="P87" s="92"/>
      <c r="Q87" s="92"/>
      <c r="R87" s="92"/>
      <c r="S87" s="124"/>
      <c r="T87" s="124"/>
      <c r="U87" s="92"/>
      <c r="V87" s="73"/>
      <c r="W87" s="92"/>
      <c r="X87" s="92"/>
      <c r="Y87" s="73"/>
      <c r="Z87" s="124"/>
      <c r="AA87" s="124"/>
      <c r="AB87" s="92"/>
      <c r="AC87" s="92"/>
      <c r="AD87" s="92"/>
      <c r="AE87" s="92"/>
      <c r="AF87" s="92"/>
      <c r="AG87" s="124"/>
      <c r="AH87" s="124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8"/>
      <c r="G88" s="64"/>
      <c r="H88" s="83"/>
      <c r="I88" s="64"/>
      <c r="J88" s="64"/>
      <c r="K88" s="64"/>
      <c r="L88" s="68"/>
      <c r="M88" s="68"/>
      <c r="N88" s="64"/>
      <c r="O88" s="64"/>
      <c r="P88" s="64"/>
      <c r="Q88" s="64"/>
      <c r="R88" s="64"/>
      <c r="S88" s="68"/>
      <c r="T88" s="68"/>
      <c r="U88" s="64"/>
      <c r="V88" s="64"/>
      <c r="W88"/>
      <c r="X88"/>
      <c r="Y88" s="64"/>
      <c r="Z88" s="68"/>
      <c r="AA88" s="125"/>
      <c r="AB88" s="64"/>
      <c r="AC88" s="64"/>
      <c r="AD88" s="64"/>
      <c r="AE88" s="64"/>
      <c r="AF88" s="64"/>
      <c r="AG88" s="68"/>
      <c r="AH88" s="68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120"/>
      <c r="G89" s="70"/>
      <c r="H89" s="70"/>
      <c r="I89" s="70"/>
      <c r="J89" s="70"/>
      <c r="K89" s="70"/>
      <c r="L89" s="120"/>
      <c r="M89" s="120"/>
      <c r="N89" s="70"/>
      <c r="O89" s="64"/>
      <c r="P89" s="70"/>
      <c r="Q89" s="70"/>
      <c r="R89" s="70"/>
      <c r="S89" s="120"/>
      <c r="T89" s="120"/>
      <c r="U89" s="64"/>
      <c r="V89" s="64"/>
      <c r="W89" s="64"/>
      <c r="X89" s="64"/>
      <c r="Y89" s="70"/>
      <c r="Z89" s="120"/>
      <c r="AA89" s="120"/>
      <c r="AB89" s="70"/>
      <c r="AC89" s="64"/>
      <c r="AD89" s="70"/>
      <c r="AE89" s="64"/>
      <c r="AF89" s="70"/>
      <c r="AG89" s="120"/>
      <c r="AH89" s="12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120"/>
      <c r="G90" s="70"/>
      <c r="H90" s="70"/>
      <c r="I90" s="70"/>
      <c r="J90" s="70"/>
      <c r="K90" s="70"/>
      <c r="L90" s="120"/>
      <c r="M90" s="120"/>
      <c r="N90" s="70"/>
      <c r="O90" s="70"/>
      <c r="P90" s="70"/>
      <c r="Q90" s="70"/>
      <c r="R90" s="70"/>
      <c r="S90" s="120"/>
      <c r="T90" s="120"/>
      <c r="U90" s="70"/>
      <c r="V90" s="70"/>
      <c r="W90" s="70"/>
      <c r="X90" s="70"/>
      <c r="Y90" s="70"/>
      <c r="Z90" s="120"/>
      <c r="AA90" s="120"/>
      <c r="AB90" s="70"/>
      <c r="AC90" s="70"/>
      <c r="AD90" s="70"/>
      <c r="AE90" s="70"/>
      <c r="AF90" s="70"/>
      <c r="AG90" s="120"/>
      <c r="AH90" s="12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120"/>
      <c r="G91" s="70"/>
      <c r="H91" s="70"/>
      <c r="I91" s="70"/>
      <c r="J91" s="70"/>
      <c r="K91" s="70"/>
      <c r="L91" s="120"/>
      <c r="M91" s="120"/>
      <c r="N91" s="70"/>
      <c r="O91" s="70"/>
      <c r="P91" s="70"/>
      <c r="Q91" s="70"/>
      <c r="R91" s="70"/>
      <c r="S91" s="120"/>
      <c r="T91" s="120"/>
      <c r="U91" s="70"/>
      <c r="V91" s="70"/>
      <c r="W91" s="70"/>
      <c r="X91" s="70"/>
      <c r="Y91" s="70"/>
      <c r="Z91" s="120"/>
      <c r="AA91" s="120"/>
      <c r="AB91" s="70"/>
      <c r="AC91" s="70"/>
      <c r="AD91" s="70"/>
      <c r="AE91" s="70"/>
      <c r="AF91" s="70"/>
      <c r="AG91" s="120"/>
      <c r="AH91" s="12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120"/>
      <c r="G92" s="70"/>
      <c r="H92" s="70"/>
      <c r="I92" s="70"/>
      <c r="J92" s="70"/>
      <c r="K92" s="70"/>
      <c r="L92" s="120"/>
      <c r="M92" s="120"/>
      <c r="N92" s="70"/>
      <c r="O92" s="70"/>
      <c r="P92" s="70"/>
      <c r="Q92" s="70"/>
      <c r="R92" s="70"/>
      <c r="S92" s="120"/>
      <c r="T92" s="120"/>
      <c r="U92" s="70"/>
      <c r="V92" s="70"/>
      <c r="W92" s="70"/>
      <c r="X92" s="70"/>
      <c r="Y92" s="70"/>
      <c r="Z92" s="120"/>
      <c r="AA92" s="120"/>
      <c r="AB92" s="70"/>
      <c r="AC92" s="70"/>
      <c r="AD92" s="70"/>
      <c r="AE92" s="70"/>
      <c r="AF92" s="70"/>
      <c r="AG92" s="120"/>
      <c r="AH92" s="12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120"/>
      <c r="G93" s="70"/>
      <c r="H93" s="70"/>
      <c r="I93" s="70"/>
      <c r="J93" s="70"/>
      <c r="K93" s="70"/>
      <c r="L93" s="120"/>
      <c r="M93" s="120"/>
      <c r="N93" s="70"/>
      <c r="O93" s="70"/>
      <c r="P93" s="70"/>
      <c r="Q93" s="70"/>
      <c r="R93" s="70"/>
      <c r="S93" s="120"/>
      <c r="T93" s="120"/>
      <c r="U93" s="70"/>
      <c r="V93" s="70"/>
      <c r="W93" s="70"/>
      <c r="X93" s="70"/>
      <c r="Y93" s="70"/>
      <c r="Z93" s="120"/>
      <c r="AA93" s="120"/>
      <c r="AB93" s="70"/>
      <c r="AC93" s="70"/>
      <c r="AD93" s="70"/>
      <c r="AE93" s="70"/>
      <c r="AF93" s="70"/>
      <c r="AG93" s="120"/>
      <c r="AH93" s="12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120"/>
      <c r="G94" s="70"/>
      <c r="H94" s="70"/>
      <c r="I94" s="70"/>
      <c r="J94" s="70"/>
      <c r="K94" s="70"/>
      <c r="L94" s="120"/>
      <c r="M94" s="120"/>
      <c r="N94" s="70"/>
      <c r="O94" s="70"/>
      <c r="P94" s="70"/>
      <c r="Q94" s="70"/>
      <c r="R94" s="70"/>
      <c r="S94" s="120"/>
      <c r="T94" s="120"/>
      <c r="U94" s="70"/>
      <c r="V94" s="70"/>
      <c r="W94" s="70"/>
      <c r="X94" s="70"/>
      <c r="Y94" s="70"/>
      <c r="Z94" s="120"/>
      <c r="AA94" s="120"/>
      <c r="AB94" s="70"/>
      <c r="AC94" s="70"/>
      <c r="AD94" s="70"/>
      <c r="AE94" s="70"/>
      <c r="AF94" s="70"/>
      <c r="AG94" s="120"/>
      <c r="AH94" s="12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120"/>
      <c r="G95" s="70"/>
      <c r="H95" s="70"/>
      <c r="I95" s="70"/>
      <c r="J95" s="70"/>
      <c r="K95" s="70"/>
      <c r="L95" s="120"/>
      <c r="M95" s="120"/>
      <c r="N95" s="70"/>
      <c r="O95" s="70"/>
      <c r="P95" s="70"/>
      <c r="Q95" s="70"/>
      <c r="R95" s="70"/>
      <c r="S95" s="120"/>
      <c r="T95" s="120"/>
      <c r="U95" s="70"/>
      <c r="V95" s="70"/>
      <c r="W95" s="70"/>
      <c r="X95" s="70"/>
      <c r="Y95" s="70"/>
      <c r="Z95" s="120"/>
      <c r="AA95" s="120"/>
      <c r="AB95" s="70"/>
      <c r="AC95" s="70"/>
      <c r="AD95" s="70"/>
      <c r="AE95" s="70"/>
      <c r="AF95" s="70"/>
      <c r="AG95" s="120"/>
      <c r="AH95" s="12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8"/>
      <c r="G105" s="64"/>
      <c r="H105" s="64"/>
      <c r="I105" s="64"/>
      <c r="J105" s="64"/>
      <c r="K105" s="64"/>
      <c r="L105" s="68"/>
      <c r="M105" s="68"/>
      <c r="N105" s="64"/>
      <c r="O105" s="64"/>
      <c r="P105" s="64"/>
      <c r="Q105" s="64"/>
      <c r="R105" s="64"/>
      <c r="S105" s="68"/>
      <c r="T105" s="68"/>
      <c r="U105" s="64"/>
      <c r="V105" s="64"/>
      <c r="W105" s="64"/>
      <c r="X105" s="64"/>
      <c r="Y105" s="64"/>
      <c r="Z105" s="68"/>
      <c r="AA105" s="68"/>
      <c r="AB105" s="64"/>
      <c r="AC105" s="64"/>
      <c r="AD105" s="64"/>
      <c r="AE105" s="64"/>
      <c r="AF105" s="64"/>
      <c r="AG105" s="68"/>
      <c r="AH105" s="68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8"/>
      <c r="G106" s="64"/>
      <c r="H106" s="64"/>
      <c r="I106" s="64"/>
      <c r="J106" s="64"/>
      <c r="K106" s="64"/>
      <c r="L106" s="68"/>
      <c r="M106" s="68"/>
      <c r="N106" s="64"/>
      <c r="O106" s="64"/>
      <c r="P106" s="64"/>
      <c r="Q106" s="64"/>
      <c r="R106" s="64"/>
      <c r="S106" s="68"/>
      <c r="T106" s="68"/>
      <c r="U106" s="64"/>
      <c r="V106" s="64"/>
      <c r="W106" s="64"/>
      <c r="X106" s="64"/>
      <c r="Y106" s="64"/>
      <c r="Z106" s="68"/>
      <c r="AA106" s="68"/>
      <c r="AB106" s="64"/>
      <c r="AC106" s="64"/>
      <c r="AD106" s="64"/>
      <c r="AE106" s="64"/>
      <c r="AF106" s="64"/>
      <c r="AG106" s="68"/>
      <c r="AH106" s="68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8"/>
      <c r="G107" s="64"/>
      <c r="H107" s="64"/>
      <c r="I107" s="64"/>
      <c r="J107" s="64"/>
      <c r="K107" s="64"/>
      <c r="L107" s="68"/>
      <c r="M107" s="68"/>
      <c r="N107" s="64"/>
      <c r="O107" s="64"/>
      <c r="P107" s="64"/>
      <c r="Q107" s="64"/>
      <c r="R107" s="64"/>
      <c r="S107" s="68"/>
      <c r="T107" s="68"/>
      <c r="U107" s="64"/>
      <c r="V107" s="64"/>
      <c r="W107" s="64"/>
      <c r="X107" s="64"/>
      <c r="Y107" s="64"/>
      <c r="Z107" s="68"/>
      <c r="AA107" s="68"/>
      <c r="AB107" s="64"/>
      <c r="AC107" s="64"/>
      <c r="AD107" s="64"/>
      <c r="AE107" s="64"/>
      <c r="AF107" s="64"/>
      <c r="AG107" s="68"/>
      <c r="AH107" s="68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8"/>
      <c r="G108" s="64"/>
      <c r="H108" s="64"/>
      <c r="I108" s="64"/>
      <c r="J108" s="64"/>
      <c r="K108" s="64"/>
      <c r="L108" s="68"/>
      <c r="M108" s="68"/>
      <c r="N108" s="64"/>
      <c r="O108" s="64"/>
      <c r="P108" s="64"/>
      <c r="Q108" s="64"/>
      <c r="R108" s="64"/>
      <c r="S108" s="68"/>
      <c r="T108" s="68"/>
      <c r="U108" s="64"/>
      <c r="V108" s="64"/>
      <c r="W108" s="64"/>
      <c r="X108" s="64"/>
      <c r="Y108" s="64"/>
      <c r="Z108" s="68"/>
      <c r="AA108" s="68"/>
      <c r="AB108" s="64"/>
      <c r="AC108" s="64"/>
      <c r="AD108" s="64"/>
      <c r="AE108" s="64"/>
      <c r="AF108" s="64"/>
      <c r="AG108" s="68"/>
      <c r="AH108" s="68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8"/>
      <c r="G109" s="64"/>
      <c r="H109" s="64"/>
      <c r="I109" s="64"/>
      <c r="J109" s="64"/>
      <c r="K109" s="64"/>
      <c r="L109" s="68"/>
      <c r="M109" s="68"/>
      <c r="N109" s="64"/>
      <c r="O109" s="64"/>
      <c r="P109" s="64"/>
      <c r="Q109" s="64"/>
      <c r="R109" s="64"/>
      <c r="S109" s="68"/>
      <c r="T109" s="68"/>
      <c r="U109" s="64"/>
      <c r="V109" s="64"/>
      <c r="W109" s="64"/>
      <c r="X109" s="64"/>
      <c r="Y109" s="64"/>
      <c r="Z109" s="68"/>
      <c r="AA109" s="68"/>
      <c r="AB109" s="64"/>
      <c r="AC109" s="64"/>
      <c r="AD109" s="64"/>
      <c r="AE109" s="64"/>
      <c r="AF109" s="64"/>
      <c r="AG109" s="68"/>
      <c r="AH109" s="68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8"/>
      <c r="G110" s="64"/>
      <c r="H110" s="64"/>
      <c r="I110" s="64"/>
      <c r="J110" s="64"/>
      <c r="K110" s="64"/>
      <c r="L110" s="68"/>
      <c r="M110" s="68"/>
      <c r="N110" s="64"/>
      <c r="O110" s="64"/>
      <c r="P110" s="64"/>
      <c r="Q110" s="64"/>
      <c r="R110" s="64"/>
      <c r="S110" s="68"/>
      <c r="T110" s="68"/>
      <c r="U110" s="64"/>
      <c r="V110" s="64"/>
      <c r="W110" s="64"/>
      <c r="X110" s="64"/>
      <c r="Y110" s="64"/>
      <c r="Z110" s="68"/>
      <c r="AA110" s="68"/>
      <c r="AB110" s="64"/>
      <c r="AC110" s="64"/>
      <c r="AD110" s="64"/>
      <c r="AE110" s="64"/>
      <c r="AF110" s="64"/>
      <c r="AG110" s="68"/>
      <c r="AH110" s="68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8"/>
      <c r="G111" s="64"/>
      <c r="H111" s="64"/>
      <c r="I111" s="64"/>
      <c r="J111" s="64"/>
      <c r="K111" s="64"/>
      <c r="L111" s="68"/>
      <c r="M111" s="68"/>
      <c r="N111" s="64"/>
      <c r="O111" s="64"/>
      <c r="P111" s="64"/>
      <c r="Q111" s="64"/>
      <c r="R111" s="64"/>
      <c r="S111" s="68"/>
      <c r="T111" s="68"/>
      <c r="U111" s="64"/>
      <c r="V111" s="64"/>
      <c r="W111" s="64"/>
      <c r="X111" s="64"/>
      <c r="Y111" s="64"/>
      <c r="Z111" s="68"/>
      <c r="AA111" s="68"/>
      <c r="AB111" s="64"/>
      <c r="AC111" s="64"/>
      <c r="AD111" s="64"/>
      <c r="AE111" s="64"/>
      <c r="AF111" s="64"/>
      <c r="AG111" s="68"/>
      <c r="AH111" s="68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8"/>
      <c r="G112" s="64"/>
      <c r="H112" s="64"/>
      <c r="I112" s="64"/>
      <c r="J112" s="64"/>
      <c r="K112" s="64"/>
      <c r="L112" s="68"/>
      <c r="M112" s="68"/>
      <c r="N112" s="64"/>
      <c r="O112" s="64"/>
      <c r="P112" s="64"/>
      <c r="Q112" s="64"/>
      <c r="R112" s="64"/>
      <c r="S112" s="68"/>
      <c r="T112" s="68"/>
      <c r="U112" s="64"/>
      <c r="V112" s="64"/>
      <c r="W112" s="64"/>
      <c r="X112" s="64"/>
      <c r="Y112" s="64"/>
      <c r="Z112" s="68"/>
      <c r="AA112" s="68"/>
      <c r="AB112" s="64"/>
      <c r="AC112" s="64"/>
      <c r="AD112" s="64"/>
      <c r="AE112" s="64"/>
      <c r="AF112" s="64"/>
      <c r="AG112" s="68"/>
      <c r="AH112" s="68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8"/>
      <c r="G113" s="64"/>
      <c r="H113" s="64"/>
      <c r="I113" s="64"/>
      <c r="J113" s="64"/>
      <c r="K113" s="64"/>
      <c r="L113" s="68"/>
      <c r="M113" s="68"/>
      <c r="N113" s="64"/>
      <c r="O113" s="64"/>
      <c r="P113" s="64"/>
      <c r="Q113" s="64"/>
      <c r="R113" s="64"/>
      <c r="S113" s="68"/>
      <c r="T113" s="68"/>
      <c r="U113" s="64"/>
      <c r="V113" s="64"/>
      <c r="W113" s="64"/>
      <c r="X113" s="64"/>
      <c r="Y113" s="64"/>
      <c r="Z113" s="68"/>
      <c r="AA113" s="68"/>
      <c r="AB113" s="64"/>
      <c r="AC113" s="64"/>
      <c r="AD113" s="64"/>
      <c r="AE113" s="64"/>
      <c r="AF113" s="64"/>
      <c r="AG113" s="68"/>
      <c r="AH113" s="68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8"/>
      <c r="G114" s="64"/>
      <c r="H114" s="64"/>
      <c r="I114" s="64"/>
      <c r="J114" s="64"/>
      <c r="K114" s="64"/>
      <c r="L114" s="68"/>
      <c r="M114" s="68"/>
      <c r="N114" s="64"/>
      <c r="O114" s="64"/>
      <c r="P114" s="64"/>
      <c r="Q114" s="64"/>
      <c r="R114" s="64"/>
      <c r="S114" s="68"/>
      <c r="T114" s="68"/>
      <c r="U114" s="64"/>
      <c r="V114" s="64"/>
      <c r="W114" s="64"/>
      <c r="X114" s="64"/>
      <c r="Y114" s="64"/>
      <c r="Z114" s="68"/>
      <c r="AA114" s="68"/>
      <c r="AB114" s="64"/>
      <c r="AC114" s="64"/>
      <c r="AD114" s="64"/>
      <c r="AE114" s="64"/>
      <c r="AF114" s="64"/>
      <c r="AG114" s="68"/>
      <c r="AH114" s="68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8"/>
      <c r="G115" s="64"/>
      <c r="H115" s="64"/>
      <c r="I115" s="64"/>
      <c r="J115" s="64"/>
      <c r="K115" s="64"/>
      <c r="L115" s="68"/>
      <c r="M115" s="68"/>
      <c r="N115" s="64"/>
      <c r="O115" s="64"/>
      <c r="P115" s="64"/>
      <c r="Q115" s="64"/>
      <c r="R115" s="64"/>
      <c r="S115" s="68"/>
      <c r="T115" s="68"/>
      <c r="U115" s="64"/>
      <c r="V115" s="64"/>
      <c r="W115" s="64"/>
      <c r="X115" s="64"/>
      <c r="Y115" s="64"/>
      <c r="Z115" s="68"/>
      <c r="AA115" s="68"/>
      <c r="AB115" s="64"/>
      <c r="AC115" s="64"/>
      <c r="AD115" s="64"/>
      <c r="AE115" s="64"/>
      <c r="AF115" s="64"/>
      <c r="AG115" s="68"/>
      <c r="AH115" s="68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8"/>
      <c r="G116" s="64"/>
      <c r="H116" s="64"/>
      <c r="I116" s="64"/>
      <c r="J116" s="64"/>
      <c r="K116" s="64"/>
      <c r="L116" s="68"/>
      <c r="M116" s="68"/>
      <c r="N116" s="64"/>
      <c r="O116" s="64"/>
      <c r="P116" s="64"/>
      <c r="Q116" s="64"/>
      <c r="R116" s="64"/>
      <c r="S116" s="68"/>
      <c r="T116" s="68"/>
      <c r="U116" s="64"/>
      <c r="V116" s="64"/>
      <c r="W116" s="64"/>
      <c r="X116" s="64"/>
      <c r="Y116" s="64"/>
      <c r="Z116" s="68"/>
      <c r="AA116" s="68"/>
      <c r="AB116" s="64"/>
      <c r="AC116" s="64"/>
      <c r="AD116" s="64"/>
      <c r="AE116" s="64"/>
      <c r="AF116" s="64"/>
      <c r="AG116" s="68"/>
      <c r="AH116" s="68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124"/>
      <c r="G117" s="92"/>
      <c r="H117" s="92"/>
      <c r="I117" s="92"/>
      <c r="J117" s="92"/>
      <c r="K117" s="92"/>
      <c r="L117" s="124"/>
      <c r="M117" s="124"/>
      <c r="N117" s="92"/>
      <c r="O117" s="92"/>
      <c r="P117" s="92"/>
      <c r="Q117" s="92"/>
      <c r="R117" s="92"/>
      <c r="S117" s="124"/>
      <c r="T117" s="124"/>
      <c r="U117" s="92"/>
      <c r="V117" s="92"/>
      <c r="W117" s="92"/>
      <c r="X117" s="92"/>
      <c r="Y117" s="92"/>
      <c r="Z117" s="124"/>
      <c r="AA117" s="124"/>
      <c r="AB117" s="92"/>
      <c r="AC117" s="92"/>
      <c r="AD117" s="92"/>
      <c r="AE117" s="92"/>
      <c r="AF117" s="92"/>
      <c r="AG117" s="124"/>
      <c r="AH117" s="124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120"/>
      <c r="AC118" s="70"/>
      <c r="AD118" s="70"/>
      <c r="AF118" s="70"/>
      <c r="AG118" s="12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23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8"/>
      <c r="G122" s="64"/>
      <c r="H122" s="64"/>
      <c r="I122" s="64"/>
      <c r="J122" s="64"/>
      <c r="K122" s="64"/>
      <c r="L122" s="68"/>
      <c r="M122" s="68"/>
      <c r="N122" s="64"/>
      <c r="O122" s="64"/>
      <c r="P122" s="64"/>
      <c r="Q122" s="80"/>
      <c r="R122" s="70"/>
      <c r="S122" s="68"/>
      <c r="T122" s="68"/>
      <c r="U122" s="70"/>
      <c r="V122" s="64"/>
      <c r="W122" s="64"/>
      <c r="X122" s="64"/>
      <c r="Y122" s="64"/>
      <c r="Z122" s="68"/>
      <c r="AA122" s="68"/>
      <c r="AB122" s="64"/>
      <c r="AC122" s="80"/>
      <c r="AD122" s="64"/>
      <c r="AE122" s="64"/>
      <c r="AF122" s="64"/>
      <c r="AG122" s="68"/>
      <c r="AH122" s="68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120"/>
      <c r="Q125" s="70"/>
      <c r="S125" s="12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8"/>
      <c r="G126" s="64"/>
      <c r="H126" s="64"/>
      <c r="I126" s="64"/>
      <c r="J126" s="64"/>
      <c r="K126" s="64"/>
      <c r="L126" s="68"/>
      <c r="M126" s="120"/>
      <c r="N126" s="64"/>
      <c r="O126" s="64"/>
      <c r="P126" s="64"/>
      <c r="Q126" s="70"/>
      <c r="R126" s="64"/>
      <c r="S126" s="120"/>
      <c r="T126" s="68"/>
      <c r="U126" s="64"/>
      <c r="V126" s="64"/>
      <c r="W126" s="70"/>
      <c r="X126" s="64"/>
      <c r="Y126" s="64"/>
      <c r="Z126" s="68"/>
      <c r="AA126" s="68"/>
      <c r="AB126" s="64"/>
      <c r="AC126" s="64"/>
      <c r="AD126" s="64"/>
      <c r="AE126" s="64"/>
      <c r="AF126" s="64"/>
      <c r="AG126" s="68"/>
      <c r="AH126" s="68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120"/>
      <c r="T127" s="12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120"/>
      <c r="G128" s="70"/>
      <c r="H128" s="70"/>
      <c r="I128" s="70"/>
      <c r="J128" s="70"/>
      <c r="M128" s="120"/>
      <c r="N128" s="70"/>
      <c r="O128" s="70"/>
      <c r="P128" s="70"/>
      <c r="Q128" s="70"/>
      <c r="R128" s="70"/>
      <c r="S128" s="120"/>
      <c r="T128" s="120"/>
      <c r="V128" s="70"/>
      <c r="W128" s="70"/>
      <c r="X128" s="70"/>
      <c r="Z128" s="120"/>
      <c r="AA128" s="120"/>
      <c r="AB128" s="70"/>
      <c r="AC128" s="70"/>
      <c r="AD128" s="70"/>
      <c r="AE128" s="70"/>
      <c r="AF128" s="70"/>
      <c r="AG128" s="120"/>
      <c r="AH128" s="12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127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120"/>
      <c r="G134" s="70"/>
      <c r="I134" s="70"/>
      <c r="J134" s="70"/>
      <c r="M134" s="120"/>
      <c r="N134" s="70"/>
      <c r="O134" s="70"/>
      <c r="P134" s="70"/>
      <c r="Q134" s="70"/>
      <c r="R134" s="70"/>
      <c r="T134" s="120"/>
      <c r="U134" s="70"/>
      <c r="V134" s="70"/>
      <c r="Y134" s="70"/>
      <c r="Z134" s="120"/>
      <c r="AA134" s="120"/>
      <c r="AB134" s="70"/>
      <c r="AC134" s="7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122"/>
      <c r="AC135" s="70"/>
      <c r="AD135" s="70"/>
      <c r="AF135" s="7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121"/>
      <c r="G136" s="73"/>
      <c r="H136" s="73"/>
      <c r="I136" s="73"/>
      <c r="J136" s="73"/>
      <c r="K136" s="73"/>
      <c r="L136" s="121"/>
      <c r="M136" s="121"/>
      <c r="N136" s="73"/>
      <c r="O136" s="73"/>
      <c r="P136" s="73"/>
      <c r="Q136" s="73"/>
      <c r="R136" s="73"/>
      <c r="S136" s="121"/>
      <c r="T136" s="121"/>
      <c r="U136" s="73"/>
      <c r="V136" s="73"/>
      <c r="W136" s="73"/>
      <c r="X136" s="73"/>
      <c r="Y136" s="73"/>
      <c r="Z136" s="121"/>
      <c r="AA136" s="121"/>
      <c r="AB136" s="73"/>
      <c r="AC136" s="73"/>
      <c r="AD136" s="73"/>
      <c r="AE136" s="73"/>
      <c r="AF136" s="73"/>
      <c r="AG136" s="121"/>
      <c r="AH136" s="121"/>
      <c r="AI136" s="73"/>
      <c r="AJ136" s="73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120"/>
      <c r="G137" s="70"/>
      <c r="H137" s="70"/>
      <c r="I137" s="70"/>
      <c r="J137" s="70"/>
      <c r="K137" s="70"/>
      <c r="L137" s="120"/>
      <c r="M137" s="120"/>
      <c r="N137" s="70"/>
      <c r="O137" s="70"/>
      <c r="P137" s="70"/>
      <c r="Q137" s="70"/>
      <c r="R137" s="70"/>
      <c r="S137" s="120"/>
      <c r="T137" s="120"/>
      <c r="U137" s="70"/>
      <c r="V137" s="70"/>
      <c r="W137" s="70"/>
      <c r="X137" s="70"/>
      <c r="Y137" s="70"/>
      <c r="Z137" s="120"/>
      <c r="AA137" s="120"/>
      <c r="AB137" s="70"/>
      <c r="AC137" s="70"/>
      <c r="AD137" s="64"/>
      <c r="AE137" s="64"/>
      <c r="AF137" s="64"/>
      <c r="AG137" s="68"/>
      <c r="AH137" s="68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8"/>
      <c r="G138" s="64"/>
      <c r="H138" s="64"/>
      <c r="I138" s="64"/>
      <c r="J138" s="64"/>
      <c r="K138" s="64"/>
      <c r="L138" s="68"/>
      <c r="M138" s="68"/>
      <c r="N138" s="64"/>
      <c r="O138" s="64"/>
      <c r="P138" s="64"/>
      <c r="Q138" s="64"/>
      <c r="R138" s="64"/>
      <c r="S138" s="68"/>
      <c r="T138" s="68"/>
      <c r="U138" s="64"/>
      <c r="V138" s="64"/>
      <c r="W138" s="64"/>
      <c r="X138" s="64"/>
      <c r="Y138" s="64"/>
      <c r="Z138" s="68"/>
      <c r="AA138" s="68"/>
      <c r="AB138" s="64"/>
      <c r="AC138" s="64"/>
      <c r="AD138" s="64"/>
      <c r="AE138" s="64"/>
      <c r="AF138" s="64"/>
      <c r="AG138" s="68"/>
      <c r="AH138" s="68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G146" s="64"/>
      <c r="H146" s="64"/>
      <c r="I146" s="64"/>
      <c r="J146" s="64"/>
      <c r="K146" s="64"/>
      <c r="N146" s="64"/>
      <c r="O146" s="64"/>
      <c r="P146" s="64"/>
      <c r="Q146" s="64"/>
      <c r="R146" s="64"/>
      <c r="U146" s="64"/>
      <c r="V146" s="64"/>
      <c r="W146" s="64"/>
      <c r="X146" s="64"/>
      <c r="Y146" s="64"/>
      <c r="AB146" s="64"/>
      <c r="AC146" s="64"/>
      <c r="AD146" s="64"/>
      <c r="AE146" s="64"/>
      <c r="AF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G147" s="64"/>
      <c r="H147" s="64"/>
      <c r="I147" s="64"/>
      <c r="J147" s="64"/>
      <c r="K147" s="64"/>
      <c r="N147" s="64"/>
      <c r="O147" s="64"/>
      <c r="P147" s="64"/>
      <c r="Q147" s="64"/>
      <c r="R147" s="64"/>
      <c r="U147" s="64"/>
      <c r="V147" s="64"/>
      <c r="W147" s="64"/>
      <c r="X147" s="64"/>
      <c r="Y147" s="64"/>
      <c r="AB147" s="64"/>
      <c r="AC147" s="64"/>
      <c r="AD147" s="64"/>
      <c r="AE147" s="64"/>
      <c r="AF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G148" s="64"/>
      <c r="H148" s="64"/>
      <c r="I148" s="64"/>
      <c r="J148" s="64"/>
      <c r="K148" s="64"/>
      <c r="N148" s="64"/>
      <c r="O148" s="64"/>
      <c r="P148" s="64"/>
      <c r="Q148" s="64"/>
      <c r="R148" s="64"/>
      <c r="U148" s="64"/>
      <c r="V148" s="64"/>
      <c r="W148" s="64"/>
      <c r="X148" s="64"/>
      <c r="Y148" s="64"/>
      <c r="AB148" s="64"/>
      <c r="AC148" s="64"/>
      <c r="AD148" s="64"/>
      <c r="AE148" s="64"/>
      <c r="AF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G149" s="64"/>
      <c r="H149" s="64"/>
      <c r="I149" s="64"/>
      <c r="J149" s="64"/>
      <c r="K149" s="64"/>
      <c r="N149" s="64"/>
      <c r="O149" s="64"/>
      <c r="P149" s="64"/>
      <c r="Q149" s="64"/>
      <c r="R149" s="64"/>
      <c r="U149" s="64"/>
      <c r="V149" s="64"/>
      <c r="W149" s="64"/>
      <c r="X149" s="64"/>
      <c r="Y149" s="64"/>
      <c r="AB149" s="64"/>
      <c r="AC149" s="64"/>
      <c r="AD149" s="64"/>
      <c r="AE149" s="64"/>
      <c r="AF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G150" s="64"/>
      <c r="H150" s="64"/>
      <c r="I150" s="64"/>
      <c r="J150" s="64"/>
      <c r="K150" s="64"/>
      <c r="N150" s="64"/>
      <c r="O150" s="64"/>
      <c r="P150" s="64"/>
      <c r="Q150" s="64"/>
      <c r="R150" s="64"/>
      <c r="U150" s="64"/>
      <c r="V150" s="64"/>
      <c r="W150" s="64"/>
      <c r="X150" s="64"/>
      <c r="Y150" s="64"/>
      <c r="AB150" s="64"/>
      <c r="AC150" s="64"/>
      <c r="AD150" s="64"/>
      <c r="AE150" s="64"/>
      <c r="AF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G151" s="64"/>
      <c r="H151" s="64"/>
      <c r="I151" s="64"/>
      <c r="J151" s="64"/>
      <c r="K151" s="64"/>
      <c r="N151" s="64"/>
      <c r="O151" s="64"/>
      <c r="P151" s="64"/>
      <c r="Q151" s="64"/>
      <c r="R151" s="64"/>
      <c r="U151" s="64"/>
      <c r="V151" s="64"/>
      <c r="W151" s="64"/>
      <c r="X151" s="64"/>
      <c r="Y151" s="64"/>
      <c r="AB151" s="64"/>
      <c r="AC151" s="64"/>
      <c r="AD151" s="64"/>
      <c r="AE151" s="64"/>
      <c r="AF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G152" s="64"/>
      <c r="H152" s="64"/>
      <c r="I152" s="64"/>
      <c r="J152" s="64"/>
      <c r="K152" s="64"/>
      <c r="N152" s="64"/>
      <c r="O152" s="64"/>
      <c r="P152" s="64"/>
      <c r="Q152" s="64"/>
      <c r="R152" s="64"/>
      <c r="U152" s="64"/>
      <c r="V152" s="64"/>
      <c r="W152" s="64"/>
      <c r="X152" s="64"/>
      <c r="Y152" s="64"/>
      <c r="AB152" s="64"/>
      <c r="AC152" s="64"/>
      <c r="AD152" s="64"/>
      <c r="AE152" s="64"/>
      <c r="AF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G153" s="64"/>
      <c r="H153" s="64"/>
      <c r="I153" s="64"/>
      <c r="J153" s="64"/>
      <c r="K153" s="64"/>
      <c r="N153" s="64"/>
      <c r="O153" s="64"/>
      <c r="P153" s="64"/>
      <c r="Q153" s="64"/>
      <c r="R153" s="64"/>
      <c r="U153" s="64"/>
      <c r="V153" s="64"/>
      <c r="W153" s="64"/>
      <c r="X153" s="64"/>
      <c r="Y153" s="64"/>
      <c r="AB153" s="64"/>
      <c r="AC153" s="64"/>
      <c r="AD153" s="64"/>
      <c r="AE153" s="64"/>
      <c r="AF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G154" s="64"/>
      <c r="H154" s="64"/>
      <c r="I154" s="64"/>
      <c r="J154" s="64"/>
      <c r="K154" s="64"/>
      <c r="N154" s="64"/>
      <c r="O154" s="64"/>
      <c r="P154" s="64"/>
      <c r="Q154" s="64"/>
      <c r="R154" s="64"/>
      <c r="U154" s="64"/>
      <c r="V154" s="64"/>
      <c r="W154" s="64"/>
      <c r="X154" s="64"/>
      <c r="Y154" s="64"/>
      <c r="AB154" s="64"/>
      <c r="AC154" s="64"/>
      <c r="AD154" s="64"/>
      <c r="AE154" s="64"/>
      <c r="AF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G155" s="64"/>
      <c r="H155" s="64"/>
      <c r="I155" s="64"/>
      <c r="J155" s="64"/>
      <c r="K155" s="64"/>
      <c r="N155" s="64"/>
      <c r="O155" s="64"/>
      <c r="P155" s="64"/>
      <c r="Q155" s="64"/>
      <c r="R155" s="64"/>
      <c r="U155" s="64"/>
      <c r="V155" s="64"/>
      <c r="W155" s="64"/>
      <c r="X155" s="64"/>
      <c r="Y155" s="64"/>
      <c r="AB155" s="64"/>
      <c r="AC155" s="64"/>
      <c r="AD155" s="64"/>
      <c r="AE155" s="64"/>
      <c r="AF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G156" s="64"/>
      <c r="H156" s="64"/>
      <c r="I156" s="64"/>
      <c r="J156" s="64"/>
      <c r="K156" s="64"/>
      <c r="N156" s="64"/>
      <c r="O156" s="64"/>
      <c r="P156" s="64"/>
      <c r="Q156" s="64"/>
      <c r="R156" s="64"/>
      <c r="U156" s="64"/>
      <c r="V156" s="64"/>
      <c r="W156" s="64"/>
      <c r="X156" s="64"/>
      <c r="Y156" s="64"/>
      <c r="AB156" s="64"/>
      <c r="AC156" s="64"/>
      <c r="AD156" s="64"/>
      <c r="AE156" s="64"/>
      <c r="AF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G157" s="64"/>
      <c r="H157" s="64"/>
      <c r="I157" s="64"/>
      <c r="J157" s="64"/>
      <c r="K157" s="64"/>
      <c r="N157" s="64"/>
      <c r="O157" s="64"/>
      <c r="P157" s="64"/>
      <c r="Q157" s="64"/>
      <c r="R157" s="64"/>
      <c r="U157" s="64"/>
      <c r="V157" s="64"/>
      <c r="W157" s="64"/>
      <c r="X157" s="64"/>
      <c r="Y157" s="64"/>
      <c r="AB157" s="64"/>
      <c r="AC157" s="64"/>
      <c r="AD157" s="64"/>
      <c r="AE157" s="64"/>
      <c r="AF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G158" s="64"/>
      <c r="H158" s="64"/>
      <c r="I158" s="64"/>
      <c r="J158" s="64"/>
      <c r="K158" s="64"/>
      <c r="N158" s="64"/>
      <c r="O158" s="64"/>
      <c r="P158" s="64"/>
      <c r="Q158" s="64"/>
      <c r="R158" s="64"/>
      <c r="U158" s="64"/>
      <c r="V158" s="64"/>
      <c r="W158" s="64"/>
      <c r="X158" s="64"/>
      <c r="Y158" s="64"/>
      <c r="AB158" s="64"/>
      <c r="AC158" s="64"/>
      <c r="AD158" s="64"/>
      <c r="AE158" s="64"/>
      <c r="AF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G159" s="64"/>
      <c r="H159" s="64"/>
      <c r="I159" s="64"/>
      <c r="J159" s="64"/>
      <c r="K159" s="64"/>
      <c r="N159" s="64"/>
      <c r="O159" s="64"/>
      <c r="P159" s="64"/>
      <c r="Q159" s="64"/>
      <c r="R159" s="64"/>
      <c r="U159" s="64"/>
      <c r="V159" s="64"/>
      <c r="W159" s="64"/>
      <c r="X159" s="64"/>
      <c r="Y159" s="64"/>
      <c r="AB159" s="64"/>
      <c r="AC159" s="64"/>
      <c r="AD159" s="64"/>
      <c r="AE159" s="64"/>
      <c r="AF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G160" s="64"/>
      <c r="H160" s="64"/>
      <c r="I160" s="64"/>
      <c r="J160" s="64"/>
      <c r="K160" s="64"/>
      <c r="N160" s="64"/>
      <c r="O160" s="64"/>
      <c r="P160" s="64"/>
      <c r="Q160" s="64"/>
      <c r="R160" s="64"/>
      <c r="U160" s="64"/>
      <c r="V160" s="64"/>
      <c r="W160" s="64"/>
      <c r="X160" s="64"/>
      <c r="Y160" s="64"/>
      <c r="AB160" s="64"/>
      <c r="AC160" s="64"/>
      <c r="AD160" s="64"/>
      <c r="AE160" s="64"/>
      <c r="AF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G161" s="64"/>
      <c r="H161" s="64"/>
      <c r="I161" s="64"/>
      <c r="J161" s="64"/>
      <c r="K161" s="64"/>
      <c r="N161" s="64"/>
      <c r="O161" s="64"/>
      <c r="P161" s="64"/>
      <c r="Q161" s="64"/>
      <c r="R161" s="64"/>
      <c r="U161" s="64"/>
      <c r="V161" s="64"/>
      <c r="W161" s="64"/>
      <c r="X161" s="64"/>
      <c r="Y161" s="64"/>
      <c r="AB161" s="64"/>
      <c r="AC161" s="64"/>
      <c r="AD161" s="64"/>
      <c r="AE161" s="64"/>
      <c r="AF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G162" s="64"/>
      <c r="H162" s="64"/>
      <c r="I162" s="64"/>
      <c r="J162" s="64"/>
      <c r="K162" s="64"/>
      <c r="N162" s="64"/>
      <c r="O162" s="64"/>
      <c r="P162" s="64"/>
      <c r="Q162" s="64"/>
      <c r="R162" s="64"/>
      <c r="U162" s="64"/>
      <c r="V162" s="64"/>
      <c r="W162" s="64"/>
      <c r="X162" s="64"/>
      <c r="Y162" s="64"/>
      <c r="AB162" s="64"/>
      <c r="AC162" s="64"/>
      <c r="AD162" s="64"/>
      <c r="AE162" s="64"/>
      <c r="AF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G163" s="64"/>
      <c r="H163" s="64"/>
      <c r="I163" s="64"/>
      <c r="J163" s="64"/>
      <c r="K163" s="64"/>
      <c r="N163" s="64"/>
      <c r="O163" s="64"/>
      <c r="P163" s="64"/>
      <c r="Q163" s="64"/>
      <c r="R163" s="64"/>
      <c r="U163" s="64"/>
      <c r="V163" s="64"/>
      <c r="W163" s="64"/>
      <c r="X163" s="64"/>
      <c r="Y163" s="64"/>
      <c r="AB163" s="64"/>
      <c r="AC163" s="64"/>
      <c r="AD163" s="64"/>
      <c r="AE163" s="64"/>
      <c r="AF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G164" s="64"/>
      <c r="H164" s="64"/>
      <c r="I164" s="64"/>
      <c r="J164" s="64"/>
      <c r="K164" s="64"/>
      <c r="N164" s="64"/>
      <c r="O164" s="64"/>
      <c r="P164" s="64"/>
      <c r="Q164" s="64"/>
      <c r="R164" s="64"/>
      <c r="U164" s="64"/>
      <c r="V164" s="64"/>
      <c r="W164" s="64"/>
      <c r="X164" s="64"/>
      <c r="Y164" s="64"/>
      <c r="AB164" s="64"/>
      <c r="AC164" s="64"/>
      <c r="AD164" s="64"/>
      <c r="AE164" s="64"/>
      <c r="AF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G165" s="64"/>
      <c r="H165" s="64"/>
      <c r="I165" s="64"/>
      <c r="J165" s="64"/>
      <c r="K165" s="64"/>
      <c r="N165" s="64"/>
      <c r="O165" s="64"/>
      <c r="P165" s="64"/>
      <c r="Q165" s="64"/>
      <c r="R165" s="64"/>
      <c r="U165" s="64"/>
      <c r="V165" s="64"/>
      <c r="W165" s="64"/>
      <c r="X165" s="64"/>
      <c r="Y165" s="64"/>
      <c r="AB165" s="64"/>
      <c r="AC165" s="64"/>
      <c r="AD165" s="64"/>
      <c r="AE165" s="64"/>
      <c r="AF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G166" s="64"/>
      <c r="H166" s="64"/>
      <c r="I166" s="64"/>
      <c r="J166" s="64"/>
      <c r="K166" s="64"/>
      <c r="N166" s="64"/>
      <c r="O166" s="64"/>
      <c r="P166" s="64"/>
      <c r="Q166" s="64"/>
      <c r="R166" s="64"/>
      <c r="U166" s="64"/>
      <c r="V166" s="64"/>
      <c r="W166" s="64"/>
      <c r="X166" s="64"/>
      <c r="Y166" s="64"/>
      <c r="AB166" s="64"/>
      <c r="AC166" s="64"/>
      <c r="AD166" s="64"/>
      <c r="AE166" s="64"/>
      <c r="AF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G167" s="64"/>
      <c r="H167" s="64"/>
      <c r="I167" s="64"/>
      <c r="J167" s="64"/>
      <c r="K167" s="64"/>
      <c r="N167" s="64"/>
      <c r="O167" s="64"/>
      <c r="P167" s="64"/>
      <c r="Q167" s="64"/>
      <c r="R167" s="64"/>
      <c r="U167" s="64"/>
      <c r="V167" s="64"/>
      <c r="W167" s="64"/>
      <c r="X167" s="64"/>
      <c r="Y167" s="64"/>
      <c r="AB167" s="64"/>
      <c r="AC167" s="64"/>
      <c r="AD167" s="64"/>
      <c r="AE167" s="64"/>
      <c r="AF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G168" s="64"/>
      <c r="H168" s="64"/>
      <c r="I168" s="64"/>
      <c r="J168" s="64"/>
      <c r="K168" s="64"/>
      <c r="N168" s="64"/>
      <c r="O168" s="64"/>
      <c r="P168" s="64"/>
      <c r="Q168" s="64"/>
      <c r="R168" s="64"/>
      <c r="U168" s="64"/>
      <c r="V168" s="64"/>
      <c r="W168" s="64"/>
      <c r="X168" s="64"/>
      <c r="Y168" s="64"/>
      <c r="AB168" s="64"/>
      <c r="AC168" s="64"/>
      <c r="AD168" s="64"/>
      <c r="AE168" s="64"/>
      <c r="AF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G169" s="64"/>
      <c r="H169" s="64"/>
      <c r="I169" s="64"/>
      <c r="J169" s="64"/>
      <c r="K169" s="64"/>
      <c r="N169" s="64"/>
      <c r="O169" s="64"/>
      <c r="P169" s="64"/>
      <c r="Q169" s="64"/>
      <c r="R169" s="64"/>
      <c r="U169" s="64"/>
      <c r="V169" s="64"/>
      <c r="W169" s="64"/>
      <c r="X169" s="64"/>
      <c r="Y169" s="64"/>
      <c r="AB169" s="64"/>
      <c r="AC169" s="64"/>
      <c r="AD169" s="64"/>
      <c r="AE169" s="64"/>
      <c r="AF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G170" s="64"/>
      <c r="H170" s="64"/>
      <c r="I170" s="64"/>
      <c r="J170" s="64"/>
      <c r="K170" s="64"/>
      <c r="N170" s="64"/>
      <c r="O170" s="64"/>
      <c r="P170" s="64"/>
      <c r="Q170" s="64"/>
      <c r="R170" s="64"/>
      <c r="U170" s="64"/>
      <c r="V170" s="64"/>
      <c r="W170" s="64"/>
      <c r="X170" s="64"/>
      <c r="Y170" s="64"/>
      <c r="AB170" s="64"/>
      <c r="AC170" s="64"/>
      <c r="AD170" s="64"/>
      <c r="AE170" s="64"/>
      <c r="AF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G171" s="64"/>
      <c r="H171" s="64"/>
      <c r="I171" s="64"/>
      <c r="J171" s="64"/>
      <c r="K171" s="64"/>
      <c r="N171" s="64"/>
      <c r="O171" s="64"/>
      <c r="P171" s="64"/>
      <c r="Q171" s="64"/>
      <c r="R171" s="64"/>
      <c r="U171" s="64"/>
      <c r="V171" s="64"/>
      <c r="W171" s="64"/>
      <c r="X171" s="64"/>
      <c r="Y171" s="64"/>
      <c r="AB171" s="64"/>
      <c r="AC171" s="64"/>
      <c r="AD171" s="64"/>
      <c r="AE171" s="64"/>
      <c r="AF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G172" s="64"/>
      <c r="H172" s="64"/>
      <c r="I172" s="64"/>
      <c r="J172" s="64"/>
      <c r="K172" s="64"/>
      <c r="N172" s="64"/>
      <c r="O172" s="64"/>
      <c r="P172" s="64"/>
      <c r="Q172" s="64"/>
      <c r="R172" s="64"/>
      <c r="U172" s="64"/>
      <c r="V172" s="64"/>
      <c r="W172" s="64"/>
      <c r="X172" s="64"/>
      <c r="Y172" s="64"/>
      <c r="AB172" s="64"/>
      <c r="AC172" s="64"/>
      <c r="AD172" s="64"/>
      <c r="AE172" s="64"/>
      <c r="AF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G173" s="64"/>
      <c r="H173" s="64"/>
      <c r="I173" s="64"/>
      <c r="J173" s="64"/>
      <c r="K173" s="64"/>
      <c r="N173" s="64"/>
      <c r="O173" s="64"/>
      <c r="P173" s="64"/>
      <c r="Q173" s="64"/>
      <c r="R173" s="64"/>
      <c r="U173" s="64"/>
      <c r="V173" s="64"/>
      <c r="W173" s="64"/>
      <c r="X173" s="64"/>
      <c r="Y173" s="64"/>
      <c r="AB173" s="64"/>
      <c r="AC173" s="64"/>
      <c r="AD173" s="64"/>
      <c r="AE173" s="64"/>
      <c r="AF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G174" s="64"/>
      <c r="H174" s="64"/>
      <c r="I174" s="64"/>
      <c r="J174" s="64"/>
      <c r="K174" s="64"/>
      <c r="N174" s="64"/>
      <c r="O174" s="64"/>
      <c r="P174" s="64"/>
      <c r="Q174" s="64"/>
      <c r="R174" s="64"/>
      <c r="U174" s="64"/>
      <c r="V174" s="64"/>
      <c r="W174" s="64"/>
      <c r="X174" s="64"/>
      <c r="Y174" s="64"/>
      <c r="AB174" s="64"/>
      <c r="AC174" s="64"/>
      <c r="AD174" s="64"/>
      <c r="AE174" s="64"/>
      <c r="AF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G175" s="64"/>
      <c r="H175" s="64"/>
      <c r="I175" s="64"/>
      <c r="J175" s="64"/>
      <c r="K175" s="64"/>
      <c r="N175" s="64"/>
      <c r="O175" s="64"/>
      <c r="P175" s="64"/>
      <c r="Q175" s="64"/>
      <c r="R175" s="64"/>
      <c r="U175" s="64"/>
      <c r="V175" s="64"/>
      <c r="W175" s="64"/>
      <c r="X175" s="64"/>
      <c r="Y175" s="64"/>
      <c r="AB175" s="64"/>
      <c r="AC175" s="64"/>
      <c r="AD175" s="64"/>
      <c r="AE175" s="64"/>
      <c r="AF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G176" s="64"/>
      <c r="H176" s="64"/>
      <c r="I176" s="64"/>
      <c r="J176" s="64"/>
      <c r="K176" s="64"/>
      <c r="N176" s="64"/>
      <c r="O176" s="64"/>
      <c r="P176" s="64"/>
      <c r="Q176" s="64"/>
      <c r="R176" s="64"/>
      <c r="U176" s="64"/>
      <c r="V176" s="64"/>
      <c r="W176" s="64"/>
      <c r="X176" s="64"/>
      <c r="Y176" s="64"/>
      <c r="AB176" s="64"/>
      <c r="AC176" s="64"/>
      <c r="AD176" s="64"/>
      <c r="AE176" s="64"/>
      <c r="AF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G177" s="64"/>
      <c r="H177" s="64"/>
      <c r="I177" s="64"/>
      <c r="J177" s="64"/>
      <c r="K177" s="64"/>
      <c r="N177" s="64"/>
      <c r="O177" s="64"/>
      <c r="P177" s="64"/>
      <c r="Q177" s="64"/>
      <c r="R177" s="64"/>
      <c r="U177" s="64"/>
      <c r="V177" s="64"/>
      <c r="W177" s="64"/>
      <c r="X177" s="64"/>
      <c r="Y177" s="64"/>
      <c r="AB177" s="64"/>
      <c r="AC177" s="64"/>
      <c r="AD177" s="64"/>
      <c r="AE177" s="64"/>
      <c r="AF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G178" s="64"/>
      <c r="H178" s="64"/>
      <c r="I178" s="64"/>
      <c r="J178" s="64"/>
      <c r="K178" s="64"/>
      <c r="N178" s="64"/>
      <c r="O178" s="64"/>
      <c r="P178" s="64"/>
      <c r="Q178" s="64"/>
      <c r="R178" s="64"/>
      <c r="U178" s="64"/>
      <c r="V178" s="64"/>
      <c r="W178" s="64"/>
      <c r="X178" s="64"/>
      <c r="Y178" s="64"/>
      <c r="AB178" s="64"/>
      <c r="AC178" s="64"/>
      <c r="AD178" s="64"/>
      <c r="AE178" s="64"/>
      <c r="AF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G179" s="64"/>
      <c r="H179" s="64"/>
      <c r="I179" s="64"/>
      <c r="J179" s="64"/>
      <c r="K179" s="64"/>
      <c r="N179" s="64"/>
      <c r="O179" s="64"/>
      <c r="P179" s="64"/>
      <c r="Q179" s="64"/>
      <c r="R179" s="64"/>
      <c r="U179" s="64"/>
      <c r="V179" s="64"/>
      <c r="W179" s="64"/>
      <c r="X179" s="64"/>
      <c r="Y179" s="64"/>
      <c r="AB179" s="64"/>
      <c r="AC179" s="64"/>
      <c r="AD179" s="64"/>
      <c r="AE179" s="64"/>
      <c r="AF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G180" s="64"/>
      <c r="H180" s="64"/>
      <c r="I180" s="64"/>
      <c r="J180" s="64"/>
      <c r="K180" s="64"/>
      <c r="N180" s="64"/>
      <c r="O180" s="64"/>
      <c r="P180" s="64"/>
      <c r="Q180" s="64"/>
      <c r="R180" s="64"/>
      <c r="U180" s="64"/>
      <c r="V180" s="64"/>
      <c r="W180" s="64"/>
      <c r="X180" s="64"/>
      <c r="Y180" s="64"/>
      <c r="AB180" s="64"/>
      <c r="AC180" s="64"/>
      <c r="AD180" s="64"/>
      <c r="AE180" s="64"/>
      <c r="AF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G181" s="64"/>
      <c r="H181" s="64"/>
      <c r="I181" s="64"/>
      <c r="J181" s="64"/>
      <c r="K181" s="64"/>
      <c r="N181" s="64"/>
      <c r="O181" s="64"/>
      <c r="P181" s="64"/>
      <c r="Q181" s="64"/>
      <c r="R181" s="64"/>
      <c r="U181" s="64"/>
      <c r="V181" s="64"/>
      <c r="W181" s="64"/>
      <c r="X181" s="64"/>
      <c r="Y181" s="64"/>
      <c r="AB181" s="64"/>
      <c r="AC181" s="64"/>
      <c r="AD181" s="64"/>
      <c r="AE181" s="64"/>
      <c r="AF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G182" s="64"/>
      <c r="H182" s="64"/>
      <c r="I182" s="64"/>
      <c r="J182" s="64"/>
      <c r="K182" s="64"/>
      <c r="N182" s="64"/>
      <c r="O182" s="64"/>
      <c r="P182" s="64"/>
      <c r="Q182" s="64"/>
      <c r="R182" s="64"/>
      <c r="U182" s="64"/>
      <c r="V182" s="64"/>
      <c r="W182" s="64"/>
      <c r="X182" s="64"/>
      <c r="Y182" s="64"/>
      <c r="AB182" s="64"/>
      <c r="AC182" s="64"/>
      <c r="AD182" s="64"/>
      <c r="AE182" s="64"/>
      <c r="AF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G183" s="64"/>
      <c r="H183" s="64"/>
      <c r="I183" s="64"/>
      <c r="J183" s="64"/>
      <c r="K183" s="64"/>
      <c r="N183" s="64"/>
      <c r="O183" s="64"/>
      <c r="P183" s="64"/>
      <c r="Q183" s="64"/>
      <c r="R183" s="64"/>
      <c r="U183" s="64"/>
      <c r="V183" s="64"/>
      <c r="W183" s="64"/>
      <c r="X183" s="64"/>
      <c r="Y183" s="64"/>
      <c r="AB183" s="64"/>
      <c r="AC183" s="64"/>
      <c r="AD183" s="64"/>
      <c r="AE183" s="64"/>
      <c r="AF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G184" s="64"/>
      <c r="H184" s="64"/>
      <c r="I184" s="64"/>
      <c r="J184" s="64"/>
      <c r="K184" s="64"/>
      <c r="N184" s="64"/>
      <c r="O184" s="64"/>
      <c r="P184" s="64"/>
      <c r="Q184" s="64"/>
      <c r="R184" s="64"/>
      <c r="U184" s="64"/>
      <c r="V184" s="64"/>
      <c r="W184" s="64"/>
      <c r="X184" s="64"/>
      <c r="Y184" s="64"/>
      <c r="AB184" s="64"/>
      <c r="AC184" s="64"/>
      <c r="AD184" s="64"/>
      <c r="AE184" s="64"/>
      <c r="AF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G185" s="64"/>
      <c r="H185" s="64"/>
      <c r="I185" s="64"/>
      <c r="J185" s="64"/>
      <c r="K185" s="64"/>
      <c r="N185" s="64"/>
      <c r="O185" s="64"/>
      <c r="P185" s="64"/>
      <c r="Q185" s="64"/>
      <c r="R185" s="64"/>
      <c r="U185" s="64"/>
      <c r="V185" s="64"/>
      <c r="W185" s="64"/>
      <c r="X185" s="64"/>
      <c r="Y185" s="64"/>
      <c r="AB185" s="64"/>
      <c r="AC185" s="64"/>
      <c r="AD185" s="64"/>
      <c r="AE185" s="64"/>
      <c r="AF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G186" s="64"/>
      <c r="H186" s="64"/>
      <c r="I186" s="64"/>
      <c r="J186" s="64"/>
      <c r="K186" s="64"/>
      <c r="N186" s="64"/>
      <c r="O186" s="64"/>
      <c r="P186" s="64"/>
      <c r="Q186" s="64"/>
      <c r="R186" s="64"/>
      <c r="U186" s="64"/>
      <c r="V186" s="64"/>
      <c r="W186" s="64"/>
      <c r="X186" s="64"/>
      <c r="Y186" s="64"/>
      <c r="AB186" s="64"/>
      <c r="AC186" s="64"/>
      <c r="AD186" s="64"/>
      <c r="AE186" s="64"/>
      <c r="AF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G187" s="64"/>
      <c r="H187" s="64"/>
      <c r="I187" s="64"/>
      <c r="J187" s="64"/>
      <c r="K187" s="64"/>
      <c r="N187" s="64"/>
      <c r="O187" s="64"/>
      <c r="P187" s="64"/>
      <c r="Q187" s="64"/>
      <c r="R187" s="64"/>
      <c r="U187" s="64"/>
      <c r="V187" s="64"/>
      <c r="W187" s="64"/>
      <c r="X187" s="64"/>
      <c r="Y187" s="64"/>
      <c r="AB187" s="64"/>
      <c r="AC187" s="64"/>
      <c r="AD187" s="64"/>
      <c r="AE187" s="64"/>
      <c r="AF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G188" s="64"/>
      <c r="H188" s="64"/>
      <c r="I188" s="64"/>
      <c r="J188" s="64"/>
      <c r="K188" s="64"/>
      <c r="N188" s="64"/>
      <c r="O188" s="64"/>
      <c r="P188" s="64"/>
      <c r="Q188" s="64"/>
      <c r="R188" s="64"/>
      <c r="U188" s="64"/>
      <c r="V188" s="64"/>
      <c r="W188" s="64"/>
      <c r="X188" s="64"/>
      <c r="Y188" s="64"/>
      <c r="AB188" s="64"/>
      <c r="AC188" s="64"/>
      <c r="AD188" s="64"/>
      <c r="AE188" s="64"/>
      <c r="AF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G189" s="64"/>
      <c r="H189" s="64"/>
      <c r="I189" s="64"/>
      <c r="J189" s="64"/>
      <c r="K189" s="64"/>
      <c r="N189" s="64"/>
      <c r="O189" s="64"/>
      <c r="P189" s="64"/>
      <c r="Q189" s="64"/>
      <c r="R189" s="64"/>
      <c r="U189" s="64"/>
      <c r="V189" s="64"/>
      <c r="W189" s="64"/>
      <c r="X189" s="64"/>
      <c r="Y189" s="64"/>
      <c r="AB189" s="64"/>
      <c r="AC189" s="64"/>
      <c r="AD189" s="64"/>
      <c r="AE189" s="64"/>
      <c r="AF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G190" s="64"/>
      <c r="H190" s="64"/>
      <c r="I190" s="64"/>
      <c r="J190" s="64"/>
      <c r="K190" s="64"/>
      <c r="N190" s="64"/>
      <c r="O190" s="64"/>
      <c r="P190" s="64"/>
      <c r="Q190" s="64"/>
      <c r="R190" s="64"/>
      <c r="U190" s="64"/>
      <c r="V190" s="64"/>
      <c r="W190" s="64"/>
      <c r="X190" s="64"/>
      <c r="Y190" s="64"/>
      <c r="AB190" s="64"/>
      <c r="AC190" s="64"/>
      <c r="AD190" s="64"/>
      <c r="AE190" s="64"/>
      <c r="AF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G191" s="64"/>
      <c r="H191" s="64"/>
      <c r="I191" s="64"/>
      <c r="J191" s="64"/>
      <c r="K191" s="64"/>
      <c r="N191" s="64"/>
      <c r="O191" s="64"/>
      <c r="P191" s="64"/>
      <c r="Q191" s="64"/>
      <c r="R191" s="64"/>
      <c r="U191" s="64"/>
      <c r="V191" s="64"/>
      <c r="W191" s="64"/>
      <c r="X191" s="64"/>
      <c r="Y191" s="64"/>
      <c r="AB191" s="64"/>
      <c r="AC191" s="64"/>
      <c r="AD191" s="64"/>
      <c r="AE191" s="64"/>
      <c r="AF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G192" s="64"/>
      <c r="H192" s="64"/>
      <c r="I192" s="64"/>
      <c r="J192" s="64"/>
      <c r="K192" s="64"/>
      <c r="N192" s="64"/>
      <c r="O192" s="64"/>
      <c r="P192" s="64"/>
      <c r="Q192" s="64"/>
      <c r="R192" s="64"/>
      <c r="U192" s="64"/>
      <c r="V192" s="64"/>
      <c r="W192" s="64"/>
      <c r="X192" s="64"/>
      <c r="Y192" s="64"/>
      <c r="AB192" s="64"/>
      <c r="AC192" s="64"/>
      <c r="AD192" s="64"/>
      <c r="AE192" s="64"/>
      <c r="AF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G193" s="64"/>
      <c r="H193" s="64"/>
      <c r="I193" s="64"/>
      <c r="J193" s="64"/>
      <c r="K193" s="64"/>
      <c r="N193" s="64"/>
      <c r="O193" s="64"/>
      <c r="P193" s="64"/>
      <c r="Q193" s="64"/>
      <c r="R193" s="64"/>
      <c r="U193" s="64"/>
      <c r="V193" s="64"/>
      <c r="W193" s="64"/>
      <c r="X193" s="64"/>
      <c r="Y193" s="64"/>
      <c r="AB193" s="64"/>
      <c r="AC193" s="64"/>
      <c r="AD193" s="64"/>
      <c r="AE193" s="64"/>
      <c r="AF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G194" s="64"/>
      <c r="H194" s="64"/>
      <c r="I194" s="64"/>
      <c r="J194" s="64"/>
      <c r="K194" s="64"/>
      <c r="N194" s="64"/>
      <c r="O194" s="64"/>
      <c r="P194" s="64"/>
      <c r="Q194" s="64"/>
      <c r="R194" s="64"/>
      <c r="U194" s="64"/>
      <c r="V194" s="64"/>
      <c r="W194" s="64"/>
      <c r="X194" s="64"/>
      <c r="Y194" s="64"/>
      <c r="AB194" s="64"/>
      <c r="AC194" s="64"/>
      <c r="AD194" s="64"/>
      <c r="AE194" s="64"/>
      <c r="AF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G195" s="64"/>
      <c r="H195" s="64"/>
      <c r="I195" s="64"/>
      <c r="J195" s="64"/>
      <c r="K195" s="64"/>
      <c r="N195" s="64"/>
      <c r="O195" s="64"/>
      <c r="P195" s="64"/>
      <c r="Q195" s="64"/>
      <c r="R195" s="64"/>
      <c r="U195" s="64"/>
      <c r="V195" s="64"/>
      <c r="W195" s="64"/>
      <c r="X195" s="64"/>
      <c r="Y195" s="64"/>
      <c r="AB195" s="64"/>
      <c r="AC195" s="64"/>
      <c r="AD195" s="64"/>
      <c r="AE195" s="64"/>
      <c r="AF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G196" s="64"/>
      <c r="H196" s="64"/>
      <c r="I196" s="64"/>
      <c r="J196" s="64"/>
      <c r="K196" s="64"/>
      <c r="N196" s="64"/>
      <c r="O196" s="64"/>
      <c r="P196" s="64"/>
      <c r="Q196" s="64"/>
      <c r="R196" s="64"/>
      <c r="U196" s="64"/>
      <c r="V196" s="64"/>
      <c r="W196" s="64"/>
      <c r="X196" s="64"/>
      <c r="Y196" s="64"/>
      <c r="AB196" s="64"/>
      <c r="AC196" s="64"/>
      <c r="AD196" s="64"/>
      <c r="AE196" s="64"/>
      <c r="AF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G197" s="64"/>
      <c r="H197" s="64"/>
      <c r="I197" s="64"/>
      <c r="J197" s="64"/>
      <c r="K197" s="64"/>
      <c r="N197" s="64"/>
      <c r="O197" s="64"/>
      <c r="P197" s="64"/>
      <c r="Q197" s="64"/>
      <c r="R197" s="64"/>
      <c r="U197" s="64"/>
      <c r="V197" s="64"/>
      <c r="W197" s="64"/>
      <c r="X197" s="64"/>
      <c r="Y197" s="64"/>
      <c r="AB197" s="64"/>
      <c r="AC197" s="64"/>
      <c r="AD197" s="64"/>
      <c r="AE197" s="64"/>
      <c r="AF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G198" s="64"/>
      <c r="H198" s="64"/>
      <c r="I198" s="64"/>
      <c r="J198" s="64"/>
      <c r="K198" s="64"/>
      <c r="N198" s="64"/>
      <c r="O198" s="64"/>
      <c r="P198" s="64"/>
      <c r="Q198" s="64"/>
      <c r="R198" s="64"/>
      <c r="U198" s="64"/>
      <c r="V198" s="64"/>
      <c r="W198" s="64"/>
      <c r="X198" s="64"/>
      <c r="Y198" s="64"/>
      <c r="AB198" s="64"/>
      <c r="AC198" s="64"/>
      <c r="AD198" s="64"/>
      <c r="AE198" s="64"/>
      <c r="AF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G199" s="64"/>
      <c r="H199" s="64"/>
      <c r="I199" s="64"/>
      <c r="J199" s="64"/>
      <c r="K199" s="64"/>
      <c r="N199" s="64"/>
      <c r="O199" s="64"/>
      <c r="P199" s="64"/>
      <c r="Q199" s="64"/>
      <c r="R199" s="64"/>
      <c r="U199" s="64"/>
      <c r="V199" s="64"/>
      <c r="W199" s="64"/>
      <c r="X199" s="64"/>
      <c r="Y199" s="64"/>
      <c r="AB199" s="64"/>
      <c r="AC199" s="64"/>
      <c r="AD199" s="64"/>
      <c r="AE199" s="64"/>
      <c r="AF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G200" s="64"/>
      <c r="H200" s="64"/>
      <c r="I200" s="64"/>
      <c r="J200" s="64"/>
      <c r="K200" s="64"/>
      <c r="N200" s="64"/>
      <c r="O200" s="64"/>
      <c r="P200" s="64"/>
      <c r="Q200" s="64"/>
      <c r="R200" s="64"/>
      <c r="U200" s="64"/>
      <c r="V200" s="64"/>
      <c r="W200" s="64"/>
      <c r="X200" s="64"/>
      <c r="Y200" s="64"/>
      <c r="AB200" s="64"/>
      <c r="AC200" s="64"/>
      <c r="AD200" s="64"/>
      <c r="AE200" s="64"/>
      <c r="AF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G201" s="64"/>
      <c r="H201" s="64"/>
      <c r="I201" s="64"/>
      <c r="J201" s="64"/>
      <c r="K201" s="64"/>
      <c r="N201" s="64"/>
      <c r="O201" s="64"/>
      <c r="P201" s="64"/>
      <c r="Q201" s="64"/>
      <c r="R201" s="64"/>
      <c r="U201" s="64"/>
      <c r="V201" s="64"/>
      <c r="W201" s="64"/>
      <c r="X201" s="64"/>
      <c r="Y201" s="64"/>
      <c r="AB201" s="64"/>
      <c r="AC201" s="64"/>
      <c r="AD201" s="64"/>
      <c r="AE201" s="64"/>
      <c r="AF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G202" s="64"/>
      <c r="H202" s="64"/>
      <c r="I202" s="64"/>
      <c r="J202" s="64"/>
      <c r="K202" s="64"/>
      <c r="N202" s="64"/>
      <c r="O202" s="64"/>
      <c r="P202" s="64"/>
      <c r="Q202" s="64"/>
      <c r="R202" s="64"/>
      <c r="U202" s="64"/>
      <c r="V202" s="64"/>
      <c r="W202" s="64"/>
      <c r="X202" s="64"/>
      <c r="Y202" s="64"/>
      <c r="AB202" s="64"/>
      <c r="AC202" s="64"/>
      <c r="AD202" s="64"/>
      <c r="AE202" s="64"/>
      <c r="AF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G203" s="64"/>
      <c r="H203" s="64"/>
      <c r="I203" s="64"/>
      <c r="J203" s="64"/>
      <c r="K203" s="64"/>
      <c r="N203" s="64"/>
      <c r="O203" s="64"/>
      <c r="P203" s="64"/>
      <c r="Q203" s="64"/>
      <c r="R203" s="64"/>
      <c r="U203" s="64"/>
      <c r="V203" s="64"/>
      <c r="W203" s="64"/>
      <c r="X203" s="64"/>
      <c r="Y203" s="64"/>
      <c r="AB203" s="64"/>
      <c r="AC203" s="64"/>
      <c r="AD203" s="64"/>
      <c r="AE203" s="64"/>
      <c r="AF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G204" s="64"/>
      <c r="H204" s="64"/>
      <c r="I204" s="64"/>
      <c r="J204" s="64"/>
      <c r="K204" s="64"/>
      <c r="N204" s="64"/>
      <c r="O204" s="64"/>
      <c r="P204" s="64"/>
      <c r="Q204" s="64"/>
      <c r="R204" s="64"/>
      <c r="U204" s="64"/>
      <c r="V204" s="64"/>
      <c r="W204" s="64"/>
      <c r="X204" s="64"/>
      <c r="Y204" s="64"/>
      <c r="AB204" s="64"/>
      <c r="AC204" s="64"/>
      <c r="AD204" s="64"/>
      <c r="AE204" s="64"/>
      <c r="AF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G205" s="64"/>
      <c r="H205" s="64"/>
      <c r="I205" s="64"/>
      <c r="J205" s="64"/>
      <c r="K205" s="64"/>
      <c r="N205" s="64"/>
      <c r="O205" s="64"/>
      <c r="P205" s="64"/>
      <c r="Q205" s="64"/>
      <c r="R205" s="64"/>
      <c r="U205" s="64"/>
      <c r="V205" s="64"/>
      <c r="W205" s="64"/>
      <c r="X205" s="64"/>
      <c r="Y205" s="64"/>
      <c r="AB205" s="64"/>
      <c r="AC205" s="64"/>
      <c r="AD205" s="64"/>
      <c r="AE205" s="64"/>
      <c r="AF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G206" s="64"/>
      <c r="H206" s="64"/>
      <c r="I206" s="64"/>
      <c r="J206" s="64"/>
      <c r="K206" s="64"/>
      <c r="N206" s="64"/>
      <c r="O206" s="64"/>
      <c r="P206" s="64"/>
      <c r="Q206" s="64"/>
      <c r="R206" s="64"/>
      <c r="U206" s="64"/>
      <c r="V206" s="64"/>
      <c r="W206" s="64"/>
      <c r="X206" s="64"/>
      <c r="Y206" s="64"/>
      <c r="AB206" s="64"/>
      <c r="AC206" s="64"/>
      <c r="AD206" s="64"/>
      <c r="AE206" s="64"/>
      <c r="AF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G207" s="64"/>
      <c r="H207" s="64"/>
      <c r="I207" s="64"/>
      <c r="J207" s="64"/>
      <c r="K207" s="64"/>
      <c r="N207" s="64"/>
      <c r="O207" s="64"/>
      <c r="P207" s="64"/>
      <c r="Q207" s="64"/>
      <c r="R207" s="64"/>
      <c r="U207" s="64"/>
      <c r="V207" s="64"/>
      <c r="W207" s="64"/>
      <c r="X207" s="64"/>
      <c r="Y207" s="64"/>
      <c r="AB207" s="64"/>
      <c r="AC207" s="64"/>
      <c r="AD207" s="64"/>
      <c r="AE207" s="64"/>
      <c r="AF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G208" s="64"/>
      <c r="H208" s="64"/>
      <c r="I208" s="64"/>
      <c r="J208" s="64"/>
      <c r="K208" s="64"/>
      <c r="N208" s="64"/>
      <c r="O208" s="64"/>
      <c r="P208" s="64"/>
      <c r="Q208" s="64"/>
      <c r="R208" s="64"/>
      <c r="U208" s="64"/>
      <c r="V208" s="64"/>
      <c r="W208" s="64"/>
      <c r="X208" s="64"/>
      <c r="Y208" s="64"/>
      <c r="AB208" s="64"/>
      <c r="AC208" s="64"/>
      <c r="AD208" s="64"/>
      <c r="AE208" s="64"/>
      <c r="AF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G209" s="64"/>
      <c r="H209" s="64"/>
      <c r="I209" s="64"/>
      <c r="J209" s="64"/>
      <c r="K209" s="64"/>
      <c r="N209" s="64"/>
      <c r="O209" s="64"/>
      <c r="P209" s="64"/>
      <c r="Q209" s="64"/>
      <c r="R209" s="64"/>
      <c r="U209" s="64"/>
      <c r="V209" s="64"/>
      <c r="W209" s="64"/>
      <c r="X209" s="64"/>
      <c r="Y209" s="64"/>
      <c r="AB209" s="64"/>
      <c r="AC209" s="64"/>
      <c r="AD209" s="64"/>
      <c r="AE209" s="64"/>
      <c r="AF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G210" s="64"/>
      <c r="H210" s="64"/>
      <c r="I210" s="64"/>
      <c r="J210" s="64"/>
      <c r="K210" s="64"/>
      <c r="N210" s="64"/>
      <c r="O210" s="64"/>
      <c r="P210" s="64"/>
      <c r="Q210" s="64"/>
      <c r="R210" s="64"/>
      <c r="U210" s="64"/>
      <c r="V210" s="64"/>
      <c r="W210" s="64"/>
      <c r="X210" s="64"/>
      <c r="Y210" s="64"/>
      <c r="AB210" s="64"/>
      <c r="AC210" s="64"/>
      <c r="AD210" s="64"/>
      <c r="AE210" s="64"/>
      <c r="AF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G211" s="64"/>
      <c r="H211" s="64"/>
      <c r="I211" s="64"/>
      <c r="J211" s="64"/>
      <c r="K211" s="64"/>
      <c r="N211" s="64"/>
      <c r="O211" s="64"/>
      <c r="P211" s="64"/>
      <c r="Q211" s="64"/>
      <c r="R211" s="64"/>
      <c r="U211" s="64"/>
      <c r="V211" s="64"/>
      <c r="W211" s="64"/>
      <c r="X211" s="64"/>
      <c r="Y211" s="64"/>
      <c r="AB211" s="64"/>
      <c r="AC211" s="64"/>
      <c r="AD211" s="64"/>
      <c r="AE211" s="64"/>
      <c r="AF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G212" s="64"/>
      <c r="H212" s="64"/>
      <c r="I212" s="64"/>
      <c r="J212" s="64"/>
      <c r="K212" s="64"/>
      <c r="N212" s="64"/>
      <c r="O212" s="64"/>
      <c r="P212" s="64"/>
      <c r="Q212" s="64"/>
      <c r="R212" s="64"/>
      <c r="U212" s="64"/>
      <c r="V212" s="64"/>
      <c r="W212" s="64"/>
      <c r="X212" s="64"/>
      <c r="Y212" s="64"/>
      <c r="AB212" s="64"/>
      <c r="AC212" s="64"/>
      <c r="AD212" s="64"/>
      <c r="AE212" s="64"/>
      <c r="AF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G213" s="64"/>
      <c r="H213" s="64"/>
      <c r="I213" s="64"/>
      <c r="J213" s="64"/>
      <c r="K213" s="64"/>
      <c r="N213" s="64"/>
      <c r="O213" s="64"/>
      <c r="P213" s="64"/>
      <c r="Q213" s="64"/>
      <c r="R213" s="64"/>
      <c r="U213" s="64"/>
      <c r="V213" s="64"/>
      <c r="W213" s="64"/>
      <c r="X213" s="64"/>
      <c r="Y213" s="64"/>
      <c r="AB213" s="64"/>
      <c r="AC213" s="64"/>
      <c r="AD213" s="64"/>
      <c r="AE213" s="64"/>
      <c r="AF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G214" s="64"/>
      <c r="H214" s="64"/>
      <c r="I214" s="64"/>
      <c r="J214" s="64"/>
      <c r="K214" s="64"/>
      <c r="N214" s="64"/>
      <c r="O214" s="64"/>
      <c r="P214" s="64"/>
      <c r="Q214" s="64"/>
      <c r="R214" s="64"/>
      <c r="U214" s="64"/>
      <c r="V214" s="64"/>
      <c r="W214" s="64"/>
      <c r="X214" s="64"/>
      <c r="Y214" s="64"/>
      <c r="AB214" s="64"/>
      <c r="AC214" s="64"/>
      <c r="AD214" s="64"/>
      <c r="AE214" s="64"/>
      <c r="AF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G215" s="64"/>
      <c r="H215" s="64"/>
      <c r="I215" s="64"/>
      <c r="J215" s="64"/>
      <c r="K215" s="64"/>
      <c r="N215" s="64"/>
      <c r="O215" s="64"/>
      <c r="P215" s="64"/>
      <c r="Q215" s="64"/>
      <c r="R215" s="64"/>
      <c r="U215" s="64"/>
      <c r="V215" s="64"/>
      <c r="W215" s="64"/>
      <c r="X215" s="64"/>
      <c r="Y215" s="64"/>
      <c r="AB215" s="64"/>
      <c r="AC215" s="64"/>
      <c r="AD215" s="64"/>
      <c r="AE215" s="64"/>
      <c r="AF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G216" s="64"/>
      <c r="H216" s="64"/>
      <c r="I216" s="64"/>
      <c r="J216" s="64"/>
      <c r="K216" s="64"/>
      <c r="N216" s="64"/>
      <c r="O216" s="64"/>
      <c r="P216" s="64"/>
      <c r="Q216" s="64"/>
      <c r="R216" s="64"/>
      <c r="U216" s="64"/>
      <c r="V216" s="64"/>
      <c r="W216" s="64"/>
      <c r="X216" s="64"/>
      <c r="Y216" s="64"/>
      <c r="AB216" s="64"/>
      <c r="AC216" s="64"/>
      <c r="AD216" s="64"/>
      <c r="AE216" s="64"/>
      <c r="AF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G217" s="64"/>
      <c r="H217" s="64"/>
      <c r="I217" s="64"/>
      <c r="J217" s="64"/>
      <c r="K217" s="64"/>
      <c r="N217" s="64"/>
      <c r="O217" s="64"/>
      <c r="P217" s="64"/>
      <c r="Q217" s="64"/>
      <c r="R217" s="64"/>
      <c r="U217" s="64"/>
      <c r="V217" s="64"/>
      <c r="W217" s="64"/>
      <c r="X217" s="64"/>
      <c r="Y217" s="64"/>
      <c r="AB217" s="64"/>
      <c r="AC217" s="64"/>
      <c r="AD217" s="64"/>
      <c r="AE217" s="64"/>
      <c r="AF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G218" s="64"/>
      <c r="H218" s="64"/>
      <c r="I218" s="64"/>
      <c r="J218" s="64"/>
      <c r="K218" s="64"/>
      <c r="N218" s="64"/>
      <c r="O218" s="64"/>
      <c r="P218" s="64"/>
      <c r="Q218" s="64"/>
      <c r="R218" s="64"/>
      <c r="U218" s="64"/>
      <c r="V218" s="64"/>
      <c r="W218" s="64"/>
      <c r="X218" s="64"/>
      <c r="Y218" s="64"/>
      <c r="AB218" s="64"/>
      <c r="AC218" s="64"/>
      <c r="AD218" s="64"/>
      <c r="AE218" s="64"/>
      <c r="AF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G219" s="64"/>
      <c r="H219" s="64"/>
      <c r="I219" s="64"/>
      <c r="J219" s="64"/>
      <c r="K219" s="64"/>
      <c r="N219" s="64"/>
      <c r="O219" s="64"/>
      <c r="P219" s="64"/>
      <c r="Q219" s="64"/>
      <c r="R219" s="64"/>
      <c r="U219" s="64"/>
      <c r="V219" s="64"/>
      <c r="W219" s="64"/>
      <c r="X219" s="64"/>
      <c r="Y219" s="64"/>
      <c r="AB219" s="64"/>
      <c r="AC219" s="64"/>
      <c r="AD219" s="64"/>
      <c r="AE219" s="64"/>
      <c r="AF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G220" s="64"/>
      <c r="H220" s="64"/>
      <c r="I220" s="64"/>
      <c r="J220" s="64"/>
      <c r="K220" s="64"/>
      <c r="N220" s="64"/>
      <c r="O220" s="64"/>
      <c r="P220" s="64"/>
      <c r="Q220" s="64"/>
      <c r="R220" s="64"/>
      <c r="U220" s="64"/>
      <c r="V220" s="64"/>
      <c r="W220" s="64"/>
      <c r="X220" s="64"/>
      <c r="Y220" s="64"/>
      <c r="AB220" s="64"/>
      <c r="AC220" s="64"/>
      <c r="AD220" s="64"/>
      <c r="AE220" s="64"/>
      <c r="AF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G221" s="64"/>
      <c r="H221" s="64"/>
      <c r="I221" s="64"/>
      <c r="J221" s="64"/>
      <c r="K221" s="64"/>
      <c r="N221" s="64"/>
      <c r="O221" s="64"/>
      <c r="P221" s="64"/>
      <c r="Q221" s="64"/>
      <c r="R221" s="64"/>
      <c r="U221" s="64"/>
      <c r="V221" s="64"/>
      <c r="W221" s="64"/>
      <c r="X221" s="64"/>
      <c r="Y221" s="64"/>
      <c r="AB221" s="64"/>
      <c r="AC221" s="64"/>
      <c r="AD221" s="64"/>
      <c r="AE221" s="64"/>
      <c r="AF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G222" s="64"/>
      <c r="H222" s="64"/>
      <c r="I222" s="64"/>
      <c r="J222" s="64"/>
      <c r="K222" s="64"/>
      <c r="N222" s="64"/>
      <c r="O222" s="64"/>
      <c r="P222" s="64"/>
      <c r="Q222" s="64"/>
      <c r="R222" s="64"/>
      <c r="U222" s="64"/>
      <c r="V222" s="64"/>
      <c r="W222" s="64"/>
      <c r="X222" s="64"/>
      <c r="Y222" s="64"/>
      <c r="AB222" s="64"/>
      <c r="AC222" s="64"/>
      <c r="AD222" s="64"/>
      <c r="AE222" s="64"/>
      <c r="AF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G223" s="64"/>
      <c r="H223" s="64"/>
      <c r="I223" s="64"/>
      <c r="J223" s="64"/>
      <c r="K223" s="64"/>
      <c r="N223" s="64"/>
      <c r="O223" s="64"/>
      <c r="P223" s="64"/>
      <c r="Q223" s="64"/>
      <c r="R223" s="64"/>
      <c r="U223" s="64"/>
      <c r="V223" s="64"/>
      <c r="W223" s="64"/>
      <c r="X223" s="64"/>
      <c r="Y223" s="64"/>
      <c r="AB223" s="64"/>
      <c r="AC223" s="64"/>
      <c r="AD223" s="64"/>
      <c r="AE223" s="64"/>
      <c r="AF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G224" s="64"/>
      <c r="H224" s="64"/>
      <c r="I224" s="64"/>
      <c r="J224" s="64"/>
      <c r="K224" s="64"/>
      <c r="N224" s="64"/>
      <c r="O224" s="64"/>
      <c r="P224" s="64"/>
      <c r="Q224" s="64"/>
      <c r="R224" s="64"/>
      <c r="U224" s="64"/>
      <c r="V224" s="64"/>
      <c r="W224" s="64"/>
      <c r="X224" s="64"/>
      <c r="Y224" s="64"/>
      <c r="AB224" s="64"/>
      <c r="AC224" s="64"/>
      <c r="AD224" s="64"/>
      <c r="AE224" s="64"/>
      <c r="AF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G225" s="64"/>
      <c r="H225" s="64"/>
      <c r="I225" s="64"/>
      <c r="J225" s="64"/>
      <c r="K225" s="64"/>
      <c r="N225" s="64"/>
      <c r="O225" s="64"/>
      <c r="P225" s="64"/>
      <c r="Q225" s="64"/>
      <c r="R225" s="64"/>
      <c r="U225" s="64"/>
      <c r="V225" s="64"/>
      <c r="W225" s="64"/>
      <c r="X225" s="64"/>
      <c r="Y225" s="64"/>
      <c r="AB225" s="64"/>
      <c r="AC225" s="64"/>
      <c r="AD225" s="64"/>
      <c r="AE225" s="64"/>
      <c r="AF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G226" s="64"/>
      <c r="H226" s="64"/>
      <c r="I226" s="64"/>
      <c r="J226" s="64"/>
      <c r="K226" s="64"/>
      <c r="N226" s="64"/>
      <c r="O226" s="64"/>
      <c r="P226" s="64"/>
      <c r="Q226" s="64"/>
      <c r="R226" s="64"/>
      <c r="U226" s="64"/>
      <c r="V226" s="64"/>
      <c r="W226" s="64"/>
      <c r="X226" s="64"/>
      <c r="Y226" s="64"/>
      <c r="AB226" s="64"/>
      <c r="AC226" s="64"/>
      <c r="AD226" s="64"/>
      <c r="AE226" s="64"/>
      <c r="AF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G227" s="64"/>
      <c r="H227" s="64"/>
      <c r="I227" s="64"/>
      <c r="J227" s="64"/>
      <c r="K227" s="64"/>
      <c r="N227" s="64"/>
      <c r="O227" s="64"/>
      <c r="P227" s="64"/>
      <c r="Q227" s="64"/>
      <c r="R227" s="64"/>
      <c r="U227" s="64"/>
      <c r="V227" s="64"/>
      <c r="W227" s="64"/>
      <c r="X227" s="64"/>
      <c r="Y227" s="64"/>
      <c r="AB227" s="64"/>
      <c r="AC227" s="64"/>
      <c r="AD227" s="64"/>
      <c r="AE227" s="64"/>
      <c r="AF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G228" s="64"/>
      <c r="H228" s="64"/>
      <c r="I228" s="64"/>
      <c r="J228" s="64"/>
      <c r="K228" s="64"/>
      <c r="N228" s="64"/>
      <c r="O228" s="64"/>
      <c r="P228" s="64"/>
      <c r="Q228" s="64"/>
      <c r="R228" s="64"/>
      <c r="U228" s="64"/>
      <c r="V228" s="64"/>
      <c r="W228" s="64"/>
      <c r="X228" s="64"/>
      <c r="Y228" s="64"/>
      <c r="AB228" s="64"/>
      <c r="AC228" s="64"/>
      <c r="AD228" s="64"/>
      <c r="AE228" s="64"/>
      <c r="AF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G229" s="64"/>
      <c r="H229" s="64"/>
      <c r="I229" s="64"/>
      <c r="J229" s="64"/>
      <c r="K229" s="64"/>
      <c r="N229" s="64"/>
      <c r="O229" s="64"/>
      <c r="P229" s="64"/>
      <c r="Q229" s="64"/>
      <c r="R229" s="64"/>
      <c r="U229" s="64"/>
      <c r="V229" s="64"/>
      <c r="W229" s="64"/>
      <c r="X229" s="64"/>
      <c r="Y229" s="64"/>
      <c r="AB229" s="64"/>
      <c r="AC229" s="64"/>
      <c r="AD229" s="64"/>
      <c r="AE229" s="64"/>
      <c r="AF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G230" s="64"/>
      <c r="H230" s="64"/>
      <c r="I230" s="64"/>
      <c r="J230" s="64"/>
      <c r="K230" s="64"/>
      <c r="N230" s="64"/>
      <c r="O230" s="64"/>
      <c r="P230" s="64"/>
      <c r="Q230" s="64"/>
      <c r="R230" s="64"/>
      <c r="U230" s="64"/>
      <c r="V230" s="64"/>
      <c r="W230" s="64"/>
      <c r="X230" s="64"/>
      <c r="Y230" s="64"/>
      <c r="AB230" s="64"/>
      <c r="AC230" s="64"/>
      <c r="AD230" s="64"/>
      <c r="AE230" s="64"/>
      <c r="AF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G231" s="64"/>
      <c r="H231" s="64"/>
      <c r="I231" s="64"/>
      <c r="J231" s="64"/>
      <c r="K231" s="64"/>
      <c r="N231" s="64"/>
      <c r="O231" s="64"/>
      <c r="P231" s="64"/>
      <c r="Q231" s="64"/>
      <c r="R231" s="64"/>
      <c r="U231" s="64"/>
      <c r="V231" s="64"/>
      <c r="W231" s="64"/>
      <c r="X231" s="64"/>
      <c r="Y231" s="64"/>
      <c r="AB231" s="64"/>
      <c r="AC231" s="64"/>
      <c r="AD231" s="64"/>
      <c r="AE231" s="64"/>
      <c r="AF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G232" s="64"/>
      <c r="H232" s="64"/>
      <c r="I232" s="64"/>
      <c r="J232" s="64"/>
      <c r="K232" s="64"/>
      <c r="N232" s="64"/>
      <c r="O232" s="64"/>
      <c r="P232" s="64"/>
      <c r="Q232" s="64"/>
      <c r="R232" s="64"/>
      <c r="U232" s="64"/>
      <c r="V232" s="64"/>
      <c r="W232" s="64"/>
      <c r="X232" s="64"/>
      <c r="Y232" s="64"/>
      <c r="AB232" s="64"/>
      <c r="AC232" s="64"/>
      <c r="AD232" s="64"/>
      <c r="AE232" s="64"/>
      <c r="AF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G233" s="64"/>
      <c r="H233" s="64"/>
      <c r="I233" s="64"/>
      <c r="J233" s="64"/>
      <c r="K233" s="64"/>
      <c r="N233" s="64"/>
      <c r="O233" s="64"/>
      <c r="P233" s="64"/>
      <c r="Q233" s="64"/>
      <c r="R233" s="64"/>
      <c r="U233" s="64"/>
      <c r="V233" s="64"/>
      <c r="W233" s="64"/>
      <c r="X233" s="64"/>
      <c r="Y233" s="64"/>
      <c r="AB233" s="64"/>
      <c r="AC233" s="64"/>
      <c r="AD233" s="64"/>
      <c r="AE233" s="64"/>
      <c r="AF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G234" s="64"/>
      <c r="H234" s="64"/>
      <c r="I234" s="64"/>
      <c r="J234" s="64"/>
      <c r="K234" s="64"/>
      <c r="N234" s="64"/>
      <c r="O234" s="64"/>
      <c r="P234" s="64"/>
      <c r="Q234" s="64"/>
      <c r="R234" s="64"/>
      <c r="U234" s="64"/>
      <c r="V234" s="64"/>
      <c r="W234" s="64"/>
      <c r="X234" s="64"/>
      <c r="Y234" s="64"/>
      <c r="AB234" s="64"/>
      <c r="AC234" s="64"/>
      <c r="AD234" s="64"/>
      <c r="AE234" s="64"/>
      <c r="AF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G235" s="64"/>
      <c r="H235" s="64"/>
      <c r="I235" s="64"/>
      <c r="J235" s="64"/>
      <c r="K235" s="64"/>
      <c r="N235" s="64"/>
      <c r="O235" s="64"/>
      <c r="P235" s="64"/>
      <c r="Q235" s="64"/>
      <c r="R235" s="64"/>
      <c r="U235" s="64"/>
      <c r="V235" s="64"/>
      <c r="W235" s="64"/>
      <c r="X235" s="64"/>
      <c r="Y235" s="64"/>
      <c r="AB235" s="64"/>
      <c r="AC235" s="64"/>
      <c r="AD235" s="64"/>
      <c r="AE235" s="64"/>
      <c r="AF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G236" s="64"/>
      <c r="H236" s="64"/>
      <c r="I236" s="64"/>
      <c r="J236" s="64"/>
      <c r="K236" s="64"/>
      <c r="N236" s="64"/>
      <c r="O236" s="64"/>
      <c r="P236" s="64"/>
      <c r="Q236" s="64"/>
      <c r="R236" s="64"/>
      <c r="U236" s="64"/>
      <c r="V236" s="64"/>
      <c r="W236" s="64"/>
      <c r="X236" s="64"/>
      <c r="Y236" s="64"/>
      <c r="AB236" s="64"/>
      <c r="AC236" s="64"/>
      <c r="AD236" s="64"/>
      <c r="AE236" s="64"/>
      <c r="AF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G237" s="64"/>
      <c r="H237" s="64"/>
      <c r="I237" s="64"/>
      <c r="J237" s="64"/>
      <c r="K237" s="64"/>
      <c r="N237" s="64"/>
      <c r="O237" s="64"/>
      <c r="P237" s="64"/>
      <c r="Q237" s="64"/>
      <c r="R237" s="64"/>
      <c r="U237" s="64"/>
      <c r="V237" s="64"/>
      <c r="W237" s="64"/>
      <c r="X237" s="64"/>
      <c r="Y237" s="64"/>
      <c r="AB237" s="64"/>
      <c r="AC237" s="64"/>
      <c r="AD237" s="64"/>
      <c r="AE237" s="64"/>
      <c r="AF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G238" s="64"/>
      <c r="H238" s="64"/>
      <c r="I238" s="64"/>
      <c r="J238" s="64"/>
      <c r="K238" s="64"/>
      <c r="N238" s="64"/>
      <c r="O238" s="64"/>
      <c r="P238" s="64"/>
      <c r="Q238" s="64"/>
      <c r="R238" s="64"/>
      <c r="U238" s="64"/>
      <c r="V238" s="64"/>
      <c r="W238" s="64"/>
      <c r="X238" s="64"/>
      <c r="Y238" s="64"/>
      <c r="AB238" s="64"/>
      <c r="AC238" s="64"/>
      <c r="AD238" s="64"/>
      <c r="AE238" s="64"/>
      <c r="AF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G239" s="64"/>
      <c r="H239" s="64"/>
      <c r="I239" s="64"/>
      <c r="J239" s="64"/>
      <c r="K239" s="64"/>
      <c r="N239" s="64"/>
      <c r="O239" s="64"/>
      <c r="P239" s="64"/>
      <c r="Q239" s="64"/>
      <c r="R239" s="64"/>
      <c r="U239" s="64"/>
      <c r="V239" s="64"/>
      <c r="W239" s="64"/>
      <c r="X239" s="64"/>
      <c r="Y239" s="64"/>
      <c r="AB239" s="64"/>
      <c r="AC239" s="64"/>
      <c r="AD239" s="64"/>
      <c r="AE239" s="64"/>
      <c r="AF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G240" s="64"/>
      <c r="H240" s="64"/>
      <c r="I240" s="64"/>
      <c r="J240" s="64"/>
      <c r="K240" s="64"/>
      <c r="N240" s="64"/>
      <c r="O240" s="64"/>
      <c r="P240" s="64"/>
      <c r="Q240" s="64"/>
      <c r="R240" s="64"/>
      <c r="U240" s="64"/>
      <c r="V240" s="64"/>
      <c r="W240" s="64"/>
      <c r="X240" s="64"/>
      <c r="Y240" s="64"/>
      <c r="AB240" s="64"/>
      <c r="AC240" s="64"/>
      <c r="AD240" s="64"/>
      <c r="AE240" s="64"/>
      <c r="AF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G241" s="64"/>
      <c r="H241" s="64"/>
      <c r="I241" s="64"/>
      <c r="J241" s="64"/>
      <c r="K241" s="64"/>
      <c r="N241" s="64"/>
      <c r="O241" s="64"/>
      <c r="P241" s="64"/>
      <c r="Q241" s="64"/>
      <c r="R241" s="64"/>
      <c r="U241" s="64"/>
      <c r="V241" s="64"/>
      <c r="W241" s="64"/>
      <c r="X241" s="64"/>
      <c r="Y241" s="64"/>
      <c r="AB241" s="64"/>
      <c r="AC241" s="64"/>
      <c r="AD241" s="64"/>
      <c r="AE241" s="64"/>
      <c r="AF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G242" s="64"/>
      <c r="H242" s="64"/>
      <c r="I242" s="64"/>
      <c r="J242" s="64"/>
      <c r="K242" s="64"/>
      <c r="N242" s="64"/>
      <c r="O242" s="64"/>
      <c r="P242" s="64"/>
      <c r="Q242" s="64"/>
      <c r="R242" s="64"/>
      <c r="U242" s="64"/>
      <c r="V242" s="64"/>
      <c r="W242" s="64"/>
      <c r="X242" s="64"/>
      <c r="Y242" s="64"/>
      <c r="AB242" s="64"/>
      <c r="AC242" s="64"/>
      <c r="AD242" s="64"/>
      <c r="AE242" s="64"/>
      <c r="AF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G243" s="64"/>
      <c r="H243" s="64"/>
      <c r="I243" s="64"/>
      <c r="J243" s="64"/>
      <c r="K243" s="64"/>
      <c r="N243" s="64"/>
      <c r="O243" s="64"/>
      <c r="P243" s="64"/>
      <c r="Q243" s="64"/>
      <c r="R243" s="64"/>
      <c r="U243" s="64"/>
      <c r="V243" s="64"/>
      <c r="W243" s="64"/>
      <c r="X243" s="64"/>
      <c r="Y243" s="64"/>
      <c r="AB243" s="64"/>
      <c r="AC243" s="64"/>
      <c r="AD243" s="64"/>
      <c r="AE243" s="64"/>
      <c r="AF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G244" s="64"/>
      <c r="H244" s="64"/>
      <c r="I244" s="64"/>
      <c r="J244" s="64"/>
      <c r="K244" s="64"/>
      <c r="N244" s="64"/>
      <c r="O244" s="64"/>
      <c r="P244" s="64"/>
      <c r="Q244" s="64"/>
      <c r="R244" s="64"/>
      <c r="U244" s="64"/>
      <c r="V244" s="64"/>
      <c r="W244" s="64"/>
      <c r="X244" s="64"/>
      <c r="Y244" s="64"/>
      <c r="AB244" s="64"/>
      <c r="AC244" s="64"/>
      <c r="AD244" s="64"/>
      <c r="AE244" s="64"/>
      <c r="AF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G245" s="64"/>
      <c r="H245" s="64"/>
      <c r="I245" s="64"/>
      <c r="J245" s="64"/>
      <c r="K245" s="64"/>
      <c r="N245" s="64"/>
      <c r="O245" s="64"/>
      <c r="P245" s="64"/>
      <c r="Q245" s="64"/>
      <c r="R245" s="64"/>
      <c r="U245" s="64"/>
      <c r="V245" s="64"/>
      <c r="W245" s="64"/>
      <c r="X245" s="64"/>
      <c r="Y245" s="64"/>
      <c r="AB245" s="64"/>
      <c r="AC245" s="64"/>
      <c r="AD245" s="64"/>
      <c r="AE245" s="64"/>
      <c r="AF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G246" s="64"/>
      <c r="H246" s="64"/>
      <c r="I246" s="64"/>
      <c r="J246" s="64"/>
      <c r="K246" s="64"/>
      <c r="N246" s="64"/>
      <c r="O246" s="64"/>
      <c r="P246" s="64"/>
      <c r="Q246" s="64"/>
      <c r="R246" s="64"/>
      <c r="U246" s="64"/>
      <c r="V246" s="64"/>
      <c r="W246" s="64"/>
      <c r="X246" s="64"/>
      <c r="Y246" s="64"/>
      <c r="AB246" s="64"/>
      <c r="AC246" s="64"/>
      <c r="AD246" s="64"/>
      <c r="AE246" s="64"/>
      <c r="AF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G247" s="64"/>
      <c r="H247" s="64"/>
      <c r="I247" s="64"/>
      <c r="J247" s="64"/>
      <c r="K247" s="64"/>
      <c r="N247" s="64"/>
      <c r="O247" s="64"/>
      <c r="P247" s="64"/>
      <c r="Q247" s="64"/>
      <c r="R247" s="64"/>
      <c r="U247" s="64"/>
      <c r="V247" s="64"/>
      <c r="W247" s="64"/>
      <c r="X247" s="64"/>
      <c r="Y247" s="64"/>
      <c r="AB247" s="64"/>
      <c r="AC247" s="64"/>
      <c r="AD247" s="64"/>
      <c r="AE247" s="64"/>
      <c r="AF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G248" s="64"/>
      <c r="H248" s="64"/>
      <c r="I248" s="64"/>
      <c r="J248" s="64"/>
      <c r="K248" s="64"/>
      <c r="N248" s="64"/>
      <c r="O248" s="64"/>
      <c r="P248" s="64"/>
      <c r="Q248" s="64"/>
      <c r="R248" s="64"/>
      <c r="U248" s="64"/>
      <c r="V248" s="64"/>
      <c r="W248" s="64"/>
      <c r="X248" s="64"/>
      <c r="Y248" s="64"/>
      <c r="AB248" s="64"/>
      <c r="AC248" s="64"/>
      <c r="AD248" s="64"/>
      <c r="AE248" s="64"/>
      <c r="AF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G249" s="64"/>
      <c r="H249" s="64"/>
      <c r="I249" s="64"/>
      <c r="J249" s="64"/>
      <c r="K249" s="64"/>
      <c r="N249" s="64"/>
      <c r="O249" s="64"/>
      <c r="P249" s="64"/>
      <c r="Q249" s="64"/>
      <c r="R249" s="64"/>
      <c r="U249" s="64"/>
      <c r="V249" s="64"/>
      <c r="W249" s="64"/>
      <c r="X249" s="64"/>
      <c r="Y249" s="64"/>
      <c r="AB249" s="64"/>
      <c r="AC249" s="64"/>
      <c r="AD249" s="64"/>
      <c r="AE249" s="64"/>
      <c r="AF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G250" s="64"/>
      <c r="H250" s="64"/>
      <c r="I250" s="64"/>
      <c r="J250" s="64"/>
      <c r="K250" s="64"/>
      <c r="N250" s="64"/>
      <c r="O250" s="64"/>
      <c r="P250" s="64"/>
      <c r="Q250" s="64"/>
      <c r="R250" s="64"/>
      <c r="U250" s="64"/>
      <c r="V250" s="64"/>
      <c r="W250" s="64"/>
      <c r="X250" s="64"/>
      <c r="Y250" s="64"/>
      <c r="AB250" s="64"/>
      <c r="AC250" s="64"/>
      <c r="AD250" s="64"/>
      <c r="AE250" s="64"/>
      <c r="AF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G251" s="64"/>
      <c r="H251" s="64"/>
      <c r="I251" s="64"/>
      <c r="J251" s="64"/>
      <c r="K251" s="64"/>
      <c r="N251" s="64"/>
      <c r="O251" s="64"/>
      <c r="P251" s="64"/>
      <c r="Q251" s="64"/>
      <c r="R251" s="64"/>
      <c r="U251" s="64"/>
      <c r="V251" s="64"/>
      <c r="W251" s="64"/>
      <c r="X251" s="64"/>
      <c r="Y251" s="64"/>
      <c r="AB251" s="64"/>
      <c r="AC251" s="64"/>
      <c r="AD251" s="64"/>
      <c r="AE251" s="64"/>
      <c r="AF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G252" s="64"/>
      <c r="H252" s="64"/>
      <c r="I252" s="64"/>
      <c r="J252" s="64"/>
      <c r="K252" s="64"/>
      <c r="N252" s="64"/>
      <c r="O252" s="64"/>
      <c r="P252" s="64"/>
      <c r="Q252" s="64"/>
      <c r="R252" s="64"/>
      <c r="U252" s="64"/>
      <c r="V252" s="64"/>
      <c r="W252" s="64"/>
      <c r="X252" s="64"/>
      <c r="Y252" s="64"/>
      <c r="AB252" s="64"/>
      <c r="AC252" s="64"/>
      <c r="AD252" s="64"/>
      <c r="AE252" s="64"/>
      <c r="AF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G253" s="64"/>
      <c r="H253" s="64"/>
      <c r="I253" s="64"/>
      <c r="J253" s="64"/>
      <c r="K253" s="64"/>
      <c r="N253" s="64"/>
      <c r="O253" s="64"/>
      <c r="P253" s="64"/>
      <c r="Q253" s="64"/>
      <c r="R253" s="64"/>
      <c r="U253" s="64"/>
      <c r="V253" s="64"/>
      <c r="W253" s="64"/>
      <c r="X253" s="64"/>
      <c r="Y253" s="64"/>
      <c r="AB253" s="64"/>
      <c r="AC253" s="64"/>
      <c r="AD253" s="64"/>
      <c r="AE253" s="64"/>
      <c r="AF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G254" s="64"/>
      <c r="H254" s="64"/>
      <c r="I254" s="64"/>
      <c r="J254" s="64"/>
      <c r="K254" s="64"/>
      <c r="N254" s="64"/>
      <c r="O254" s="64"/>
      <c r="P254" s="64"/>
      <c r="Q254" s="64"/>
      <c r="R254" s="64"/>
      <c r="U254" s="64"/>
      <c r="V254" s="64"/>
      <c r="W254" s="64"/>
      <c r="X254" s="64"/>
      <c r="Y254" s="64"/>
      <c r="AB254" s="64"/>
      <c r="AC254" s="64"/>
      <c r="AD254" s="64"/>
      <c r="AE254" s="64"/>
      <c r="AF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G255" s="64"/>
      <c r="H255" s="64"/>
      <c r="I255" s="64"/>
      <c r="J255" s="64"/>
      <c r="K255" s="64"/>
      <c r="N255" s="64"/>
      <c r="O255" s="64"/>
      <c r="P255" s="64"/>
      <c r="Q255" s="64"/>
      <c r="R255" s="64"/>
      <c r="U255" s="64"/>
      <c r="V255" s="64"/>
      <c r="W255" s="64"/>
      <c r="X255" s="64"/>
      <c r="Y255" s="64"/>
      <c r="AB255" s="64"/>
      <c r="AC255" s="64"/>
      <c r="AD255" s="64"/>
      <c r="AE255" s="64"/>
      <c r="AF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G256" s="64"/>
      <c r="H256" s="64"/>
      <c r="I256" s="64"/>
      <c r="J256" s="64"/>
      <c r="K256" s="64"/>
      <c r="N256" s="64"/>
      <c r="O256" s="64"/>
      <c r="P256" s="64"/>
      <c r="Q256" s="64"/>
      <c r="R256" s="64"/>
      <c r="U256" s="64"/>
      <c r="V256" s="64"/>
      <c r="W256" s="64"/>
      <c r="X256" s="64"/>
      <c r="Y256" s="64"/>
      <c r="AB256" s="64"/>
      <c r="AC256" s="64"/>
      <c r="AD256" s="64"/>
      <c r="AE256" s="64"/>
      <c r="AF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G257" s="64"/>
      <c r="H257" s="64"/>
      <c r="I257" s="64"/>
      <c r="J257" s="64"/>
      <c r="K257" s="64"/>
      <c r="N257" s="64"/>
      <c r="O257" s="64"/>
      <c r="P257" s="64"/>
      <c r="Q257" s="64"/>
      <c r="R257" s="64"/>
      <c r="U257" s="64"/>
      <c r="V257" s="64"/>
      <c r="W257" s="64"/>
      <c r="X257" s="64"/>
      <c r="Y257" s="64"/>
      <c r="AB257" s="64"/>
      <c r="AC257" s="64"/>
      <c r="AD257" s="64"/>
      <c r="AE257" s="64"/>
      <c r="AF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G258" s="64"/>
      <c r="H258" s="64"/>
      <c r="I258" s="64"/>
      <c r="J258" s="64"/>
      <c r="K258" s="64"/>
      <c r="N258" s="64"/>
      <c r="O258" s="64"/>
      <c r="P258" s="64"/>
      <c r="Q258" s="64"/>
      <c r="R258" s="64"/>
      <c r="U258" s="64"/>
      <c r="V258" s="64"/>
      <c r="W258" s="64"/>
      <c r="X258" s="64"/>
      <c r="Y258" s="64"/>
      <c r="AB258" s="64"/>
      <c r="AC258" s="64"/>
      <c r="AD258" s="64"/>
      <c r="AE258" s="64"/>
      <c r="AF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G259" s="64"/>
      <c r="H259" s="64"/>
      <c r="I259" s="64"/>
      <c r="J259" s="64"/>
      <c r="K259" s="64"/>
      <c r="N259" s="64"/>
      <c r="O259" s="64"/>
      <c r="P259" s="64"/>
      <c r="Q259" s="64"/>
      <c r="R259" s="64"/>
      <c r="U259" s="64"/>
      <c r="V259" s="64"/>
      <c r="W259" s="64"/>
      <c r="X259" s="64"/>
      <c r="Y259" s="64"/>
      <c r="AB259" s="64"/>
      <c r="AC259" s="64"/>
      <c r="AD259" s="64"/>
      <c r="AE259" s="64"/>
      <c r="AF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G260" s="64"/>
      <c r="H260" s="64"/>
      <c r="I260" s="64"/>
      <c r="J260" s="64"/>
      <c r="K260" s="64"/>
      <c r="N260" s="64"/>
      <c r="O260" s="64"/>
      <c r="P260" s="64"/>
      <c r="Q260" s="64"/>
      <c r="R260" s="64"/>
      <c r="U260" s="64"/>
      <c r="V260" s="64"/>
      <c r="W260" s="64"/>
      <c r="X260" s="64"/>
      <c r="Y260" s="64"/>
      <c r="AB260" s="64"/>
      <c r="AC260" s="64"/>
      <c r="AD260" s="64"/>
      <c r="AE260" s="64"/>
      <c r="AF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G261" s="64"/>
      <c r="H261" s="64"/>
      <c r="I261" s="64"/>
      <c r="J261" s="64"/>
      <c r="K261" s="64"/>
      <c r="N261" s="64"/>
      <c r="O261" s="64"/>
      <c r="P261" s="64"/>
      <c r="Q261" s="64"/>
      <c r="R261" s="64"/>
      <c r="U261" s="64"/>
      <c r="V261" s="64"/>
      <c r="W261" s="64"/>
      <c r="X261" s="64"/>
      <c r="Y261" s="64"/>
      <c r="AB261" s="64"/>
      <c r="AC261" s="64"/>
      <c r="AD261" s="64"/>
      <c r="AE261" s="64"/>
      <c r="AF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G262" s="64"/>
      <c r="H262" s="64"/>
      <c r="I262" s="64"/>
      <c r="J262" s="64"/>
      <c r="K262" s="64"/>
      <c r="N262" s="64"/>
      <c r="O262" s="64"/>
      <c r="P262" s="64"/>
      <c r="Q262" s="64"/>
      <c r="R262" s="64"/>
      <c r="U262" s="64"/>
      <c r="V262" s="64"/>
      <c r="W262" s="64"/>
      <c r="X262" s="64"/>
      <c r="Y262" s="64"/>
      <c r="AB262" s="64"/>
      <c r="AC262" s="64"/>
      <c r="AD262" s="64"/>
      <c r="AE262" s="64"/>
      <c r="AF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G263" s="64"/>
      <c r="H263" s="64"/>
      <c r="I263" s="64"/>
      <c r="J263" s="64"/>
      <c r="K263" s="64"/>
      <c r="N263" s="64"/>
      <c r="O263" s="64"/>
      <c r="P263" s="64"/>
      <c r="Q263" s="64"/>
      <c r="R263" s="64"/>
      <c r="U263" s="64"/>
      <c r="V263" s="64"/>
      <c r="W263" s="64"/>
      <c r="X263" s="64"/>
      <c r="Y263" s="64"/>
      <c r="AB263" s="64"/>
      <c r="AC263" s="64"/>
      <c r="AD263" s="64"/>
      <c r="AE263" s="64"/>
      <c r="AF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G264" s="64"/>
      <c r="H264" s="64"/>
      <c r="I264" s="64"/>
      <c r="J264" s="64"/>
      <c r="K264" s="64"/>
      <c r="N264" s="64"/>
      <c r="O264" s="64"/>
      <c r="P264" s="64"/>
      <c r="Q264" s="64"/>
      <c r="R264" s="64"/>
      <c r="U264" s="64"/>
      <c r="V264" s="64"/>
      <c r="W264" s="64"/>
      <c r="X264" s="64"/>
      <c r="Y264" s="64"/>
      <c r="AB264" s="64"/>
      <c r="AC264" s="64"/>
      <c r="AD264" s="64"/>
      <c r="AE264" s="64"/>
      <c r="AF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G265" s="64"/>
      <c r="H265" s="64"/>
      <c r="I265" s="64"/>
      <c r="J265" s="64"/>
      <c r="K265" s="64"/>
      <c r="N265" s="64"/>
      <c r="O265" s="64"/>
      <c r="P265" s="64"/>
      <c r="Q265" s="64"/>
      <c r="R265" s="64"/>
      <c r="U265" s="64"/>
      <c r="V265" s="64"/>
      <c r="W265" s="64"/>
      <c r="X265" s="64"/>
      <c r="Y265" s="64"/>
      <c r="AB265" s="64"/>
      <c r="AC265" s="64"/>
      <c r="AD265" s="64"/>
      <c r="AE265" s="64"/>
      <c r="AF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G266" s="64"/>
      <c r="H266" s="64"/>
      <c r="I266" s="64"/>
      <c r="J266" s="64"/>
      <c r="K266" s="64"/>
      <c r="N266" s="64"/>
      <c r="O266" s="64"/>
      <c r="P266" s="64"/>
      <c r="Q266" s="64"/>
      <c r="R266" s="64"/>
      <c r="U266" s="64"/>
      <c r="V266" s="64"/>
      <c r="W266" s="64"/>
      <c r="X266" s="64"/>
      <c r="Y266" s="64"/>
      <c r="AB266" s="64"/>
      <c r="AC266" s="64"/>
      <c r="AD266" s="64"/>
      <c r="AE266" s="64"/>
      <c r="AF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G267" s="64"/>
      <c r="H267" s="64"/>
      <c r="I267" s="64"/>
      <c r="J267" s="64"/>
      <c r="K267" s="64"/>
      <c r="N267" s="64"/>
      <c r="O267" s="64"/>
      <c r="P267" s="64"/>
      <c r="Q267" s="64"/>
      <c r="R267" s="64"/>
      <c r="U267" s="64"/>
      <c r="V267" s="64"/>
      <c r="W267" s="64"/>
      <c r="X267" s="64"/>
      <c r="Y267" s="64"/>
      <c r="AB267" s="64"/>
      <c r="AC267" s="64"/>
      <c r="AD267" s="64"/>
      <c r="AE267" s="64"/>
      <c r="AF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G268" s="64"/>
      <c r="H268" s="64"/>
      <c r="I268" s="64"/>
      <c r="J268" s="64"/>
      <c r="K268" s="64"/>
      <c r="N268" s="64"/>
      <c r="O268" s="64"/>
      <c r="P268" s="64"/>
      <c r="Q268" s="64"/>
      <c r="R268" s="64"/>
      <c r="U268" s="64"/>
      <c r="V268" s="64"/>
      <c r="W268" s="64"/>
      <c r="X268" s="64"/>
      <c r="Y268" s="64"/>
      <c r="AB268" s="64"/>
      <c r="AC268" s="64"/>
      <c r="AD268" s="64"/>
      <c r="AE268" s="64"/>
      <c r="AF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G269" s="64"/>
      <c r="H269" s="64"/>
      <c r="I269" s="64"/>
      <c r="J269" s="64"/>
      <c r="K269" s="64"/>
      <c r="N269" s="64"/>
      <c r="O269" s="64"/>
      <c r="P269" s="64"/>
      <c r="Q269" s="64"/>
      <c r="R269" s="64"/>
      <c r="U269" s="64"/>
      <c r="V269" s="64"/>
      <c r="W269" s="64"/>
      <c r="X269" s="64"/>
      <c r="Y269" s="64"/>
      <c r="AB269" s="64"/>
      <c r="AC269" s="64"/>
      <c r="AD269" s="64"/>
      <c r="AE269" s="64"/>
      <c r="AF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G270" s="64"/>
      <c r="H270" s="64"/>
      <c r="I270" s="64"/>
      <c r="J270" s="64"/>
      <c r="K270" s="64"/>
      <c r="N270" s="64"/>
      <c r="O270" s="64"/>
      <c r="P270" s="64"/>
      <c r="Q270" s="64"/>
      <c r="R270" s="64"/>
      <c r="U270" s="64"/>
      <c r="V270" s="64"/>
      <c r="W270" s="64"/>
      <c r="X270" s="64"/>
      <c r="Y270" s="64"/>
      <c r="AB270" s="64"/>
      <c r="AC270" s="64"/>
      <c r="AD270" s="64"/>
      <c r="AE270" s="64"/>
      <c r="AF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G271" s="64"/>
      <c r="H271" s="64"/>
      <c r="I271" s="64"/>
      <c r="J271" s="64"/>
      <c r="K271" s="64"/>
      <c r="N271" s="64"/>
      <c r="O271" s="64"/>
      <c r="P271" s="64"/>
      <c r="Q271" s="64"/>
      <c r="R271" s="64"/>
      <c r="U271" s="64"/>
      <c r="V271" s="64"/>
      <c r="W271" s="64"/>
      <c r="X271" s="64"/>
      <c r="Y271" s="64"/>
      <c r="AB271" s="64"/>
      <c r="AC271" s="64"/>
      <c r="AD271" s="64"/>
      <c r="AE271" s="64"/>
      <c r="AF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G272" s="64"/>
      <c r="H272" s="64"/>
      <c r="I272" s="64"/>
      <c r="J272" s="64"/>
      <c r="K272" s="64"/>
      <c r="N272" s="64"/>
      <c r="O272" s="64"/>
      <c r="P272" s="64"/>
      <c r="Q272" s="64"/>
      <c r="R272" s="64"/>
      <c r="U272" s="64"/>
      <c r="V272" s="64"/>
      <c r="W272" s="64"/>
      <c r="X272" s="64"/>
      <c r="Y272" s="64"/>
      <c r="AB272" s="64"/>
      <c r="AC272" s="64"/>
      <c r="AD272" s="64"/>
      <c r="AE272" s="64"/>
      <c r="AF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G273" s="64"/>
      <c r="H273" s="64"/>
      <c r="I273" s="64"/>
      <c r="J273" s="64"/>
      <c r="K273" s="64"/>
      <c r="N273" s="64"/>
      <c r="O273" s="64"/>
      <c r="P273" s="64"/>
      <c r="Q273" s="64"/>
      <c r="R273" s="64"/>
      <c r="U273" s="64"/>
      <c r="V273" s="64"/>
      <c r="W273" s="64"/>
      <c r="X273" s="64"/>
      <c r="Y273" s="64"/>
      <c r="AB273" s="64"/>
      <c r="AC273" s="64"/>
      <c r="AD273" s="64"/>
      <c r="AE273" s="64"/>
      <c r="AF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G274" s="64"/>
      <c r="H274" s="64"/>
      <c r="I274" s="64"/>
      <c r="J274" s="64"/>
      <c r="K274" s="64"/>
      <c r="N274" s="64"/>
      <c r="O274" s="64"/>
      <c r="P274" s="64"/>
      <c r="Q274" s="64"/>
      <c r="R274" s="64"/>
      <c r="U274" s="64"/>
      <c r="V274" s="64"/>
      <c r="W274" s="64"/>
      <c r="X274" s="64"/>
      <c r="Y274" s="64"/>
      <c r="AB274" s="64"/>
      <c r="AC274" s="64"/>
      <c r="AD274" s="64"/>
      <c r="AE274" s="64"/>
      <c r="AF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G275" s="64"/>
      <c r="H275" s="64"/>
      <c r="I275" s="64"/>
      <c r="J275" s="64"/>
      <c r="K275" s="64"/>
      <c r="N275" s="64"/>
      <c r="O275" s="64"/>
      <c r="P275" s="64"/>
      <c r="Q275" s="64"/>
      <c r="R275" s="64"/>
      <c r="U275" s="64"/>
      <c r="V275" s="64"/>
      <c r="W275" s="64"/>
      <c r="X275" s="64"/>
      <c r="Y275" s="64"/>
      <c r="AB275" s="64"/>
      <c r="AC275" s="64"/>
      <c r="AD275" s="64"/>
      <c r="AE275" s="64"/>
      <c r="AF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G276" s="64"/>
      <c r="H276" s="64"/>
      <c r="I276" s="64"/>
      <c r="J276" s="64"/>
      <c r="K276" s="64"/>
      <c r="N276" s="64"/>
      <c r="O276" s="64"/>
      <c r="P276" s="64"/>
      <c r="Q276" s="64"/>
      <c r="R276" s="64"/>
      <c r="U276" s="64"/>
      <c r="V276" s="64"/>
      <c r="W276" s="64"/>
      <c r="X276" s="64"/>
      <c r="Y276" s="64"/>
      <c r="AB276" s="64"/>
      <c r="AC276" s="64"/>
      <c r="AD276" s="64"/>
      <c r="AE276" s="64"/>
      <c r="AF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G277" s="64"/>
      <c r="H277" s="64"/>
      <c r="I277" s="64"/>
      <c r="J277" s="64"/>
      <c r="K277" s="64"/>
      <c r="N277" s="64"/>
      <c r="O277" s="64"/>
      <c r="P277" s="64"/>
      <c r="Q277" s="64"/>
      <c r="R277" s="64"/>
      <c r="U277" s="64"/>
      <c r="V277" s="64"/>
      <c r="W277" s="64"/>
      <c r="X277" s="64"/>
      <c r="Y277" s="64"/>
      <c r="AB277" s="64"/>
      <c r="AC277" s="64"/>
      <c r="AD277" s="64"/>
      <c r="AE277" s="64"/>
      <c r="AF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G278" s="64"/>
      <c r="H278" s="64"/>
      <c r="I278" s="64"/>
      <c r="J278" s="64"/>
      <c r="K278" s="64"/>
      <c r="N278" s="64"/>
      <c r="O278" s="64"/>
      <c r="P278" s="64"/>
      <c r="Q278" s="64"/>
      <c r="R278" s="64"/>
      <c r="U278" s="64"/>
      <c r="V278" s="64"/>
      <c r="W278" s="64"/>
      <c r="X278" s="64"/>
      <c r="Y278" s="64"/>
      <c r="AB278" s="64"/>
      <c r="AC278" s="64"/>
      <c r="AD278" s="64"/>
      <c r="AE278" s="64"/>
      <c r="AF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G279" s="64"/>
      <c r="H279" s="64"/>
      <c r="I279" s="64"/>
      <c r="J279" s="64"/>
      <c r="K279" s="64"/>
      <c r="N279" s="64"/>
      <c r="O279" s="64"/>
      <c r="P279" s="64"/>
      <c r="Q279" s="64"/>
      <c r="R279" s="64"/>
      <c r="U279" s="64"/>
      <c r="V279" s="64"/>
      <c r="W279" s="64"/>
      <c r="X279" s="64"/>
      <c r="Y279" s="64"/>
      <c r="AB279" s="64"/>
      <c r="AC279" s="64"/>
      <c r="AD279" s="64"/>
      <c r="AE279" s="64"/>
      <c r="AF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G280" s="64"/>
      <c r="H280" s="64"/>
      <c r="I280" s="64"/>
      <c r="J280" s="64"/>
      <c r="K280" s="64"/>
      <c r="N280" s="64"/>
      <c r="O280" s="64"/>
      <c r="P280" s="64"/>
      <c r="Q280" s="64"/>
      <c r="R280" s="64"/>
      <c r="U280" s="64"/>
      <c r="V280" s="64"/>
      <c r="W280" s="64"/>
      <c r="X280" s="64"/>
      <c r="Y280" s="64"/>
      <c r="AB280" s="64"/>
      <c r="AC280" s="64"/>
      <c r="AD280" s="64"/>
      <c r="AE280" s="64"/>
      <c r="AF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G281" s="64"/>
      <c r="H281" s="64"/>
      <c r="I281" s="64"/>
      <c r="J281" s="64"/>
      <c r="K281" s="64"/>
      <c r="N281" s="64"/>
      <c r="O281" s="64"/>
      <c r="P281" s="64"/>
      <c r="Q281" s="64"/>
      <c r="R281" s="64"/>
      <c r="U281" s="64"/>
      <c r="V281" s="64"/>
      <c r="W281" s="64"/>
      <c r="X281" s="64"/>
      <c r="Y281" s="64"/>
      <c r="AB281" s="64"/>
      <c r="AC281" s="64"/>
      <c r="AD281" s="64"/>
      <c r="AE281" s="64"/>
      <c r="AF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G282" s="64"/>
      <c r="H282" s="64"/>
      <c r="I282" s="64"/>
      <c r="J282" s="64"/>
      <c r="K282" s="64"/>
      <c r="N282" s="64"/>
      <c r="O282" s="64"/>
      <c r="P282" s="64"/>
      <c r="Q282" s="64"/>
      <c r="R282" s="64"/>
      <c r="U282" s="64"/>
      <c r="V282" s="64"/>
      <c r="W282" s="64"/>
      <c r="X282" s="64"/>
      <c r="Y282" s="64"/>
      <c r="AB282" s="64"/>
      <c r="AC282" s="64"/>
      <c r="AD282" s="64"/>
      <c r="AE282" s="64"/>
      <c r="AF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G283" s="64"/>
      <c r="H283" s="64"/>
      <c r="I283" s="64"/>
      <c r="J283" s="64"/>
      <c r="K283" s="64"/>
      <c r="N283" s="64"/>
      <c r="O283" s="64"/>
      <c r="P283" s="64"/>
      <c r="Q283" s="64"/>
      <c r="R283" s="64"/>
      <c r="U283" s="64"/>
      <c r="V283" s="64"/>
      <c r="W283" s="64"/>
      <c r="X283" s="64"/>
      <c r="Y283" s="64"/>
      <c r="AB283" s="64"/>
      <c r="AC283" s="64"/>
      <c r="AD283" s="64"/>
      <c r="AE283" s="64"/>
      <c r="AF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G284" s="64"/>
      <c r="H284" s="64"/>
      <c r="I284" s="64"/>
      <c r="J284" s="64"/>
      <c r="K284" s="64"/>
      <c r="N284" s="64"/>
      <c r="O284" s="64"/>
      <c r="P284" s="64"/>
      <c r="Q284" s="64"/>
      <c r="R284" s="64"/>
      <c r="U284" s="64"/>
      <c r="V284" s="64"/>
      <c r="W284" s="64"/>
      <c r="X284" s="64"/>
      <c r="Y284" s="64"/>
      <c r="AB284" s="64"/>
      <c r="AC284" s="64"/>
      <c r="AD284" s="64"/>
      <c r="AE284" s="64"/>
      <c r="AF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G285" s="64"/>
      <c r="H285" s="64"/>
      <c r="I285" s="64"/>
      <c r="J285" s="64"/>
      <c r="K285" s="64"/>
      <c r="N285" s="64"/>
      <c r="O285" s="64"/>
      <c r="P285" s="64"/>
      <c r="Q285" s="64"/>
      <c r="R285" s="64"/>
      <c r="U285" s="64"/>
      <c r="V285" s="64"/>
      <c r="W285" s="64"/>
      <c r="X285" s="64"/>
      <c r="Y285" s="64"/>
      <c r="AB285" s="64"/>
      <c r="AC285" s="64"/>
      <c r="AD285" s="64"/>
      <c r="AE285" s="64"/>
      <c r="AF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G286" s="64"/>
      <c r="H286" s="64"/>
      <c r="I286" s="64"/>
      <c r="J286" s="64"/>
      <c r="K286" s="64"/>
      <c r="N286" s="64"/>
      <c r="O286" s="64"/>
      <c r="P286" s="64"/>
      <c r="Q286" s="64"/>
      <c r="R286" s="64"/>
      <c r="U286" s="64"/>
      <c r="V286" s="64"/>
      <c r="W286" s="64"/>
      <c r="X286" s="64"/>
      <c r="Y286" s="64"/>
      <c r="AB286" s="64"/>
      <c r="AC286" s="64"/>
      <c r="AD286" s="64"/>
      <c r="AE286" s="64"/>
      <c r="AF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G287" s="64"/>
      <c r="H287" s="64"/>
      <c r="I287" s="64"/>
      <c r="J287" s="64"/>
      <c r="K287" s="64"/>
      <c r="N287" s="64"/>
      <c r="O287" s="64"/>
      <c r="P287" s="64"/>
      <c r="Q287" s="64"/>
      <c r="R287" s="64"/>
      <c r="U287" s="64"/>
      <c r="V287" s="64"/>
      <c r="W287" s="64"/>
      <c r="X287" s="64"/>
      <c r="Y287" s="64"/>
      <c r="AB287" s="64"/>
      <c r="AC287" s="64"/>
      <c r="AD287" s="64"/>
      <c r="AE287" s="64"/>
      <c r="AF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G288" s="64"/>
      <c r="H288" s="64"/>
      <c r="I288" s="64"/>
      <c r="J288" s="64"/>
      <c r="K288" s="64"/>
      <c r="N288" s="64"/>
      <c r="O288" s="64"/>
      <c r="P288" s="64"/>
      <c r="Q288" s="64"/>
      <c r="R288" s="64"/>
      <c r="U288" s="64"/>
      <c r="V288" s="64"/>
      <c r="W288" s="64"/>
      <c r="X288" s="64"/>
      <c r="Y288" s="64"/>
      <c r="AB288" s="64"/>
      <c r="AC288" s="64"/>
      <c r="AD288" s="64"/>
      <c r="AE288" s="64"/>
      <c r="AF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G289" s="64"/>
      <c r="H289" s="64"/>
      <c r="I289" s="64"/>
      <c r="J289" s="64"/>
      <c r="K289" s="64"/>
      <c r="N289" s="64"/>
      <c r="O289" s="64"/>
      <c r="P289" s="64"/>
      <c r="Q289" s="64"/>
      <c r="R289" s="64"/>
      <c r="U289" s="64"/>
      <c r="V289" s="64"/>
      <c r="W289" s="64"/>
      <c r="X289" s="64"/>
      <c r="Y289" s="64"/>
      <c r="AB289" s="64"/>
      <c r="AC289" s="64"/>
      <c r="AD289" s="64"/>
      <c r="AE289" s="64"/>
      <c r="AF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G290" s="64"/>
      <c r="H290" s="64"/>
      <c r="I290" s="64"/>
      <c r="J290" s="64"/>
      <c r="K290" s="64"/>
      <c r="N290" s="64"/>
      <c r="O290" s="64"/>
      <c r="P290" s="64"/>
      <c r="Q290" s="64"/>
      <c r="R290" s="64"/>
      <c r="U290" s="64"/>
      <c r="V290" s="64"/>
      <c r="W290" s="64"/>
      <c r="X290" s="64"/>
      <c r="Y290" s="64"/>
      <c r="AB290" s="64"/>
      <c r="AC290" s="64"/>
      <c r="AD290" s="64"/>
      <c r="AE290" s="64"/>
      <c r="AF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G291" s="64"/>
      <c r="H291" s="64"/>
      <c r="I291" s="64"/>
      <c r="J291" s="64"/>
      <c r="K291" s="64"/>
      <c r="N291" s="64"/>
      <c r="O291" s="64"/>
      <c r="P291" s="64"/>
      <c r="Q291" s="64"/>
      <c r="R291" s="64"/>
      <c r="U291" s="64"/>
      <c r="V291" s="64"/>
      <c r="W291" s="64"/>
      <c r="X291" s="64"/>
      <c r="Y291" s="64"/>
      <c r="AB291" s="64"/>
      <c r="AC291" s="64"/>
      <c r="AD291" s="64"/>
      <c r="AE291" s="64"/>
      <c r="AF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G292" s="64"/>
      <c r="H292" s="64"/>
      <c r="I292" s="64"/>
      <c r="J292" s="64"/>
      <c r="K292" s="64"/>
      <c r="N292" s="64"/>
      <c r="O292" s="64"/>
      <c r="P292" s="64"/>
      <c r="Q292" s="64"/>
      <c r="R292" s="64"/>
      <c r="U292" s="64"/>
      <c r="V292" s="64"/>
      <c r="W292" s="64"/>
      <c r="X292" s="64"/>
      <c r="Y292" s="64"/>
      <c r="AB292" s="64"/>
      <c r="AC292" s="64"/>
      <c r="AD292" s="64"/>
      <c r="AE292" s="64"/>
      <c r="AF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G293" s="64"/>
      <c r="H293" s="64"/>
      <c r="I293" s="64"/>
      <c r="J293" s="64"/>
      <c r="K293" s="64"/>
      <c r="N293" s="64"/>
      <c r="O293" s="64"/>
      <c r="P293" s="64"/>
      <c r="Q293" s="64"/>
      <c r="R293" s="64"/>
      <c r="U293" s="64"/>
      <c r="V293" s="64"/>
      <c r="W293" s="64"/>
      <c r="X293" s="64"/>
      <c r="Y293" s="64"/>
      <c r="AB293" s="64"/>
      <c r="AC293" s="64"/>
      <c r="AD293" s="64"/>
      <c r="AE293" s="64"/>
      <c r="AF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G294" s="64"/>
      <c r="H294" s="64"/>
      <c r="I294" s="64"/>
      <c r="J294" s="64"/>
      <c r="K294" s="64"/>
      <c r="N294" s="64"/>
      <c r="O294" s="64"/>
      <c r="P294" s="64"/>
      <c r="Q294" s="64"/>
      <c r="R294" s="64"/>
      <c r="U294" s="64"/>
      <c r="V294" s="64"/>
      <c r="W294" s="64"/>
      <c r="X294" s="64"/>
      <c r="Y294" s="64"/>
      <c r="AB294" s="64"/>
      <c r="AC294" s="64"/>
      <c r="AD294" s="64"/>
      <c r="AE294" s="64"/>
      <c r="AF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G295" s="64"/>
      <c r="H295" s="64"/>
      <c r="I295" s="64"/>
      <c r="J295" s="64"/>
      <c r="K295" s="64"/>
      <c r="N295" s="64"/>
      <c r="O295" s="64"/>
      <c r="P295" s="64"/>
      <c r="Q295" s="64"/>
      <c r="R295" s="64"/>
      <c r="U295" s="64"/>
      <c r="V295" s="64"/>
      <c r="W295" s="64"/>
      <c r="X295" s="64"/>
      <c r="Y295" s="64"/>
      <c r="AB295" s="64"/>
      <c r="AC295" s="64"/>
      <c r="AD295" s="64"/>
      <c r="AE295" s="64"/>
      <c r="AF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G296" s="64"/>
      <c r="H296" s="64"/>
      <c r="I296" s="64"/>
      <c r="J296" s="64"/>
      <c r="K296" s="64"/>
      <c r="N296" s="64"/>
      <c r="O296" s="64"/>
      <c r="P296" s="64"/>
      <c r="Q296" s="64"/>
      <c r="R296" s="64"/>
      <c r="U296" s="64"/>
      <c r="V296" s="64"/>
      <c r="W296" s="64"/>
      <c r="X296" s="64"/>
      <c r="Y296" s="64"/>
      <c r="AB296" s="64"/>
      <c r="AC296" s="64"/>
      <c r="AD296" s="64"/>
      <c r="AE296" s="64"/>
      <c r="AF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G297" s="64"/>
      <c r="H297" s="64"/>
      <c r="I297" s="64"/>
      <c r="J297" s="64"/>
      <c r="K297" s="64"/>
      <c r="N297" s="64"/>
      <c r="O297" s="64"/>
      <c r="P297" s="64"/>
      <c r="Q297" s="64"/>
      <c r="R297" s="64"/>
      <c r="U297" s="64"/>
      <c r="V297" s="64"/>
      <c r="W297" s="64"/>
      <c r="X297" s="64"/>
      <c r="Y297" s="64"/>
      <c r="AB297" s="64"/>
      <c r="AC297" s="64"/>
      <c r="AD297" s="64"/>
      <c r="AE297" s="64"/>
      <c r="AF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G298" s="64"/>
      <c r="H298" s="64"/>
      <c r="I298" s="64"/>
      <c r="J298" s="64"/>
      <c r="K298" s="64"/>
      <c r="N298" s="64"/>
      <c r="O298" s="64"/>
      <c r="P298" s="64"/>
      <c r="Q298" s="64"/>
      <c r="R298" s="64"/>
      <c r="U298" s="64"/>
      <c r="V298" s="64"/>
      <c r="W298" s="64"/>
      <c r="X298" s="64"/>
      <c r="Y298" s="64"/>
      <c r="AB298" s="64"/>
      <c r="AC298" s="64"/>
      <c r="AD298" s="64"/>
      <c r="AE298" s="64"/>
      <c r="AF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G299" s="64"/>
      <c r="H299" s="64"/>
      <c r="I299" s="64"/>
      <c r="J299" s="64"/>
      <c r="K299" s="64"/>
      <c r="N299" s="64"/>
      <c r="O299" s="64"/>
      <c r="P299" s="64"/>
      <c r="Q299" s="64"/>
      <c r="R299" s="64"/>
      <c r="U299" s="64"/>
      <c r="V299" s="64"/>
      <c r="W299" s="64"/>
      <c r="X299" s="64"/>
      <c r="Y299" s="64"/>
      <c r="AB299" s="64"/>
      <c r="AC299" s="64"/>
      <c r="AD299" s="64"/>
      <c r="AE299" s="64"/>
      <c r="AF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G300" s="64"/>
      <c r="H300" s="64"/>
      <c r="I300" s="64"/>
      <c r="J300" s="64"/>
      <c r="K300" s="64"/>
      <c r="N300" s="64"/>
      <c r="O300" s="64"/>
      <c r="P300" s="64"/>
      <c r="Q300" s="64"/>
      <c r="R300" s="64"/>
      <c r="U300" s="64"/>
      <c r="V300" s="64"/>
      <c r="W300" s="64"/>
      <c r="X300" s="64"/>
      <c r="Y300" s="64"/>
      <c r="AB300" s="64"/>
      <c r="AC300" s="64"/>
      <c r="AD300" s="64"/>
      <c r="AE300" s="64"/>
      <c r="AF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G301" s="64"/>
      <c r="H301" s="64"/>
      <c r="I301" s="64"/>
      <c r="J301" s="64"/>
      <c r="K301" s="64"/>
      <c r="N301" s="64"/>
      <c r="O301" s="64"/>
      <c r="P301" s="64"/>
      <c r="Q301" s="64"/>
      <c r="R301" s="64"/>
      <c r="U301" s="64"/>
      <c r="V301" s="64"/>
      <c r="W301" s="64"/>
      <c r="X301" s="64"/>
      <c r="Y301" s="64"/>
      <c r="AB301" s="64"/>
      <c r="AC301" s="64"/>
      <c r="AD301" s="64"/>
      <c r="AE301" s="64"/>
      <c r="AF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G302" s="64"/>
      <c r="H302" s="64"/>
      <c r="I302" s="64"/>
      <c r="J302" s="64"/>
      <c r="K302" s="64"/>
      <c r="N302" s="64"/>
      <c r="O302" s="64"/>
      <c r="P302" s="64"/>
      <c r="Q302" s="64"/>
      <c r="R302" s="64"/>
      <c r="U302" s="64"/>
      <c r="V302" s="64"/>
      <c r="W302" s="64"/>
      <c r="X302" s="64"/>
      <c r="Y302" s="64"/>
      <c r="AB302" s="64"/>
      <c r="AC302" s="64"/>
      <c r="AD302" s="64"/>
      <c r="AE302" s="64"/>
      <c r="AF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G303" s="64"/>
      <c r="H303" s="64"/>
      <c r="I303" s="64"/>
      <c r="J303" s="64"/>
      <c r="K303" s="64"/>
      <c r="N303" s="64"/>
      <c r="O303" s="64"/>
      <c r="P303" s="64"/>
      <c r="Q303" s="64"/>
      <c r="R303" s="64"/>
      <c r="U303" s="64"/>
      <c r="V303" s="64"/>
      <c r="W303" s="64"/>
      <c r="X303" s="64"/>
      <c r="Y303" s="64"/>
      <c r="AB303" s="64"/>
      <c r="AC303" s="64"/>
      <c r="AD303" s="64"/>
      <c r="AE303" s="64"/>
      <c r="AF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G304" s="64"/>
      <c r="H304" s="64"/>
      <c r="I304" s="64"/>
      <c r="J304" s="64"/>
      <c r="K304" s="64"/>
      <c r="N304" s="64"/>
      <c r="O304" s="64"/>
      <c r="P304" s="64"/>
      <c r="Q304" s="64"/>
      <c r="R304" s="64"/>
      <c r="U304" s="64"/>
      <c r="V304" s="64"/>
      <c r="W304" s="64"/>
      <c r="X304" s="64"/>
      <c r="Y304" s="64"/>
      <c r="AB304" s="64"/>
      <c r="AC304" s="64"/>
      <c r="AD304" s="64"/>
      <c r="AE304" s="64"/>
      <c r="AF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G305" s="64"/>
      <c r="H305" s="64"/>
      <c r="I305" s="64"/>
      <c r="J305" s="64"/>
      <c r="K305" s="64"/>
      <c r="N305" s="64"/>
      <c r="O305" s="64"/>
      <c r="P305" s="64"/>
      <c r="Q305" s="64"/>
      <c r="R305" s="64"/>
      <c r="U305" s="64"/>
      <c r="V305" s="64"/>
      <c r="W305" s="64"/>
      <c r="X305" s="64"/>
      <c r="Y305" s="64"/>
      <c r="AB305" s="64"/>
      <c r="AC305" s="64"/>
      <c r="AD305" s="64"/>
      <c r="AE305" s="64"/>
      <c r="AF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G306" s="64"/>
      <c r="H306" s="64"/>
      <c r="I306" s="64"/>
      <c r="J306" s="64"/>
      <c r="K306" s="64"/>
      <c r="N306" s="64"/>
      <c r="O306" s="64"/>
      <c r="P306" s="64"/>
      <c r="Q306" s="64"/>
      <c r="R306" s="64"/>
      <c r="U306" s="64"/>
      <c r="V306" s="64"/>
      <c r="W306" s="64"/>
      <c r="X306" s="64"/>
      <c r="Y306" s="64"/>
      <c r="AB306" s="64"/>
      <c r="AC306" s="64"/>
      <c r="AD306" s="64"/>
      <c r="AE306" s="64"/>
      <c r="AF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G307" s="64"/>
      <c r="H307" s="64"/>
      <c r="I307" s="64"/>
      <c r="J307" s="64"/>
      <c r="K307" s="64"/>
      <c r="N307" s="64"/>
      <c r="O307" s="64"/>
      <c r="P307" s="64"/>
      <c r="Q307" s="64"/>
      <c r="R307" s="64"/>
      <c r="U307" s="64"/>
      <c r="V307" s="64"/>
      <c r="W307" s="64"/>
      <c r="X307" s="64"/>
      <c r="Y307" s="64"/>
      <c r="AB307" s="64"/>
      <c r="AC307" s="64"/>
      <c r="AD307" s="64"/>
      <c r="AE307" s="64"/>
      <c r="AF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G308" s="64"/>
      <c r="H308" s="64"/>
      <c r="I308" s="64"/>
      <c r="J308" s="64"/>
      <c r="K308" s="64"/>
      <c r="N308" s="64"/>
      <c r="O308" s="64"/>
      <c r="P308" s="64"/>
      <c r="Q308" s="64"/>
      <c r="R308" s="64"/>
      <c r="U308" s="64"/>
      <c r="V308" s="64"/>
      <c r="W308" s="64"/>
      <c r="X308" s="64"/>
      <c r="Y308" s="64"/>
      <c r="AB308" s="64"/>
      <c r="AC308" s="64"/>
      <c r="AD308" s="64"/>
      <c r="AE308" s="64"/>
      <c r="AF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G309" s="64"/>
      <c r="H309" s="64"/>
      <c r="I309" s="64"/>
      <c r="J309" s="64"/>
      <c r="K309" s="64"/>
      <c r="N309" s="64"/>
      <c r="O309" s="64"/>
      <c r="P309" s="64"/>
      <c r="Q309" s="64"/>
      <c r="R309" s="64"/>
      <c r="U309" s="64"/>
      <c r="V309" s="64"/>
      <c r="W309" s="64"/>
      <c r="X309" s="64"/>
      <c r="Y309" s="64"/>
      <c r="AB309" s="64"/>
      <c r="AC309" s="64"/>
      <c r="AD309" s="64"/>
      <c r="AE309" s="64"/>
      <c r="AF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G310" s="64"/>
      <c r="H310" s="64"/>
      <c r="I310" s="64"/>
      <c r="J310" s="64"/>
      <c r="K310" s="64"/>
      <c r="N310" s="64"/>
      <c r="O310" s="64"/>
      <c r="P310" s="64"/>
      <c r="Q310" s="64"/>
      <c r="R310" s="64"/>
      <c r="U310" s="64"/>
      <c r="V310" s="64"/>
      <c r="W310" s="64"/>
      <c r="X310" s="64"/>
      <c r="Y310" s="64"/>
      <c r="AB310" s="64"/>
      <c r="AC310" s="64"/>
      <c r="AD310" s="64"/>
      <c r="AE310" s="64"/>
      <c r="AF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G311" s="64"/>
      <c r="H311" s="64"/>
      <c r="I311" s="64"/>
      <c r="J311" s="64"/>
      <c r="K311" s="64"/>
      <c r="N311" s="64"/>
      <c r="O311" s="64"/>
      <c r="P311" s="64"/>
      <c r="Q311" s="64"/>
      <c r="R311" s="64"/>
      <c r="U311" s="64"/>
      <c r="V311" s="64"/>
      <c r="W311" s="64"/>
      <c r="X311" s="64"/>
      <c r="Y311" s="64"/>
      <c r="AB311" s="64"/>
      <c r="AC311" s="64"/>
      <c r="AD311" s="64"/>
      <c r="AE311" s="64"/>
      <c r="AF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G312" s="64"/>
      <c r="H312" s="64"/>
      <c r="I312" s="64"/>
      <c r="J312" s="64"/>
      <c r="K312" s="64"/>
      <c r="N312" s="64"/>
      <c r="O312" s="64"/>
      <c r="P312" s="64"/>
      <c r="Q312" s="64"/>
      <c r="R312" s="64"/>
      <c r="U312" s="64"/>
      <c r="V312" s="64"/>
      <c r="W312" s="64"/>
      <c r="X312" s="64"/>
      <c r="Y312" s="64"/>
      <c r="AB312" s="64"/>
      <c r="AC312" s="64"/>
      <c r="AD312" s="64"/>
      <c r="AE312" s="64"/>
      <c r="AF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G313" s="64"/>
      <c r="H313" s="64"/>
      <c r="I313" s="64"/>
      <c r="J313" s="64"/>
      <c r="K313" s="64"/>
      <c r="N313" s="64"/>
      <c r="O313" s="64"/>
      <c r="P313" s="64"/>
      <c r="Q313" s="64"/>
      <c r="R313" s="64"/>
      <c r="U313" s="64"/>
      <c r="V313" s="64"/>
      <c r="W313" s="64"/>
      <c r="X313" s="64"/>
      <c r="Y313" s="64"/>
      <c r="AB313" s="64"/>
      <c r="AC313" s="64"/>
      <c r="AD313" s="64"/>
      <c r="AE313" s="64"/>
      <c r="AF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G314" s="64"/>
      <c r="H314" s="64"/>
      <c r="I314" s="64"/>
      <c r="J314" s="64"/>
      <c r="K314" s="64"/>
      <c r="N314" s="64"/>
      <c r="O314" s="64"/>
      <c r="P314" s="64"/>
      <c r="Q314" s="64"/>
      <c r="R314" s="64"/>
      <c r="U314" s="64"/>
      <c r="V314" s="64"/>
      <c r="W314" s="64"/>
      <c r="X314" s="64"/>
      <c r="Y314" s="64"/>
      <c r="AB314" s="64"/>
      <c r="AC314" s="64"/>
      <c r="AD314" s="64"/>
      <c r="AE314" s="64"/>
      <c r="AF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G315" s="64"/>
      <c r="H315" s="64"/>
      <c r="I315" s="64"/>
      <c r="J315" s="64"/>
      <c r="K315" s="64"/>
      <c r="N315" s="64"/>
      <c r="O315" s="64"/>
      <c r="P315" s="64"/>
      <c r="Q315" s="64"/>
      <c r="R315" s="64"/>
      <c r="U315" s="64"/>
      <c r="V315" s="64"/>
      <c r="W315" s="64"/>
      <c r="X315" s="64"/>
      <c r="Y315" s="64"/>
      <c r="AB315" s="64"/>
      <c r="AC315" s="64"/>
      <c r="AD315" s="64"/>
      <c r="AE315" s="64"/>
      <c r="AF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G316" s="64"/>
      <c r="H316" s="64"/>
      <c r="I316" s="64"/>
      <c r="J316" s="64"/>
      <c r="K316" s="64"/>
      <c r="N316" s="64"/>
      <c r="O316" s="64"/>
      <c r="P316" s="64"/>
      <c r="Q316" s="64"/>
      <c r="R316" s="64"/>
      <c r="U316" s="64"/>
      <c r="V316" s="64"/>
      <c r="W316" s="64"/>
      <c r="X316" s="64"/>
      <c r="Y316" s="64"/>
      <c r="AB316" s="64"/>
      <c r="AC316" s="64"/>
      <c r="AD316" s="64"/>
      <c r="AE316" s="64"/>
      <c r="AF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G317" s="64"/>
      <c r="H317" s="64"/>
      <c r="I317" s="64"/>
      <c r="J317" s="64"/>
      <c r="K317" s="64"/>
      <c r="N317" s="64"/>
      <c r="O317" s="64"/>
      <c r="P317" s="64"/>
      <c r="Q317" s="64"/>
      <c r="R317" s="64"/>
      <c r="U317" s="64"/>
      <c r="V317" s="64"/>
      <c r="W317" s="64"/>
      <c r="X317" s="64"/>
      <c r="Y317" s="64"/>
      <c r="AB317" s="64"/>
      <c r="AC317" s="64"/>
      <c r="AD317" s="64"/>
      <c r="AE317" s="64"/>
      <c r="AF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G318" s="64"/>
      <c r="H318" s="64"/>
      <c r="I318" s="64"/>
      <c r="J318" s="64"/>
      <c r="K318" s="64"/>
      <c r="N318" s="64"/>
      <c r="O318" s="64"/>
      <c r="P318" s="64"/>
      <c r="Q318" s="64"/>
      <c r="R318" s="64"/>
      <c r="U318" s="64"/>
      <c r="V318" s="64"/>
      <c r="W318" s="64"/>
      <c r="X318" s="64"/>
      <c r="Y318" s="64"/>
      <c r="AB318" s="64"/>
      <c r="AC318" s="64"/>
      <c r="AD318" s="64"/>
      <c r="AE318" s="64"/>
      <c r="AF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G319" s="64"/>
      <c r="H319" s="64"/>
      <c r="I319" s="64"/>
      <c r="J319" s="64"/>
      <c r="K319" s="64"/>
      <c r="N319" s="64"/>
      <c r="O319" s="64"/>
      <c r="P319" s="64"/>
      <c r="Q319" s="64"/>
      <c r="R319" s="64"/>
      <c r="U319" s="64"/>
      <c r="V319" s="64"/>
      <c r="W319" s="64"/>
      <c r="X319" s="64"/>
      <c r="Y319" s="64"/>
      <c r="AB319" s="64"/>
      <c r="AC319" s="64"/>
      <c r="AD319" s="64"/>
      <c r="AE319" s="64"/>
      <c r="AF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G320" s="64"/>
      <c r="H320" s="64"/>
      <c r="I320" s="64"/>
      <c r="J320" s="64"/>
      <c r="K320" s="64"/>
      <c r="N320" s="64"/>
      <c r="O320" s="64"/>
      <c r="P320" s="64"/>
      <c r="Q320" s="64"/>
      <c r="R320" s="64"/>
      <c r="U320" s="64"/>
      <c r="V320" s="64"/>
      <c r="W320" s="64"/>
      <c r="X320" s="64"/>
      <c r="Y320" s="64"/>
      <c r="AB320" s="64"/>
      <c r="AC320" s="64"/>
      <c r="AD320" s="64"/>
      <c r="AE320" s="64"/>
      <c r="AF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G321" s="64"/>
      <c r="H321" s="64"/>
      <c r="I321" s="64"/>
      <c r="J321" s="64"/>
      <c r="K321" s="64"/>
      <c r="N321" s="64"/>
      <c r="O321" s="64"/>
      <c r="P321" s="64"/>
      <c r="Q321" s="64"/>
      <c r="R321" s="64"/>
      <c r="U321" s="64"/>
      <c r="V321" s="64"/>
      <c r="W321" s="64"/>
      <c r="X321" s="64"/>
      <c r="Y321" s="64"/>
      <c r="AB321" s="64"/>
      <c r="AC321" s="64"/>
      <c r="AD321" s="64"/>
      <c r="AE321" s="64"/>
      <c r="AF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G322" s="64"/>
      <c r="H322" s="64"/>
      <c r="I322" s="64"/>
      <c r="J322" s="64"/>
      <c r="K322" s="64"/>
      <c r="N322" s="64"/>
      <c r="O322" s="64"/>
      <c r="P322" s="64"/>
      <c r="Q322" s="64"/>
      <c r="R322" s="64"/>
      <c r="U322" s="64"/>
      <c r="V322" s="64"/>
      <c r="W322" s="64"/>
      <c r="X322" s="64"/>
      <c r="Y322" s="64"/>
      <c r="AB322" s="64"/>
      <c r="AC322" s="64"/>
      <c r="AD322" s="64"/>
      <c r="AE322" s="64"/>
      <c r="AF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G323" s="64"/>
      <c r="H323" s="64"/>
      <c r="I323" s="64"/>
      <c r="J323" s="64"/>
      <c r="K323" s="64"/>
      <c r="N323" s="64"/>
      <c r="O323" s="64"/>
      <c r="P323" s="64"/>
      <c r="Q323" s="64"/>
      <c r="R323" s="64"/>
      <c r="U323" s="64"/>
      <c r="V323" s="64"/>
      <c r="W323" s="64"/>
      <c r="X323" s="64"/>
      <c r="Y323" s="64"/>
      <c r="AB323" s="64"/>
      <c r="AC323" s="64"/>
      <c r="AD323" s="64"/>
      <c r="AE323" s="64"/>
      <c r="AF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G324" s="64"/>
      <c r="H324" s="64"/>
      <c r="I324" s="64"/>
      <c r="J324" s="64"/>
      <c r="K324" s="64"/>
      <c r="N324" s="64"/>
      <c r="O324" s="64"/>
      <c r="P324" s="64"/>
      <c r="Q324" s="64"/>
      <c r="R324" s="64"/>
      <c r="U324" s="64"/>
      <c r="V324" s="64"/>
      <c r="W324" s="64"/>
      <c r="X324" s="64"/>
      <c r="Y324" s="64"/>
      <c r="AB324" s="64"/>
      <c r="AC324" s="64"/>
      <c r="AD324" s="64"/>
      <c r="AE324" s="64"/>
      <c r="AF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G325" s="64"/>
      <c r="H325" s="64"/>
      <c r="I325" s="64"/>
      <c r="J325" s="64"/>
      <c r="K325" s="64"/>
      <c r="N325" s="64"/>
      <c r="O325" s="64"/>
      <c r="P325" s="64"/>
      <c r="Q325" s="64"/>
      <c r="R325" s="64"/>
      <c r="U325" s="64"/>
      <c r="V325" s="64"/>
      <c r="W325" s="64"/>
      <c r="X325" s="64"/>
      <c r="Y325" s="64"/>
      <c r="AB325" s="64"/>
      <c r="AC325" s="64"/>
      <c r="AD325" s="64"/>
      <c r="AE325" s="64"/>
      <c r="AF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G326" s="64"/>
      <c r="H326" s="64"/>
      <c r="I326" s="64"/>
      <c r="J326" s="64"/>
      <c r="K326" s="64"/>
      <c r="N326" s="64"/>
      <c r="O326" s="64"/>
      <c r="P326" s="64"/>
      <c r="Q326" s="64"/>
      <c r="R326" s="64"/>
      <c r="U326" s="64"/>
      <c r="V326" s="64"/>
      <c r="W326" s="64"/>
      <c r="X326" s="64"/>
      <c r="Y326" s="64"/>
      <c r="AB326" s="64"/>
      <c r="AC326" s="64"/>
      <c r="AD326" s="64"/>
      <c r="AE326" s="64"/>
      <c r="AF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G327" s="64"/>
      <c r="H327" s="64"/>
      <c r="I327" s="64"/>
      <c r="J327" s="64"/>
      <c r="K327" s="64"/>
      <c r="N327" s="64"/>
      <c r="O327" s="64"/>
      <c r="P327" s="64"/>
      <c r="Q327" s="64"/>
      <c r="R327" s="64"/>
      <c r="U327" s="64"/>
      <c r="V327" s="64"/>
      <c r="W327" s="64"/>
      <c r="X327" s="64"/>
      <c r="Y327" s="64"/>
      <c r="AB327" s="64"/>
      <c r="AC327" s="64"/>
      <c r="AD327" s="64"/>
      <c r="AE327" s="64"/>
      <c r="AF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G328" s="64"/>
      <c r="H328" s="64"/>
      <c r="I328" s="64"/>
      <c r="J328" s="64"/>
      <c r="K328" s="64"/>
      <c r="N328" s="64"/>
      <c r="O328" s="64"/>
      <c r="P328" s="64"/>
      <c r="Q328" s="64"/>
      <c r="R328" s="64"/>
      <c r="U328" s="64"/>
      <c r="V328" s="64"/>
      <c r="W328" s="64"/>
      <c r="X328" s="64"/>
      <c r="Y328" s="64"/>
      <c r="AB328" s="64"/>
      <c r="AC328" s="64"/>
      <c r="AD328" s="64"/>
      <c r="AE328" s="64"/>
      <c r="AF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G329" s="64"/>
      <c r="H329" s="64"/>
      <c r="I329" s="64"/>
      <c r="J329" s="64"/>
      <c r="K329" s="64"/>
      <c r="N329" s="64"/>
      <c r="O329" s="64"/>
      <c r="P329" s="64"/>
      <c r="Q329" s="64"/>
      <c r="R329" s="64"/>
      <c r="U329" s="64"/>
      <c r="V329" s="64"/>
      <c r="W329" s="64"/>
      <c r="X329" s="64"/>
      <c r="Y329" s="64"/>
      <c r="AB329" s="64"/>
      <c r="AC329" s="64"/>
      <c r="AD329" s="64"/>
      <c r="AE329" s="64"/>
      <c r="AF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G330" s="64"/>
      <c r="H330" s="64"/>
      <c r="I330" s="64"/>
      <c r="J330" s="64"/>
      <c r="K330" s="64"/>
      <c r="N330" s="64"/>
      <c r="O330" s="64"/>
      <c r="P330" s="64"/>
      <c r="Q330" s="64"/>
      <c r="R330" s="64"/>
      <c r="U330" s="64"/>
      <c r="V330" s="64"/>
      <c r="W330" s="64"/>
      <c r="X330" s="64"/>
      <c r="Y330" s="64"/>
      <c r="AB330" s="64"/>
      <c r="AC330" s="64"/>
      <c r="AD330" s="64"/>
      <c r="AE330" s="64"/>
      <c r="AF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G331" s="64"/>
      <c r="H331" s="64"/>
      <c r="I331" s="64"/>
      <c r="J331" s="64"/>
      <c r="K331" s="64"/>
      <c r="N331" s="64"/>
      <c r="O331" s="64"/>
      <c r="P331" s="64"/>
      <c r="Q331" s="64"/>
      <c r="R331" s="64"/>
      <c r="U331" s="64"/>
      <c r="V331" s="64"/>
      <c r="W331" s="64"/>
      <c r="X331" s="64"/>
      <c r="Y331" s="64"/>
      <c r="AB331" s="64"/>
      <c r="AC331" s="64"/>
      <c r="AD331" s="64"/>
      <c r="AE331" s="64"/>
      <c r="AF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G332" s="64"/>
      <c r="H332" s="64"/>
      <c r="I332" s="64"/>
      <c r="J332" s="64"/>
      <c r="K332" s="64"/>
      <c r="N332" s="64"/>
      <c r="O332" s="64"/>
      <c r="P332" s="64"/>
      <c r="Q332" s="64"/>
      <c r="R332" s="64"/>
      <c r="U332" s="64"/>
      <c r="V332" s="64"/>
      <c r="W332" s="64"/>
      <c r="X332" s="64"/>
      <c r="Y332" s="64"/>
      <c r="AB332" s="64"/>
      <c r="AC332" s="64"/>
      <c r="AD332" s="64"/>
      <c r="AE332" s="64"/>
      <c r="AF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G333" s="64"/>
      <c r="H333" s="64"/>
      <c r="I333" s="64"/>
      <c r="J333" s="64"/>
      <c r="K333" s="64"/>
      <c r="N333" s="64"/>
      <c r="O333" s="64"/>
      <c r="P333" s="64"/>
      <c r="Q333" s="64"/>
      <c r="R333" s="64"/>
      <c r="U333" s="64"/>
      <c r="V333" s="64"/>
      <c r="W333" s="64"/>
      <c r="X333" s="64"/>
      <c r="Y333" s="64"/>
      <c r="AB333" s="64"/>
      <c r="AC333" s="64"/>
      <c r="AD333" s="64"/>
      <c r="AE333" s="64"/>
      <c r="AF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G334" s="64"/>
      <c r="H334" s="64"/>
      <c r="I334" s="64"/>
      <c r="J334" s="64"/>
      <c r="K334" s="64"/>
      <c r="N334" s="64"/>
      <c r="O334" s="64"/>
      <c r="P334" s="64"/>
      <c r="Q334" s="64"/>
      <c r="R334" s="64"/>
      <c r="U334" s="64"/>
      <c r="V334" s="64"/>
      <c r="W334" s="64"/>
      <c r="X334" s="64"/>
      <c r="Y334" s="64"/>
      <c r="AB334" s="64"/>
      <c r="AC334" s="64"/>
      <c r="AD334" s="64"/>
      <c r="AE334" s="64"/>
      <c r="AF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G335" s="64"/>
      <c r="H335" s="64"/>
      <c r="I335" s="64"/>
      <c r="J335" s="64"/>
      <c r="K335" s="64"/>
      <c r="N335" s="64"/>
      <c r="O335" s="64"/>
      <c r="P335" s="64"/>
      <c r="Q335" s="64"/>
      <c r="R335" s="64"/>
      <c r="U335" s="64"/>
      <c r="V335" s="64"/>
      <c r="W335" s="64"/>
      <c r="X335" s="64"/>
      <c r="Y335" s="64"/>
      <c r="AB335" s="64"/>
      <c r="AC335" s="64"/>
      <c r="AD335" s="64"/>
      <c r="AE335" s="64"/>
      <c r="AF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G336" s="64"/>
      <c r="H336" s="64"/>
      <c r="I336" s="64"/>
      <c r="J336" s="64"/>
      <c r="K336" s="64"/>
      <c r="N336" s="64"/>
      <c r="O336" s="64"/>
      <c r="P336" s="64"/>
      <c r="Q336" s="64"/>
      <c r="R336" s="64"/>
      <c r="U336" s="64"/>
      <c r="V336" s="64"/>
      <c r="W336" s="64"/>
      <c r="X336" s="64"/>
      <c r="Y336" s="64"/>
      <c r="AB336" s="64"/>
      <c r="AC336" s="64"/>
      <c r="AD336" s="64"/>
      <c r="AE336" s="64"/>
      <c r="AF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G337" s="64"/>
      <c r="H337" s="64"/>
      <c r="I337" s="64"/>
      <c r="J337" s="64"/>
      <c r="K337" s="64"/>
      <c r="N337" s="64"/>
      <c r="O337" s="64"/>
      <c r="P337" s="64"/>
      <c r="Q337" s="64"/>
      <c r="R337" s="64"/>
      <c r="U337" s="64"/>
      <c r="V337" s="64"/>
      <c r="W337" s="64"/>
      <c r="X337" s="64"/>
      <c r="Y337" s="64"/>
      <c r="AB337" s="64"/>
      <c r="AC337" s="64"/>
      <c r="AD337" s="64"/>
      <c r="AE337" s="64"/>
      <c r="AF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G338" s="64"/>
      <c r="H338" s="64"/>
      <c r="I338" s="64"/>
      <c r="J338" s="64"/>
      <c r="K338" s="64"/>
      <c r="N338" s="64"/>
      <c r="O338" s="64"/>
      <c r="P338" s="64"/>
      <c r="Q338" s="64"/>
      <c r="R338" s="64"/>
      <c r="U338" s="64"/>
      <c r="V338" s="64"/>
      <c r="W338" s="64"/>
      <c r="X338" s="64"/>
      <c r="Y338" s="64"/>
      <c r="AB338" s="64"/>
      <c r="AC338" s="64"/>
      <c r="AD338" s="64"/>
      <c r="AE338" s="64"/>
      <c r="AF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G339" s="64"/>
      <c r="H339" s="64"/>
      <c r="I339" s="64"/>
      <c r="J339" s="64"/>
      <c r="K339" s="64"/>
      <c r="N339" s="64"/>
      <c r="O339" s="64"/>
      <c r="P339" s="64"/>
      <c r="Q339" s="64"/>
      <c r="R339" s="64"/>
      <c r="U339" s="64"/>
      <c r="V339" s="64"/>
      <c r="W339" s="64"/>
      <c r="X339" s="64"/>
      <c r="Y339" s="64"/>
      <c r="AB339" s="64"/>
      <c r="AC339" s="64"/>
      <c r="AD339" s="64"/>
      <c r="AE339" s="64"/>
      <c r="AF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78" priority="8" operator="lessThan">
      <formula>0</formula>
    </cfRule>
  </conditionalFormatting>
  <conditionalFormatting sqref="M80 P80 R80:AJ80 F131:H131 J131">
    <cfRule type="cellIs" dxfId="77" priority="11" operator="lessThan">
      <formula>0</formula>
    </cfRule>
  </conditionalFormatting>
  <conditionalFormatting sqref="M120:X123">
    <cfRule type="cellIs" dxfId="76" priority="9" operator="lessThan">
      <formula>0</formula>
    </cfRule>
  </conditionalFormatting>
  <conditionalFormatting sqref="M128:X132">
    <cfRule type="cellIs" dxfId="75" priority="6" operator="lessThan">
      <formula>0</formula>
    </cfRule>
  </conditionalFormatting>
  <conditionalFormatting sqref="M77:AJ79 F77:L87 M81:AJ87 F88:AK117 M118:AJ119 F118:J130 K118:L132 AK118:AK135 F132:J135 K134:AJ135">
    <cfRule type="cellIs" dxfId="74" priority="7" operator="lessThan">
      <formula>0</formula>
    </cfRule>
  </conditionalFormatting>
  <conditionalFormatting sqref="M124:AJ124 M125:X126 M127:Q127 S127:X127">
    <cfRule type="cellIs" dxfId="73" priority="10" operator="lessThan">
      <formula>0</formula>
    </cfRule>
  </conditionalFormatting>
  <conditionalFormatting sqref="Z120:AJ123">
    <cfRule type="cellIs" dxfId="72" priority="5" operator="lessThan">
      <formula>0</formula>
    </cfRule>
  </conditionalFormatting>
  <conditionalFormatting sqref="Z125:AJ133">
    <cfRule type="cellIs" dxfId="71" priority="4" operator="lessThan">
      <formula>0</formula>
    </cfRule>
  </conditionalFormatting>
  <conditionalFormatting sqref="AK29:AK30">
    <cfRule type="cellIs" dxfId="70" priority="3" operator="lessThan">
      <formula>0</formula>
    </cfRule>
  </conditionalFormatting>
  <conditionalFormatting sqref="F29:AJ30">
    <cfRule type="cellIs" dxfId="6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AB91-099D-4DEE-9CBB-76A934041EC4}">
  <dimension ref="A1:AS339"/>
  <sheetViews>
    <sheetView zoomScale="80" zoomScaleNormal="80" workbookViewId="0">
      <pane xSplit="1" ySplit="2" topLeftCell="B12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8" bestFit="1" customWidth="1"/>
    <col min="9" max="9" width="5.5703125" style="68" bestFit="1" customWidth="1"/>
    <col min="10" max="10" width="5.5703125" style="65" bestFit="1" customWidth="1"/>
    <col min="11" max="11" width="5.5703125" style="64" bestFit="1" customWidth="1"/>
    <col min="12" max="12" width="5.5703125" style="64" customWidth="1"/>
    <col min="13" max="14" width="5.5703125" style="64" bestFit="1" customWidth="1"/>
    <col min="15" max="16" width="5.5703125" style="68" bestFit="1" customWidth="1"/>
    <col min="17" max="17" width="6.140625" style="64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4" bestFit="1" customWidth="1"/>
    <col min="22" max="22" width="5.5703125" style="68" bestFit="1" customWidth="1"/>
    <col min="23" max="23" width="4.5703125" style="68" bestFit="1" customWidth="1"/>
    <col min="24" max="26" width="5.5703125" style="64" bestFit="1" customWidth="1"/>
    <col min="27" max="27" width="6.7109375" style="64" bestFit="1" customWidth="1"/>
    <col min="28" max="28" width="5.140625" style="64" bestFit="1" customWidth="1"/>
    <col min="29" max="29" width="5" style="68" bestFit="1" customWidth="1"/>
    <col min="30" max="30" width="6.7109375" style="68" bestFit="1" customWidth="1"/>
    <col min="31" max="31" width="5.5703125" style="64" bestFit="1" customWidth="1"/>
    <col min="32" max="33" width="4.5703125" style="64" bestFit="1" customWidth="1"/>
    <col min="34" max="34" width="5.7109375" style="64" bestFit="1" customWidth="1"/>
    <col min="35" max="35" width="6.28515625" style="64" customWidth="1"/>
    <col min="36" max="36" width="5.140625" style="68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334</v>
      </c>
      <c r="G1" s="116" t="s">
        <v>335</v>
      </c>
      <c r="H1" s="120" t="s">
        <v>336</v>
      </c>
      <c r="I1" s="120" t="s">
        <v>337</v>
      </c>
      <c r="J1" s="79" t="s">
        <v>338</v>
      </c>
      <c r="K1" s="116" t="s">
        <v>339</v>
      </c>
      <c r="L1" s="116" t="s">
        <v>333</v>
      </c>
      <c r="M1" s="116" t="s">
        <v>334</v>
      </c>
      <c r="N1" s="116" t="s">
        <v>335</v>
      </c>
      <c r="O1" s="120" t="s">
        <v>336</v>
      </c>
      <c r="P1" s="120" t="s">
        <v>337</v>
      </c>
      <c r="Q1" s="116" t="s">
        <v>338</v>
      </c>
      <c r="R1" s="116" t="s">
        <v>339</v>
      </c>
      <c r="S1" s="116" t="s">
        <v>333</v>
      </c>
      <c r="T1" s="116" t="s">
        <v>334</v>
      </c>
      <c r="U1" s="116" t="s">
        <v>335</v>
      </c>
      <c r="V1" s="120" t="s">
        <v>336</v>
      </c>
      <c r="W1" s="120" t="s">
        <v>337</v>
      </c>
      <c r="X1" s="116" t="s">
        <v>338</v>
      </c>
      <c r="Y1" s="116" t="s">
        <v>339</v>
      </c>
      <c r="Z1" s="116" t="s">
        <v>333</v>
      </c>
      <c r="AA1" s="116" t="s">
        <v>334</v>
      </c>
      <c r="AB1" s="116" t="s">
        <v>335</v>
      </c>
      <c r="AC1" s="120" t="s">
        <v>336</v>
      </c>
      <c r="AD1" s="120" t="s">
        <v>337</v>
      </c>
      <c r="AE1" s="116" t="s">
        <v>338</v>
      </c>
      <c r="AF1" s="116" t="s">
        <v>339</v>
      </c>
      <c r="AG1" s="116" t="s">
        <v>333</v>
      </c>
      <c r="AH1" s="116" t="s">
        <v>334</v>
      </c>
      <c r="AI1" s="116" t="s">
        <v>335</v>
      </c>
      <c r="AJ1" s="120" t="s">
        <v>336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46569</v>
      </c>
      <c r="G2" s="112">
        <v>46570</v>
      </c>
      <c r="H2" s="129">
        <v>46571</v>
      </c>
      <c r="I2" s="129">
        <v>46572</v>
      </c>
      <c r="J2" s="113">
        <v>46573</v>
      </c>
      <c r="K2" s="112">
        <v>46574</v>
      </c>
      <c r="L2" s="112">
        <v>46575</v>
      </c>
      <c r="M2" s="112">
        <v>46576</v>
      </c>
      <c r="N2" s="112">
        <v>46577</v>
      </c>
      <c r="O2" s="129">
        <v>46578</v>
      </c>
      <c r="P2" s="129">
        <v>46579</v>
      </c>
      <c r="Q2" s="112">
        <v>46580</v>
      </c>
      <c r="R2" s="112">
        <v>46581</v>
      </c>
      <c r="S2" s="112">
        <v>46582</v>
      </c>
      <c r="T2" s="112">
        <v>46583</v>
      </c>
      <c r="U2" s="112">
        <v>46584</v>
      </c>
      <c r="V2" s="129">
        <v>46585</v>
      </c>
      <c r="W2" s="129">
        <v>46586</v>
      </c>
      <c r="X2" s="112">
        <v>46587</v>
      </c>
      <c r="Y2" s="112">
        <v>46588</v>
      </c>
      <c r="Z2" s="112">
        <v>46589</v>
      </c>
      <c r="AA2" s="112">
        <v>46590</v>
      </c>
      <c r="AB2" s="112">
        <v>46591</v>
      </c>
      <c r="AC2" s="129">
        <v>46592</v>
      </c>
      <c r="AD2" s="129">
        <v>46593</v>
      </c>
      <c r="AE2" s="112">
        <v>46594</v>
      </c>
      <c r="AF2" s="112">
        <v>46595</v>
      </c>
      <c r="AG2" s="112">
        <v>46596</v>
      </c>
      <c r="AH2" s="112">
        <v>46597</v>
      </c>
      <c r="AI2" s="112">
        <v>46598</v>
      </c>
      <c r="AJ2" s="129">
        <v>46599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120"/>
      <c r="I4" s="120"/>
      <c r="J4" s="79"/>
      <c r="K4" s="70"/>
      <c r="L4" s="70"/>
      <c r="M4" s="70"/>
      <c r="N4" s="70"/>
      <c r="O4" s="120"/>
      <c r="P4" s="120"/>
      <c r="Q4" s="70"/>
      <c r="R4" s="70"/>
      <c r="S4" s="70"/>
      <c r="T4" s="70"/>
      <c r="U4" s="70"/>
      <c r="V4" s="120"/>
      <c r="W4" s="120"/>
      <c r="X4" s="70"/>
      <c r="Y4" s="70"/>
      <c r="Z4" s="70"/>
      <c r="AA4" s="70"/>
      <c r="AB4" s="70"/>
      <c r="AC4" s="120"/>
      <c r="AD4" s="120"/>
      <c r="AE4" s="70"/>
      <c r="AF4" s="70"/>
      <c r="AG4" s="70"/>
      <c r="AH4" s="70"/>
      <c r="AI4" s="70"/>
      <c r="AJ4" s="12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120"/>
      <c r="I5" s="120"/>
      <c r="J5" s="79"/>
      <c r="K5" s="70"/>
      <c r="L5" s="70"/>
      <c r="M5" s="70"/>
      <c r="N5" s="70"/>
      <c r="O5" s="120"/>
      <c r="P5" s="120"/>
      <c r="Q5" s="70"/>
      <c r="R5" s="70"/>
      <c r="S5" s="70"/>
      <c r="T5" s="70"/>
      <c r="U5" s="70"/>
      <c r="V5" s="120"/>
      <c r="W5" s="120"/>
      <c r="X5" s="70"/>
      <c r="Y5" s="70"/>
      <c r="Z5" s="70"/>
      <c r="AA5" s="70"/>
      <c r="AB5" s="70"/>
      <c r="AC5" s="120"/>
      <c r="AD5" s="120"/>
      <c r="AE5" s="70"/>
      <c r="AF5" s="70"/>
      <c r="AG5" s="70"/>
      <c r="AH5" s="70"/>
      <c r="AI5" s="70"/>
      <c r="AJ5" s="12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120"/>
      <c r="I6" s="120"/>
      <c r="J6" s="79"/>
      <c r="K6" s="70"/>
      <c r="L6" s="70"/>
      <c r="M6" s="70"/>
      <c r="N6" s="70"/>
      <c r="O6" s="120"/>
      <c r="P6" s="120"/>
      <c r="Q6" s="70"/>
      <c r="R6" s="70"/>
      <c r="S6" s="70"/>
      <c r="T6" s="70"/>
      <c r="U6" s="70"/>
      <c r="V6" s="120"/>
      <c r="W6" s="120"/>
      <c r="X6" s="70"/>
      <c r="Y6" s="70"/>
      <c r="Z6" s="70"/>
      <c r="AA6" s="70"/>
      <c r="AB6" s="70"/>
      <c r="AC6" s="120"/>
      <c r="AD6" s="120"/>
      <c r="AE6" s="70"/>
      <c r="AF6" s="70"/>
      <c r="AG6" s="70"/>
      <c r="AH6" s="70"/>
      <c r="AI6" s="70"/>
      <c r="AJ6" s="12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120"/>
      <c r="I7" s="120"/>
      <c r="J7" s="79"/>
      <c r="K7" s="70"/>
      <c r="L7" s="70"/>
      <c r="M7" s="70"/>
      <c r="N7" s="70"/>
      <c r="O7" s="120"/>
      <c r="P7" s="120"/>
      <c r="Q7" s="70"/>
      <c r="R7" s="70"/>
      <c r="S7" s="70"/>
      <c r="T7" s="70"/>
      <c r="U7" s="70"/>
      <c r="V7" s="120"/>
      <c r="W7" s="120"/>
      <c r="X7" s="70"/>
      <c r="Y7" s="70"/>
      <c r="Z7" s="70"/>
      <c r="AA7" s="70"/>
      <c r="AB7" s="70"/>
      <c r="AC7" s="120"/>
      <c r="AD7" s="120"/>
      <c r="AE7" s="70"/>
      <c r="AF7" s="70"/>
      <c r="AG7" s="70"/>
      <c r="AH7" s="70"/>
      <c r="AI7" s="70"/>
      <c r="AJ7" s="12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28"/>
      <c r="J8" s="109"/>
      <c r="K8" s="108"/>
      <c r="L8" s="108"/>
      <c r="M8" s="108"/>
      <c r="N8" s="108"/>
      <c r="O8" s="128"/>
      <c r="P8" s="128"/>
      <c r="Q8" s="108"/>
      <c r="R8" s="108"/>
      <c r="S8" s="108"/>
      <c r="T8" s="108"/>
      <c r="U8" s="70"/>
      <c r="V8" s="128"/>
      <c r="W8" s="120"/>
      <c r="X8" s="70"/>
      <c r="Y8" s="108"/>
      <c r="Z8" s="108"/>
      <c r="AA8" s="108"/>
      <c r="AB8" s="108"/>
      <c r="AC8" s="128"/>
      <c r="AD8" s="120"/>
      <c r="AE8" s="70"/>
      <c r="AF8" s="70"/>
      <c r="AG8" s="70"/>
      <c r="AH8" s="70"/>
      <c r="AI8" s="70"/>
      <c r="AJ8" s="12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120"/>
      <c r="I9" s="120"/>
      <c r="J9" s="79"/>
      <c r="K9" s="70"/>
      <c r="L9" s="70"/>
      <c r="M9" s="70"/>
      <c r="N9" s="70"/>
      <c r="O9" s="120"/>
      <c r="P9" s="120"/>
      <c r="Q9" s="70"/>
      <c r="R9" s="70"/>
      <c r="S9" s="70"/>
      <c r="T9" s="70"/>
      <c r="U9" s="70"/>
      <c r="V9" s="120"/>
      <c r="W9" s="120"/>
      <c r="X9" s="70"/>
      <c r="Y9" s="70"/>
      <c r="Z9" s="70"/>
      <c r="AA9" s="70"/>
      <c r="AB9" s="70"/>
      <c r="AC9" s="120"/>
      <c r="AD9" s="120"/>
      <c r="AE9" s="70"/>
      <c r="AF9" s="70"/>
      <c r="AG9" s="70"/>
      <c r="AH9" s="70"/>
      <c r="AI9" s="70"/>
      <c r="AJ9" s="12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120"/>
      <c r="I10" s="120"/>
      <c r="J10" s="79"/>
      <c r="K10" s="70"/>
      <c r="L10" s="70"/>
      <c r="M10" s="70"/>
      <c r="N10" s="70"/>
      <c r="O10" s="120"/>
      <c r="P10" s="120"/>
      <c r="Q10" s="70"/>
      <c r="R10" s="70"/>
      <c r="S10" s="70"/>
      <c r="T10" s="70"/>
      <c r="U10" s="70"/>
      <c r="V10" s="120"/>
      <c r="W10" s="120"/>
      <c r="X10" s="70"/>
      <c r="Y10" s="70"/>
      <c r="Z10" s="70"/>
      <c r="AA10" s="70"/>
      <c r="AB10" s="70"/>
      <c r="AC10" s="120"/>
      <c r="AD10" s="120"/>
      <c r="AE10" s="70"/>
      <c r="AF10" s="70"/>
      <c r="AG10" s="70"/>
      <c r="AH10" s="70"/>
      <c r="AI10" s="70"/>
      <c r="AJ10" s="12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120"/>
      <c r="I11" s="120"/>
      <c r="J11" s="79"/>
      <c r="K11" s="70"/>
      <c r="L11" s="70"/>
      <c r="M11" s="70"/>
      <c r="N11" s="70"/>
      <c r="O11" s="120"/>
      <c r="P11" s="120"/>
      <c r="Q11" s="70"/>
      <c r="R11" s="70"/>
      <c r="S11" s="70"/>
      <c r="T11" s="70"/>
      <c r="U11" s="70"/>
      <c r="V11" s="120"/>
      <c r="W11" s="120"/>
      <c r="X11" s="70"/>
      <c r="Y11" s="70"/>
      <c r="Z11" s="70"/>
      <c r="AA11" s="70"/>
      <c r="AB11" s="70"/>
      <c r="AC11" s="120"/>
      <c r="AD11" s="120"/>
      <c r="AE11" s="70"/>
      <c r="AF11" s="70"/>
      <c r="AG11" s="70"/>
      <c r="AH11" s="70"/>
      <c r="AI11" s="70"/>
      <c r="AJ11" s="12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120"/>
      <c r="I12" s="120"/>
      <c r="J12" s="79"/>
      <c r="K12" s="70"/>
      <c r="L12" s="70"/>
      <c r="M12" s="70"/>
      <c r="N12" s="70"/>
      <c r="O12" s="120"/>
      <c r="P12" s="120"/>
      <c r="Q12" s="70"/>
      <c r="R12" s="70"/>
      <c r="S12" s="70"/>
      <c r="T12" s="70"/>
      <c r="U12" s="70"/>
      <c r="V12" s="120"/>
      <c r="W12" s="120"/>
      <c r="X12" s="70"/>
      <c r="Y12" s="70"/>
      <c r="Z12" s="70"/>
      <c r="AA12" s="70"/>
      <c r="AB12" s="70"/>
      <c r="AC12" s="120"/>
      <c r="AD12" s="120"/>
      <c r="AE12" s="70"/>
      <c r="AF12" s="70"/>
      <c r="AG12" s="70"/>
      <c r="AH12" s="70"/>
      <c r="AI12" s="70"/>
      <c r="AJ12" s="12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120"/>
      <c r="I13" s="120"/>
      <c r="J13" s="79"/>
      <c r="K13" s="70"/>
      <c r="L13" s="70"/>
      <c r="M13" s="70"/>
      <c r="N13" s="70"/>
      <c r="O13" s="120"/>
      <c r="P13" s="120"/>
      <c r="Q13" s="70"/>
      <c r="R13" s="70"/>
      <c r="S13" s="70"/>
      <c r="T13" s="70"/>
      <c r="U13" s="70"/>
      <c r="V13" s="120"/>
      <c r="W13" s="120"/>
      <c r="X13" s="70"/>
      <c r="Y13" s="70"/>
      <c r="Z13" s="70"/>
      <c r="AA13" s="70"/>
      <c r="AB13" s="70"/>
      <c r="AC13" s="120"/>
      <c r="AD13" s="120"/>
      <c r="AE13" s="70"/>
      <c r="AF13" s="70"/>
      <c r="AG13" s="70"/>
      <c r="AH13" s="70"/>
      <c r="AI13" s="70"/>
      <c r="AJ13" s="12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120"/>
      <c r="I14" s="120"/>
      <c r="J14" s="79"/>
      <c r="K14" s="70"/>
      <c r="L14" s="70"/>
      <c r="M14" s="70"/>
      <c r="N14" s="70"/>
      <c r="O14" s="120"/>
      <c r="P14" s="120"/>
      <c r="Q14" s="70"/>
      <c r="R14" s="70"/>
      <c r="S14" s="70"/>
      <c r="T14" s="70"/>
      <c r="U14" s="70"/>
      <c r="V14" s="120"/>
      <c r="W14" s="120"/>
      <c r="X14" s="70"/>
      <c r="Y14" s="70"/>
      <c r="Z14" s="70"/>
      <c r="AA14" s="70"/>
      <c r="AB14" s="70"/>
      <c r="AC14" s="120"/>
      <c r="AD14" s="120"/>
      <c r="AE14" s="70"/>
      <c r="AF14" s="70"/>
      <c r="AG14" s="70"/>
      <c r="AH14" s="70"/>
      <c r="AI14" s="70"/>
      <c r="AJ14" s="12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120"/>
      <c r="I15" s="120"/>
      <c r="J15" s="79"/>
      <c r="K15" s="70"/>
      <c r="L15" s="70"/>
      <c r="M15" s="70"/>
      <c r="N15" s="70"/>
      <c r="O15" s="120"/>
      <c r="P15" s="120"/>
      <c r="Q15" s="70"/>
      <c r="R15" s="70"/>
      <c r="S15" s="70"/>
      <c r="T15" s="70"/>
      <c r="U15" s="70"/>
      <c r="V15" s="120"/>
      <c r="W15" s="120"/>
      <c r="X15" s="70"/>
      <c r="Y15" s="70"/>
      <c r="Z15" s="70"/>
      <c r="AA15" s="70"/>
      <c r="AB15" s="70"/>
      <c r="AC15" s="120"/>
      <c r="AD15" s="120"/>
      <c r="AE15" s="70"/>
      <c r="AF15" s="70"/>
      <c r="AG15" s="70"/>
      <c r="AH15" s="70"/>
      <c r="AI15" s="70"/>
      <c r="AJ15" s="12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120"/>
      <c r="I16" s="120"/>
      <c r="J16" s="79"/>
      <c r="K16" s="70"/>
      <c r="L16" s="70"/>
      <c r="M16" s="70"/>
      <c r="N16" s="70"/>
      <c r="O16" s="120"/>
      <c r="P16" s="120"/>
      <c r="Q16" s="70"/>
      <c r="R16" s="70"/>
      <c r="S16" s="70"/>
      <c r="T16" s="70"/>
      <c r="U16" s="70"/>
      <c r="V16" s="120"/>
      <c r="W16" s="120"/>
      <c r="X16" s="70"/>
      <c r="Y16" s="70"/>
      <c r="Z16" s="70"/>
      <c r="AA16" s="70"/>
      <c r="AB16" s="70"/>
      <c r="AC16" s="120"/>
      <c r="AD16" s="120"/>
      <c r="AE16" s="70"/>
      <c r="AF16" s="70"/>
      <c r="AG16" s="70"/>
      <c r="AH16" s="70"/>
      <c r="AI16" s="70"/>
      <c r="AJ16" s="12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120"/>
      <c r="I17" s="120"/>
      <c r="J17" s="79"/>
      <c r="K17" s="70"/>
      <c r="L17" s="70"/>
      <c r="M17" s="70"/>
      <c r="N17" s="70"/>
      <c r="O17" s="120"/>
      <c r="P17" s="120"/>
      <c r="Q17" s="70"/>
      <c r="R17" s="70"/>
      <c r="S17" s="70"/>
      <c r="T17" s="70"/>
      <c r="U17" s="70"/>
      <c r="V17" s="120"/>
      <c r="W17" s="120"/>
      <c r="X17" s="70"/>
      <c r="Y17" s="70"/>
      <c r="Z17" s="70"/>
      <c r="AA17" s="70"/>
      <c r="AB17" s="70"/>
      <c r="AC17" s="120"/>
      <c r="AD17" s="120"/>
      <c r="AE17" s="70"/>
      <c r="AF17" s="70"/>
      <c r="AG17" s="70"/>
      <c r="AH17" s="70"/>
      <c r="AI17" s="70"/>
      <c r="AJ17" s="12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120"/>
      <c r="I18" s="120"/>
      <c r="J18" s="79"/>
      <c r="K18" s="70"/>
      <c r="L18" s="70"/>
      <c r="M18" s="70"/>
      <c r="N18" s="70"/>
      <c r="O18" s="120"/>
      <c r="P18" s="120"/>
      <c r="Q18" s="70"/>
      <c r="R18" s="70"/>
      <c r="S18" s="70"/>
      <c r="T18" s="70"/>
      <c r="U18" s="70"/>
      <c r="V18" s="120"/>
      <c r="W18" s="120"/>
      <c r="X18" s="70"/>
      <c r="Y18" s="70"/>
      <c r="Z18" s="70"/>
      <c r="AA18" s="70"/>
      <c r="AB18" s="70"/>
      <c r="AC18" s="120"/>
      <c r="AD18" s="120"/>
      <c r="AE18" s="70"/>
      <c r="AF18" s="70"/>
      <c r="AG18" s="70"/>
      <c r="AH18" s="70"/>
      <c r="AI18" s="70"/>
      <c r="AJ18" s="12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120"/>
      <c r="I19" s="120"/>
      <c r="J19" s="79"/>
      <c r="K19" s="70"/>
      <c r="L19" s="70"/>
      <c r="M19" s="70"/>
      <c r="N19" s="70"/>
      <c r="O19" s="120"/>
      <c r="P19" s="120"/>
      <c r="Q19" s="70"/>
      <c r="R19" s="70"/>
      <c r="S19" s="70"/>
      <c r="T19" s="70"/>
      <c r="U19" s="70"/>
      <c r="V19" s="120"/>
      <c r="W19" s="120"/>
      <c r="X19" s="70"/>
      <c r="Y19" s="70"/>
      <c r="Z19" s="70"/>
      <c r="AA19" s="70"/>
      <c r="AB19" s="70"/>
      <c r="AC19" s="120"/>
      <c r="AD19" s="120"/>
      <c r="AE19" s="70"/>
      <c r="AF19" s="70"/>
      <c r="AG19" s="70"/>
      <c r="AH19" s="70"/>
      <c r="AI19" s="70"/>
      <c r="AJ19" s="12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120"/>
      <c r="I20" s="120"/>
      <c r="J20" s="79"/>
      <c r="K20" s="70"/>
      <c r="L20" s="70"/>
      <c r="M20" s="70"/>
      <c r="N20" s="70"/>
      <c r="O20" s="120"/>
      <c r="P20" s="120"/>
      <c r="Q20" s="70"/>
      <c r="R20" s="70"/>
      <c r="S20" s="70"/>
      <c r="T20" s="70"/>
      <c r="U20" s="70"/>
      <c r="V20" s="120"/>
      <c r="W20" s="120"/>
      <c r="X20" s="70"/>
      <c r="Y20" s="70"/>
      <c r="Z20" s="70"/>
      <c r="AA20" s="70"/>
      <c r="AB20" s="70"/>
      <c r="AC20" s="120"/>
      <c r="AD20" s="120"/>
      <c r="AE20" s="70"/>
      <c r="AF20" s="70"/>
      <c r="AG20" s="70"/>
      <c r="AH20" s="70"/>
      <c r="AI20" s="70"/>
      <c r="AJ20" s="12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120"/>
      <c r="I21" s="120"/>
      <c r="J21" s="79"/>
      <c r="K21" s="70"/>
      <c r="L21" s="70"/>
      <c r="M21" s="70"/>
      <c r="N21" s="70"/>
      <c r="O21" s="120"/>
      <c r="P21" s="120"/>
      <c r="Q21" s="70"/>
      <c r="R21" s="70"/>
      <c r="S21" s="70"/>
      <c r="T21" s="70"/>
      <c r="U21" s="70"/>
      <c r="V21" s="120"/>
      <c r="W21" s="120"/>
      <c r="X21" s="70"/>
      <c r="Y21" s="70"/>
      <c r="Z21" s="70"/>
      <c r="AA21" s="70"/>
      <c r="AB21" s="70"/>
      <c r="AC21" s="120"/>
      <c r="AD21" s="120"/>
      <c r="AE21" s="70"/>
      <c r="AF21" s="70"/>
      <c r="AG21" s="70"/>
      <c r="AH21" s="70"/>
      <c r="AI21" s="70"/>
      <c r="AJ21" s="12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120"/>
      <c r="I22" s="120"/>
      <c r="J22" s="79"/>
      <c r="K22" s="70"/>
      <c r="L22" s="70"/>
      <c r="M22" s="70"/>
      <c r="N22" s="70"/>
      <c r="O22" s="120"/>
      <c r="P22" s="120"/>
      <c r="Q22" s="70"/>
      <c r="R22" s="70"/>
      <c r="S22" s="70"/>
      <c r="T22" s="70"/>
      <c r="U22" s="70"/>
      <c r="V22" s="120"/>
      <c r="W22" s="120"/>
      <c r="X22" s="70"/>
      <c r="Y22" s="70"/>
      <c r="Z22" s="70"/>
      <c r="AA22" s="70"/>
      <c r="AB22" s="70"/>
      <c r="AC22" s="120"/>
      <c r="AD22" s="120"/>
      <c r="AE22" s="70"/>
      <c r="AF22" s="70"/>
      <c r="AG22" s="70"/>
      <c r="AH22" s="70"/>
      <c r="AI22" s="70"/>
      <c r="AJ22" s="12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120"/>
      <c r="I23" s="120"/>
      <c r="J23" s="79"/>
      <c r="K23" s="70"/>
      <c r="L23" s="70"/>
      <c r="M23" s="70"/>
      <c r="N23" s="70"/>
      <c r="O23" s="120"/>
      <c r="P23" s="120"/>
      <c r="Q23" s="70"/>
      <c r="R23" s="70"/>
      <c r="S23" s="70"/>
      <c r="T23" s="70"/>
      <c r="U23" s="70"/>
      <c r="V23" s="120"/>
      <c r="W23" s="120"/>
      <c r="X23" s="70"/>
      <c r="Y23" s="70"/>
      <c r="Z23" s="70"/>
      <c r="AA23" s="70"/>
      <c r="AB23" s="70"/>
      <c r="AC23" s="120"/>
      <c r="AD23" s="120"/>
      <c r="AE23" s="70"/>
      <c r="AF23" s="70"/>
      <c r="AG23" s="70"/>
      <c r="AH23" s="70"/>
      <c r="AI23" s="70"/>
      <c r="AJ23" s="12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120"/>
      <c r="I24" s="120"/>
      <c r="J24" s="79"/>
      <c r="K24" s="70"/>
      <c r="L24" s="70"/>
      <c r="M24" s="70"/>
      <c r="N24" s="70"/>
      <c r="O24" s="120"/>
      <c r="P24" s="120"/>
      <c r="Q24" s="70"/>
      <c r="R24" s="70"/>
      <c r="S24" s="70"/>
      <c r="T24" s="70"/>
      <c r="U24" s="70"/>
      <c r="V24" s="120"/>
      <c r="W24" s="120"/>
      <c r="X24" s="70"/>
      <c r="Y24" s="70"/>
      <c r="Z24" s="70"/>
      <c r="AA24" s="70"/>
      <c r="AB24" s="70"/>
      <c r="AC24" s="120"/>
      <c r="AD24" s="120"/>
      <c r="AE24" s="70"/>
      <c r="AF24" s="70"/>
      <c r="AG24" s="70"/>
      <c r="AH24" s="70"/>
      <c r="AI24" s="70"/>
      <c r="AJ24" s="12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120"/>
      <c r="I25" s="120"/>
      <c r="J25" s="79"/>
      <c r="K25" s="70"/>
      <c r="L25" s="70"/>
      <c r="M25" s="70"/>
      <c r="N25" s="70"/>
      <c r="O25" s="120"/>
      <c r="P25" s="120"/>
      <c r="Q25" s="70"/>
      <c r="R25" s="70"/>
      <c r="S25" s="70"/>
      <c r="T25" s="70"/>
      <c r="U25" s="70"/>
      <c r="V25" s="120"/>
      <c r="W25" s="120"/>
      <c r="X25" s="70"/>
      <c r="Y25" s="70"/>
      <c r="Z25" s="70"/>
      <c r="AA25" s="70"/>
      <c r="AB25" s="70"/>
      <c r="AC25" s="120"/>
      <c r="AD25" s="120"/>
      <c r="AE25" s="70"/>
      <c r="AF25" s="70"/>
      <c r="AG25" s="70"/>
      <c r="AH25" s="70"/>
      <c r="AI25" s="70"/>
      <c r="AJ25" s="12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120"/>
      <c r="I26" s="120"/>
      <c r="J26" s="79"/>
      <c r="K26" s="70"/>
      <c r="L26" s="70"/>
      <c r="M26" s="70"/>
      <c r="N26" s="70"/>
      <c r="O26" s="120"/>
      <c r="P26" s="120"/>
      <c r="Q26" s="70"/>
      <c r="R26" s="70"/>
      <c r="S26" s="70"/>
      <c r="T26" s="70"/>
      <c r="U26" s="70"/>
      <c r="V26" s="120"/>
      <c r="W26" s="120"/>
      <c r="X26" s="70"/>
      <c r="Y26" s="70"/>
      <c r="Z26" s="70"/>
      <c r="AA26" s="70"/>
      <c r="AB26" s="70"/>
      <c r="AC26" s="120"/>
      <c r="AD26" s="120"/>
      <c r="AE26" s="70"/>
      <c r="AF26" s="70"/>
      <c r="AG26" s="70"/>
      <c r="AH26" s="70"/>
      <c r="AI26" s="70"/>
      <c r="AJ26" s="12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120"/>
      <c r="I27" s="120"/>
      <c r="J27" s="79"/>
      <c r="K27" s="70"/>
      <c r="L27" s="70"/>
      <c r="M27" s="70"/>
      <c r="N27" s="70"/>
      <c r="O27" s="120"/>
      <c r="P27" s="120"/>
      <c r="Q27" s="70"/>
      <c r="R27" s="70"/>
      <c r="S27" s="70"/>
      <c r="T27" s="70"/>
      <c r="U27" s="70"/>
      <c r="V27" s="120"/>
      <c r="W27" s="120"/>
      <c r="X27" s="70"/>
      <c r="Y27" s="70"/>
      <c r="Z27" s="70"/>
      <c r="AA27" s="70"/>
      <c r="AB27" s="70"/>
      <c r="AC27" s="120"/>
      <c r="AD27" s="120"/>
      <c r="AE27" s="70"/>
      <c r="AF27" s="70"/>
      <c r="AG27" s="70"/>
      <c r="AH27" s="70"/>
      <c r="AI27" s="70"/>
      <c r="AJ27" s="12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120"/>
      <c r="I28" s="120"/>
      <c r="J28" s="79"/>
      <c r="K28" s="70"/>
      <c r="L28" s="70"/>
      <c r="M28" s="70"/>
      <c r="N28" s="70"/>
      <c r="O28" s="120"/>
      <c r="P28" s="120"/>
      <c r="Q28" s="70"/>
      <c r="R28" s="70"/>
      <c r="S28" s="70"/>
      <c r="T28" s="70"/>
      <c r="U28" s="70"/>
      <c r="V28" s="120"/>
      <c r="W28" s="120"/>
      <c r="X28" s="70"/>
      <c r="Y28" s="70"/>
      <c r="Z28" s="70"/>
      <c r="AA28" s="70"/>
      <c r="AB28" s="70"/>
      <c r="AC28" s="120"/>
      <c r="AD28" s="120"/>
      <c r="AE28" s="70"/>
      <c r="AF28" s="70"/>
      <c r="AG28" s="70"/>
      <c r="AH28" s="70"/>
      <c r="AI28" s="70"/>
      <c r="AJ28" s="12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120"/>
      <c r="I29" s="120"/>
      <c r="J29" s="79"/>
      <c r="K29" s="70"/>
      <c r="L29" s="70"/>
      <c r="M29" s="70"/>
      <c r="N29" s="70"/>
      <c r="O29" s="120"/>
      <c r="P29" s="120"/>
      <c r="Q29" s="70"/>
      <c r="R29" s="70"/>
      <c r="S29" s="70"/>
      <c r="T29" s="70"/>
      <c r="U29" s="70"/>
      <c r="V29" s="120"/>
      <c r="W29" s="120"/>
      <c r="X29" s="70"/>
      <c r="Y29" s="70"/>
      <c r="Z29" s="70"/>
      <c r="AA29" s="70"/>
      <c r="AB29" s="70"/>
      <c r="AC29" s="120"/>
      <c r="AD29" s="120"/>
      <c r="AE29" s="70"/>
      <c r="AF29" s="70"/>
      <c r="AG29" s="70"/>
      <c r="AH29" s="70"/>
      <c r="AI29" s="70"/>
      <c r="AJ29" s="12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120"/>
      <c r="I30" s="120"/>
      <c r="J30" s="79"/>
      <c r="K30" s="70"/>
      <c r="L30" s="70"/>
      <c r="M30" s="70"/>
      <c r="N30" s="70"/>
      <c r="O30" s="120"/>
      <c r="P30" s="120"/>
      <c r="Q30" s="70"/>
      <c r="R30" s="70"/>
      <c r="S30" s="70"/>
      <c r="T30" s="70"/>
      <c r="U30" s="70"/>
      <c r="V30" s="120"/>
      <c r="W30" s="120"/>
      <c r="X30" s="70"/>
      <c r="Y30" s="70"/>
      <c r="Z30" s="70"/>
      <c r="AA30" s="70"/>
      <c r="AB30" s="70"/>
      <c r="AC30" s="120"/>
      <c r="AD30" s="120"/>
      <c r="AE30" s="70"/>
      <c r="AF30" s="70"/>
      <c r="AG30" s="70"/>
      <c r="AH30" s="70"/>
      <c r="AI30" s="70"/>
      <c r="AJ30" s="12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120"/>
      <c r="I31" s="120"/>
      <c r="J31" s="79"/>
      <c r="K31" s="70"/>
      <c r="L31" s="70"/>
      <c r="M31" s="70"/>
      <c r="N31" s="70"/>
      <c r="O31" s="120"/>
      <c r="P31" s="120"/>
      <c r="Q31" s="70"/>
      <c r="R31" s="70"/>
      <c r="S31" s="70"/>
      <c r="T31" s="70"/>
      <c r="U31" s="70"/>
      <c r="V31" s="120"/>
      <c r="W31" s="120"/>
      <c r="X31" s="70"/>
      <c r="Y31" s="70"/>
      <c r="Z31" s="70"/>
      <c r="AA31" s="70"/>
      <c r="AB31" s="70"/>
      <c r="AC31" s="120"/>
      <c r="AD31" s="120"/>
      <c r="AE31" s="70"/>
      <c r="AF31" s="70"/>
      <c r="AG31" s="70"/>
      <c r="AH31" s="70"/>
      <c r="AI31" s="70"/>
      <c r="AJ31" s="12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120"/>
      <c r="I32" s="120"/>
      <c r="J32" s="79"/>
      <c r="K32" s="108"/>
      <c r="L32" s="108"/>
      <c r="M32" s="108"/>
      <c r="N32" s="108"/>
      <c r="O32" s="128"/>
      <c r="P32" s="120"/>
      <c r="Q32" s="70"/>
      <c r="R32" s="70"/>
      <c r="S32" s="108"/>
      <c r="T32" s="108"/>
      <c r="U32" s="108"/>
      <c r="V32" s="128"/>
      <c r="W32" s="128"/>
      <c r="X32" s="108"/>
      <c r="Y32" s="108"/>
      <c r="Z32" s="108"/>
      <c r="AA32" s="108"/>
      <c r="AB32" s="108"/>
      <c r="AC32" s="128"/>
      <c r="AD32" s="128"/>
      <c r="AE32" s="108"/>
      <c r="AF32" s="108"/>
      <c r="AG32" s="108"/>
      <c r="AH32" s="144"/>
      <c r="AI32" s="144"/>
      <c r="AJ32" s="158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120"/>
      <c r="I33" s="120"/>
      <c r="J33" s="79"/>
      <c r="K33" s="70"/>
      <c r="L33" s="70"/>
      <c r="M33" s="70"/>
      <c r="N33" s="70"/>
      <c r="O33" s="120"/>
      <c r="P33" s="120"/>
      <c r="Q33" s="70"/>
      <c r="R33" s="70"/>
      <c r="S33" s="70"/>
      <c r="T33" s="70"/>
      <c r="U33" s="70"/>
      <c r="V33" s="120"/>
      <c r="W33" s="120"/>
      <c r="X33" s="70"/>
      <c r="Y33" s="70"/>
      <c r="Z33" s="70"/>
      <c r="AA33" s="70"/>
      <c r="AB33" s="70"/>
      <c r="AC33" s="120"/>
      <c r="AD33" s="120"/>
      <c r="AE33" s="70"/>
      <c r="AF33" s="70"/>
      <c r="AG33" s="70"/>
      <c r="AH33" s="70"/>
      <c r="AI33" s="70"/>
      <c r="AJ33" s="12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120"/>
      <c r="I34" s="120"/>
      <c r="J34" s="79"/>
      <c r="K34" s="70"/>
      <c r="L34" s="70"/>
      <c r="M34" s="70"/>
      <c r="N34" s="70"/>
      <c r="O34" s="120"/>
      <c r="P34" s="120"/>
      <c r="Q34" s="70"/>
      <c r="R34" s="70"/>
      <c r="S34" s="70"/>
      <c r="T34" s="70"/>
      <c r="U34" s="70"/>
      <c r="V34" s="120"/>
      <c r="W34" s="120"/>
      <c r="X34" s="70"/>
      <c r="Y34" s="70"/>
      <c r="Z34" s="70"/>
      <c r="AA34" s="70"/>
      <c r="AB34" s="70"/>
      <c r="AC34" s="120"/>
      <c r="AD34" s="120"/>
      <c r="AE34" s="70"/>
      <c r="AF34" s="70"/>
      <c r="AG34" s="70"/>
      <c r="AH34" s="70"/>
      <c r="AI34" s="70"/>
      <c r="AJ34" s="12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120"/>
      <c r="I35" s="120"/>
      <c r="J35" s="79"/>
      <c r="K35" s="70"/>
      <c r="L35" s="70"/>
      <c r="M35" s="70"/>
      <c r="N35" s="70"/>
      <c r="O35" s="120"/>
      <c r="P35" s="120"/>
      <c r="Q35" s="70"/>
      <c r="R35" s="70"/>
      <c r="S35" s="70"/>
      <c r="T35" s="70"/>
      <c r="U35" s="70"/>
      <c r="V35" s="120"/>
      <c r="W35" s="120"/>
      <c r="X35" s="70"/>
      <c r="Y35" s="70"/>
      <c r="Z35" s="70"/>
      <c r="AA35" s="70"/>
      <c r="AB35" s="70"/>
      <c r="AC35" s="120"/>
      <c r="AD35" s="120"/>
      <c r="AE35" s="70"/>
      <c r="AF35" s="70"/>
      <c r="AG35" s="70"/>
      <c r="AH35" s="70"/>
      <c r="AI35" s="70"/>
      <c r="AJ35" s="12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120"/>
      <c r="I36" s="120"/>
      <c r="J36" s="79"/>
      <c r="K36" s="70"/>
      <c r="L36" s="70"/>
      <c r="M36" s="70"/>
      <c r="N36" s="70"/>
      <c r="O36" s="120"/>
      <c r="P36" s="120"/>
      <c r="Q36" s="70"/>
      <c r="R36" s="70"/>
      <c r="S36" s="70"/>
      <c r="T36" s="70"/>
      <c r="U36" s="70"/>
      <c r="V36" s="120"/>
      <c r="W36" s="120"/>
      <c r="X36" s="70"/>
      <c r="Y36" s="70"/>
      <c r="Z36" s="70"/>
      <c r="AA36" s="70"/>
      <c r="AB36" s="70"/>
      <c r="AC36" s="120"/>
      <c r="AD36" s="120"/>
      <c r="AE36" s="70"/>
      <c r="AF36" s="70"/>
      <c r="AG36" s="70"/>
      <c r="AH36" s="70"/>
      <c r="AI36" s="70"/>
      <c r="AJ36" s="12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8"/>
      <c r="I37" s="68"/>
      <c r="J37" s="65"/>
      <c r="K37" s="64"/>
      <c r="L37" s="64"/>
      <c r="M37" s="64"/>
      <c r="N37" s="64"/>
      <c r="O37" s="68"/>
      <c r="P37" s="68"/>
      <c r="Q37" s="64"/>
      <c r="R37" s="64"/>
      <c r="S37" s="64"/>
      <c r="T37" s="64"/>
      <c r="U37" s="64"/>
      <c r="V37" s="68"/>
      <c r="W37" s="68"/>
      <c r="X37" s="64"/>
      <c r="Y37" s="64"/>
      <c r="Z37" s="64"/>
      <c r="AA37" s="64"/>
      <c r="AB37" s="64"/>
      <c r="AC37" s="68"/>
      <c r="AD37" s="68"/>
      <c r="AE37" s="64"/>
      <c r="AF37" s="64"/>
      <c r="AG37" s="64"/>
      <c r="AH37" s="64"/>
      <c r="AI37" s="64"/>
      <c r="AJ37" s="68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8"/>
      <c r="I38" s="68"/>
      <c r="J38" s="65"/>
      <c r="K38" s="64"/>
      <c r="L38" s="64"/>
      <c r="M38" s="64"/>
      <c r="N38" s="64"/>
      <c r="O38" s="68"/>
      <c r="P38" s="68"/>
      <c r="Q38" s="64"/>
      <c r="R38" s="64"/>
      <c r="S38" s="64"/>
      <c r="T38" s="64"/>
      <c r="U38" s="64"/>
      <c r="V38" s="68"/>
      <c r="W38" s="68"/>
      <c r="X38" s="64"/>
      <c r="Y38" s="64"/>
      <c r="Z38" s="64"/>
      <c r="AA38" s="64"/>
      <c r="AB38" s="64"/>
      <c r="AC38" s="68"/>
      <c r="AD38" s="68"/>
      <c r="AE38" s="64"/>
      <c r="AF38" s="64"/>
      <c r="AG38" s="64"/>
      <c r="AH38" s="64"/>
      <c r="AI38" s="64"/>
      <c r="AJ38" s="68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120"/>
      <c r="I39" s="120"/>
      <c r="J39" s="79"/>
      <c r="K39" s="70"/>
      <c r="L39" s="70"/>
      <c r="M39" s="70"/>
      <c r="N39" s="70"/>
      <c r="O39" s="120"/>
      <c r="P39" s="120"/>
      <c r="Q39" s="70"/>
      <c r="R39" s="70"/>
      <c r="S39" s="70"/>
      <c r="T39" s="70"/>
      <c r="U39" s="70"/>
      <c r="V39" s="120"/>
      <c r="W39" s="120"/>
      <c r="X39" s="70"/>
      <c r="Y39" s="70"/>
      <c r="Z39" s="70"/>
      <c r="AA39" s="70"/>
      <c r="AB39" s="70"/>
      <c r="AC39" s="120"/>
      <c r="AD39" s="120"/>
      <c r="AE39" s="70"/>
      <c r="AF39" s="70"/>
      <c r="AG39" s="70"/>
      <c r="AH39" s="70"/>
      <c r="AI39" s="70"/>
      <c r="AJ39" s="12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124"/>
      <c r="I40" s="124"/>
      <c r="J40" s="93"/>
      <c r="K40" s="92"/>
      <c r="L40" s="92"/>
      <c r="M40" s="92"/>
      <c r="N40" s="92"/>
      <c r="O40" s="124"/>
      <c r="P40" s="124"/>
      <c r="Q40" s="92"/>
      <c r="R40" s="92"/>
      <c r="S40" s="92"/>
      <c r="T40" s="92"/>
      <c r="U40" s="92"/>
      <c r="V40" s="124"/>
      <c r="W40" s="124"/>
      <c r="X40" s="92"/>
      <c r="Y40" s="92"/>
      <c r="Z40" s="92"/>
      <c r="AA40" s="92"/>
      <c r="AB40" s="92"/>
      <c r="AC40" s="124"/>
      <c r="AD40" s="124"/>
      <c r="AE40" s="92"/>
      <c r="AF40" s="92"/>
      <c r="AG40" s="92"/>
      <c r="AH40" s="92"/>
      <c r="AI40" s="92"/>
      <c r="AJ40" s="124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131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127"/>
      <c r="I42" s="127"/>
      <c r="J42" s="104"/>
      <c r="K42" s="62"/>
      <c r="L42" s="64"/>
      <c r="M42" s="64"/>
      <c r="N42" s="62"/>
      <c r="O42" s="127"/>
      <c r="P42" s="127"/>
      <c r="Q42" s="62"/>
      <c r="R42" s="62"/>
      <c r="S42" s="64"/>
      <c r="T42" s="64"/>
      <c r="U42" s="62"/>
      <c r="V42" s="127"/>
      <c r="W42" s="127"/>
      <c r="X42" s="62"/>
      <c r="Y42" s="62"/>
      <c r="Z42" s="64"/>
      <c r="AA42" s="64"/>
      <c r="AB42" s="62"/>
      <c r="AC42" s="127"/>
      <c r="AD42" s="127"/>
      <c r="AE42" s="62"/>
      <c r="AF42" s="62"/>
      <c r="AG42" s="64"/>
      <c r="AH42"/>
      <c r="AI42"/>
      <c r="AJ42" s="125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127"/>
      <c r="I43" s="127"/>
      <c r="J43" s="104"/>
      <c r="K43" s="62"/>
      <c r="N43" s="62"/>
      <c r="O43" s="127"/>
      <c r="P43" s="127"/>
      <c r="Q43" s="62"/>
      <c r="R43" s="62"/>
      <c r="U43" s="62"/>
      <c r="V43" s="127"/>
      <c r="W43" s="127"/>
      <c r="X43" s="62"/>
      <c r="Y43" s="62"/>
      <c r="AB43" s="62"/>
      <c r="AC43" s="127"/>
      <c r="AD43" s="127"/>
      <c r="AE43" s="62"/>
      <c r="AF43" s="62"/>
      <c r="AH43"/>
      <c r="AI43"/>
      <c r="AJ43" s="125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127"/>
      <c r="I44" s="127"/>
      <c r="J44" s="104"/>
      <c r="K44" s="62"/>
      <c r="L44" s="64"/>
      <c r="M44" s="64"/>
      <c r="N44" s="62"/>
      <c r="O44" s="127"/>
      <c r="P44" s="127"/>
      <c r="Q44" s="62"/>
      <c r="R44" s="62"/>
      <c r="S44" s="64"/>
      <c r="T44" s="64"/>
      <c r="U44" s="62"/>
      <c r="V44" s="127"/>
      <c r="W44" s="127"/>
      <c r="X44" s="62"/>
      <c r="Y44" s="62"/>
      <c r="Z44" s="64"/>
      <c r="AA44" s="64"/>
      <c r="AB44" s="62"/>
      <c r="AC44" s="127"/>
      <c r="AD44" s="127"/>
      <c r="AE44" s="62"/>
      <c r="AF44" s="62"/>
      <c r="AG44" s="64"/>
      <c r="AH44"/>
      <c r="AI44"/>
      <c r="AJ44" s="125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127"/>
      <c r="I45" s="127"/>
      <c r="J45" s="104"/>
      <c r="K45" s="62"/>
      <c r="L45" s="64"/>
      <c r="M45" s="64"/>
      <c r="N45" s="62"/>
      <c r="O45" s="127"/>
      <c r="P45" s="127"/>
      <c r="Q45" s="62"/>
      <c r="R45" s="62"/>
      <c r="S45" s="64"/>
      <c r="T45" s="64"/>
      <c r="U45" s="62"/>
      <c r="V45" s="127"/>
      <c r="W45" s="127"/>
      <c r="X45" s="62"/>
      <c r="Y45" s="62"/>
      <c r="Z45" s="64"/>
      <c r="AA45" s="64"/>
      <c r="AB45" s="62"/>
      <c r="AC45" s="127"/>
      <c r="AD45" s="127"/>
      <c r="AE45" s="62"/>
      <c r="AF45" s="62"/>
      <c r="AG45" s="64"/>
      <c r="AH45"/>
      <c r="AI45"/>
      <c r="AJ45" s="12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127"/>
      <c r="I46" s="127"/>
      <c r="J46" s="104"/>
      <c r="K46" s="62"/>
      <c r="L46" s="64"/>
      <c r="M46" s="64"/>
      <c r="N46" s="62"/>
      <c r="O46" s="127"/>
      <c r="P46" s="127"/>
      <c r="Q46" s="62"/>
      <c r="R46" s="62"/>
      <c r="S46" s="64"/>
      <c r="T46" s="64"/>
      <c r="U46" s="62"/>
      <c r="V46" s="127"/>
      <c r="W46" s="127"/>
      <c r="X46" s="62"/>
      <c r="Y46" s="62"/>
      <c r="Z46" s="64"/>
      <c r="AA46" s="64"/>
      <c r="AB46" s="62"/>
      <c r="AC46" s="127"/>
      <c r="AD46" s="127"/>
      <c r="AE46" s="62"/>
      <c r="AF46" s="62"/>
      <c r="AG46" s="64"/>
      <c r="AH46"/>
      <c r="AI46"/>
      <c r="AJ46" s="127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127"/>
      <c r="I47" s="127"/>
      <c r="J47" s="104"/>
      <c r="K47" s="62"/>
      <c r="L47" s="64"/>
      <c r="M47" s="64"/>
      <c r="N47" s="62"/>
      <c r="O47" s="127"/>
      <c r="P47" s="127"/>
      <c r="Q47" s="62"/>
      <c r="R47" s="62"/>
      <c r="S47" s="64"/>
      <c r="T47" s="64"/>
      <c r="U47" s="62"/>
      <c r="V47" s="127"/>
      <c r="W47" s="127"/>
      <c r="X47" s="62"/>
      <c r="Y47" s="62"/>
      <c r="Z47" s="64"/>
      <c r="AA47" s="64"/>
      <c r="AB47" s="62"/>
      <c r="AC47" s="127"/>
      <c r="AD47" s="127"/>
      <c r="AE47" s="62"/>
      <c r="AF47" s="62"/>
      <c r="AG47" s="64"/>
      <c r="AH47"/>
      <c r="AI47"/>
      <c r="AJ47" s="125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127"/>
      <c r="I48" s="127"/>
      <c r="J48" s="104"/>
      <c r="K48" s="62"/>
      <c r="L48" s="64"/>
      <c r="M48" s="64"/>
      <c r="N48" s="62"/>
      <c r="O48" s="127"/>
      <c r="P48" s="127"/>
      <c r="Q48" s="62"/>
      <c r="R48" s="62"/>
      <c r="S48" s="64"/>
      <c r="T48" s="64"/>
      <c r="U48" s="62"/>
      <c r="V48" s="127"/>
      <c r="W48" s="127"/>
      <c r="X48" s="62"/>
      <c r="Y48" s="62"/>
      <c r="Z48" s="64"/>
      <c r="AA48" s="64"/>
      <c r="AB48" s="62"/>
      <c r="AC48" s="127"/>
      <c r="AD48" s="127"/>
      <c r="AE48" s="62"/>
      <c r="AF48" s="62"/>
      <c r="AG48" s="64"/>
      <c r="AH48"/>
      <c r="AI48"/>
      <c r="AJ48" s="125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127"/>
      <c r="I49" s="127"/>
      <c r="J49" s="104"/>
      <c r="K49" s="62"/>
      <c r="L49" s="64"/>
      <c r="M49" s="64"/>
      <c r="N49" s="62"/>
      <c r="O49" s="127"/>
      <c r="P49" s="127"/>
      <c r="Q49" s="62"/>
      <c r="R49" s="62"/>
      <c r="S49" s="64"/>
      <c r="T49" s="64"/>
      <c r="U49" s="62"/>
      <c r="V49" s="127"/>
      <c r="W49" s="127"/>
      <c r="X49" s="62"/>
      <c r="Y49" s="62"/>
      <c r="Z49" s="64"/>
      <c r="AA49" s="64"/>
      <c r="AB49" s="62"/>
      <c r="AC49" s="127"/>
      <c r="AD49" s="127"/>
      <c r="AE49" s="62"/>
      <c r="AF49" s="62"/>
      <c r="AG49" s="64"/>
      <c r="AH49"/>
      <c r="AI49"/>
      <c r="AJ49" s="125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127"/>
      <c r="I50" s="127"/>
      <c r="J50" s="104"/>
      <c r="K50" s="62"/>
      <c r="L50" s="64"/>
      <c r="M50" s="64"/>
      <c r="N50" s="62"/>
      <c r="O50" s="127"/>
      <c r="P50" s="127"/>
      <c r="Q50" s="62"/>
      <c r="R50" s="62"/>
      <c r="S50" s="64"/>
      <c r="T50" s="64"/>
      <c r="U50" s="62"/>
      <c r="V50" s="127"/>
      <c r="W50" s="127"/>
      <c r="X50" s="62"/>
      <c r="Y50" s="62"/>
      <c r="Z50" s="64"/>
      <c r="AA50" s="64"/>
      <c r="AB50" s="62"/>
      <c r="AC50" s="127"/>
      <c r="AD50" s="127"/>
      <c r="AE50" s="62"/>
      <c r="AF50" s="62"/>
      <c r="AG50" s="64"/>
      <c r="AH50"/>
      <c r="AI50"/>
      <c r="AJ50" s="125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127"/>
      <c r="I51" s="127"/>
      <c r="J51" s="104"/>
      <c r="K51" s="62"/>
      <c r="L51" s="64"/>
      <c r="M51" s="64"/>
      <c r="N51" s="62"/>
      <c r="O51" s="127"/>
      <c r="P51" s="127"/>
      <c r="Q51" s="62"/>
      <c r="R51" s="62"/>
      <c r="S51" s="64"/>
      <c r="T51" s="64"/>
      <c r="U51" s="62"/>
      <c r="V51" s="127"/>
      <c r="W51" s="127"/>
      <c r="X51" s="62"/>
      <c r="Y51" s="62"/>
      <c r="Z51" s="64"/>
      <c r="AA51" s="64"/>
      <c r="AB51" s="62"/>
      <c r="AC51" s="127"/>
      <c r="AD51" s="127"/>
      <c r="AE51" s="62"/>
      <c r="AF51" s="62"/>
      <c r="AG51" s="64"/>
      <c r="AH51"/>
      <c r="AI51"/>
      <c r="AJ51" s="125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127"/>
      <c r="I52" s="127"/>
      <c r="J52" s="104"/>
      <c r="K52" s="62"/>
      <c r="L52" s="64"/>
      <c r="M52" s="64"/>
      <c r="N52" s="62"/>
      <c r="O52" s="127"/>
      <c r="P52" s="127"/>
      <c r="Q52" s="62"/>
      <c r="R52" s="62"/>
      <c r="S52" s="64"/>
      <c r="T52" s="64"/>
      <c r="U52" s="62"/>
      <c r="V52" s="127"/>
      <c r="W52" s="127"/>
      <c r="X52" s="62"/>
      <c r="Y52" s="62"/>
      <c r="Z52" s="64"/>
      <c r="AA52" s="64"/>
      <c r="AB52" s="62"/>
      <c r="AC52" s="127"/>
      <c r="AD52" s="127"/>
      <c r="AE52" s="62"/>
      <c r="AF52" s="62"/>
      <c r="AG52" s="64"/>
      <c r="AH52"/>
      <c r="AI52"/>
      <c r="AJ52" s="125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127"/>
      <c r="I53" s="127"/>
      <c r="J53" s="104"/>
      <c r="K53" s="62"/>
      <c r="L53" s="64"/>
      <c r="M53" s="64"/>
      <c r="N53" s="62"/>
      <c r="O53" s="127"/>
      <c r="P53" s="127"/>
      <c r="Q53" s="62"/>
      <c r="R53" s="62"/>
      <c r="S53" s="64"/>
      <c r="T53" s="64"/>
      <c r="U53" s="62"/>
      <c r="V53" s="127"/>
      <c r="W53" s="127"/>
      <c r="X53" s="62"/>
      <c r="Y53" s="62"/>
      <c r="Z53" s="64"/>
      <c r="AA53" s="64"/>
      <c r="AB53" s="62"/>
      <c r="AC53" s="127"/>
      <c r="AD53" s="127"/>
      <c r="AE53" s="62"/>
      <c r="AF53" s="62"/>
      <c r="AG53" s="64"/>
      <c r="AH53"/>
      <c r="AI53"/>
      <c r="AJ53" s="125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127"/>
      <c r="I54" s="127"/>
      <c r="J54" s="104"/>
      <c r="K54" s="62"/>
      <c r="L54" s="64"/>
      <c r="M54" s="64"/>
      <c r="N54" s="62"/>
      <c r="O54" s="127"/>
      <c r="P54" s="127"/>
      <c r="Q54" s="62"/>
      <c r="R54" s="62"/>
      <c r="S54" s="64"/>
      <c r="T54" s="64"/>
      <c r="U54" s="62"/>
      <c r="V54" s="127"/>
      <c r="W54" s="127"/>
      <c r="X54" s="62"/>
      <c r="Y54" s="62"/>
      <c r="Z54" s="64"/>
      <c r="AA54" s="64"/>
      <c r="AB54" s="62"/>
      <c r="AC54" s="127"/>
      <c r="AD54" s="127"/>
      <c r="AE54" s="62"/>
      <c r="AF54" s="62"/>
      <c r="AG54" s="64"/>
      <c r="AH54"/>
      <c r="AI54"/>
      <c r="AJ54" s="125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127"/>
      <c r="I55" s="127"/>
      <c r="J55" s="104"/>
      <c r="K55" s="62"/>
      <c r="L55" s="64"/>
      <c r="M55" s="64"/>
      <c r="N55" s="62"/>
      <c r="O55" s="127"/>
      <c r="P55" s="127"/>
      <c r="Q55" s="62"/>
      <c r="R55" s="62"/>
      <c r="S55" s="64"/>
      <c r="T55" s="64"/>
      <c r="U55" s="62"/>
      <c r="V55" s="127"/>
      <c r="W55" s="127"/>
      <c r="X55" s="62"/>
      <c r="Y55" s="62"/>
      <c r="Z55" s="64"/>
      <c r="AA55" s="64"/>
      <c r="AB55" s="62"/>
      <c r="AC55" s="127"/>
      <c r="AD55" s="127"/>
      <c r="AE55" s="62"/>
      <c r="AF55" s="62"/>
      <c r="AG55" s="64"/>
      <c r="AH55"/>
      <c r="AI55"/>
      <c r="AJ55" s="12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127"/>
      <c r="I56" s="127"/>
      <c r="J56" s="104"/>
      <c r="K56" s="62"/>
      <c r="L56" s="64"/>
      <c r="M56" s="64"/>
      <c r="N56" s="62"/>
      <c r="O56" s="127"/>
      <c r="P56" s="127"/>
      <c r="Q56" s="62"/>
      <c r="R56" s="62"/>
      <c r="S56" s="64"/>
      <c r="T56" s="64"/>
      <c r="U56" s="62"/>
      <c r="V56" s="127"/>
      <c r="W56" s="127"/>
      <c r="X56" s="62"/>
      <c r="Y56" s="62"/>
      <c r="Z56" s="64"/>
      <c r="AA56" s="64"/>
      <c r="AB56" s="62"/>
      <c r="AC56" s="127"/>
      <c r="AD56" s="127"/>
      <c r="AE56" s="62"/>
      <c r="AF56" s="62"/>
      <c r="AG56" s="64"/>
      <c r="AH56"/>
      <c r="AI56"/>
      <c r="AJ56" s="125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127"/>
      <c r="I57" s="127"/>
      <c r="J57" s="104"/>
      <c r="K57" s="62"/>
      <c r="L57" s="64"/>
      <c r="M57" s="64"/>
      <c r="N57" s="62"/>
      <c r="O57" s="127"/>
      <c r="P57" s="127"/>
      <c r="Q57" s="62"/>
      <c r="R57" s="62"/>
      <c r="S57" s="64"/>
      <c r="T57" s="64"/>
      <c r="U57" s="62"/>
      <c r="V57" s="127"/>
      <c r="W57" s="127"/>
      <c r="X57" s="62"/>
      <c r="Y57" s="62"/>
      <c r="Z57" s="64"/>
      <c r="AA57" s="64"/>
      <c r="AB57" s="62"/>
      <c r="AC57" s="127"/>
      <c r="AD57" s="127"/>
      <c r="AE57" s="62"/>
      <c r="AF57" s="62"/>
      <c r="AG57" s="64"/>
      <c r="AH57"/>
      <c r="AI57"/>
      <c r="AJ57" s="125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127"/>
      <c r="I58" s="127"/>
      <c r="J58" s="104"/>
      <c r="K58" s="62"/>
      <c r="L58" s="64"/>
      <c r="M58" s="64"/>
      <c r="N58" s="62"/>
      <c r="O58" s="127"/>
      <c r="P58" s="127"/>
      <c r="Q58" s="62"/>
      <c r="R58" s="62"/>
      <c r="S58" s="64"/>
      <c r="T58" s="64"/>
      <c r="U58" s="62"/>
      <c r="V58" s="127"/>
      <c r="W58" s="127"/>
      <c r="X58" s="62"/>
      <c r="Y58" s="62"/>
      <c r="Z58" s="64"/>
      <c r="AA58" s="64"/>
      <c r="AB58" s="62"/>
      <c r="AC58" s="127"/>
      <c r="AD58" s="127"/>
      <c r="AE58" s="62"/>
      <c r="AF58" s="62"/>
      <c r="AG58" s="64"/>
      <c r="AH58"/>
      <c r="AI58"/>
      <c r="AJ58" s="125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120"/>
      <c r="I59" s="120"/>
      <c r="J59" s="79"/>
      <c r="M59" s="70"/>
      <c r="N59" s="70"/>
      <c r="O59" s="120"/>
      <c r="P59" s="120"/>
      <c r="Q59" s="70"/>
      <c r="T59" s="70"/>
      <c r="U59" s="70"/>
      <c r="V59" s="120"/>
      <c r="W59" s="120"/>
      <c r="X59" s="70"/>
      <c r="AA59" s="70"/>
      <c r="AB59" s="70"/>
      <c r="AC59" s="120"/>
      <c r="AD59" s="120"/>
      <c r="AE59" s="70"/>
      <c r="AH59" s="70"/>
      <c r="AI59" s="70"/>
      <c r="AJ59" s="12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121"/>
      <c r="I60" s="121"/>
      <c r="J60" s="74"/>
      <c r="K60" s="92"/>
      <c r="L60" s="92"/>
      <c r="M60" s="73"/>
      <c r="N60" s="73"/>
      <c r="O60" s="121"/>
      <c r="P60" s="121"/>
      <c r="Q60" s="73"/>
      <c r="R60" s="92"/>
      <c r="S60" s="92"/>
      <c r="T60" s="73"/>
      <c r="U60" s="73"/>
      <c r="V60" s="121"/>
      <c r="W60" s="121"/>
      <c r="X60" s="73"/>
      <c r="Y60" s="92"/>
      <c r="Z60" s="92"/>
      <c r="AA60" s="73"/>
      <c r="AB60" s="73"/>
      <c r="AC60" s="121"/>
      <c r="AD60" s="121"/>
      <c r="AE60" s="73"/>
      <c r="AF60" s="92"/>
      <c r="AG60" s="92"/>
      <c r="AH60" s="73"/>
      <c r="AI60" s="73"/>
      <c r="AJ60" s="121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120"/>
      <c r="I61" s="120"/>
      <c r="J61" s="79"/>
      <c r="M61" s="70"/>
      <c r="N61" s="70"/>
      <c r="O61" s="120"/>
      <c r="P61" s="120"/>
      <c r="Q61" s="70"/>
      <c r="T61" s="70"/>
      <c r="U61" s="70"/>
      <c r="V61" s="120"/>
      <c r="W61" s="120"/>
      <c r="X61" s="70"/>
      <c r="AA61" s="70"/>
      <c r="AB61" s="70"/>
      <c r="AC61" s="120"/>
      <c r="AD61" s="120"/>
      <c r="AE61" s="70"/>
      <c r="AH61" s="70"/>
      <c r="AI61" s="70"/>
      <c r="AJ61" s="12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122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120"/>
      <c r="L74" s="70"/>
      <c r="N74" s="70"/>
      <c r="O74" s="120"/>
      <c r="P74" s="120"/>
      <c r="R74" s="70"/>
      <c r="S74" s="70"/>
      <c r="T74" s="70"/>
      <c r="U74" s="70"/>
      <c r="V74" s="120"/>
      <c r="W74" s="120"/>
      <c r="X74" s="70"/>
      <c r="Y74" s="70"/>
      <c r="Z74" s="70"/>
      <c r="AA74" s="70"/>
      <c r="AB74" s="70"/>
      <c r="AC74" s="120"/>
      <c r="AD74" s="120"/>
      <c r="AE74" s="70"/>
      <c r="AF74" s="70"/>
      <c r="AG74" s="70"/>
      <c r="AH74" s="70"/>
      <c r="AI74" s="70"/>
      <c r="AJ74" s="12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26"/>
      <c r="I76" s="126"/>
      <c r="J76" s="99"/>
      <c r="K76" s="100"/>
      <c r="L76" s="92"/>
      <c r="M76" s="92"/>
      <c r="N76" s="100"/>
      <c r="O76" s="126"/>
      <c r="P76" s="126"/>
      <c r="Q76" s="100"/>
      <c r="R76" s="100"/>
      <c r="S76" s="92"/>
      <c r="T76" s="92"/>
      <c r="U76" s="100"/>
      <c r="V76" s="126"/>
      <c r="W76" s="126"/>
      <c r="X76" s="100"/>
      <c r="Y76" s="100"/>
      <c r="Z76" s="92"/>
      <c r="AA76" s="92"/>
      <c r="AB76" s="100"/>
      <c r="AC76" s="126"/>
      <c r="AD76" s="126"/>
      <c r="AE76" s="100"/>
      <c r="AF76" s="100"/>
      <c r="AG76" s="92"/>
      <c r="AH76" s="98"/>
      <c r="AI76" s="98"/>
      <c r="AJ76" s="130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12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120"/>
      <c r="AD83" s="120"/>
      <c r="AF83" s="70"/>
      <c r="AG83" s="70"/>
      <c r="AI83" s="70"/>
      <c r="AJ83" s="12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12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124"/>
      <c r="I87" s="124"/>
      <c r="J87" s="93"/>
      <c r="K87" s="92"/>
      <c r="L87" s="92"/>
      <c r="M87" s="92"/>
      <c r="N87" s="92"/>
      <c r="O87" s="124"/>
      <c r="P87" s="124"/>
      <c r="Q87" s="92"/>
      <c r="R87" s="92"/>
      <c r="S87" s="92"/>
      <c r="T87" s="92"/>
      <c r="U87" s="92"/>
      <c r="V87" s="121"/>
      <c r="W87" s="124"/>
      <c r="X87" s="92"/>
      <c r="Y87" s="73"/>
      <c r="Z87" s="92"/>
      <c r="AA87" s="92"/>
      <c r="AB87" s="92"/>
      <c r="AC87" s="124"/>
      <c r="AD87" s="124"/>
      <c r="AE87" s="92"/>
      <c r="AF87" s="92"/>
      <c r="AG87" s="92"/>
      <c r="AH87" s="92"/>
      <c r="AI87" s="92"/>
      <c r="AJ87" s="124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131"/>
      <c r="I88" s="68"/>
      <c r="J88" s="65"/>
      <c r="K88" s="64"/>
      <c r="L88" s="64"/>
      <c r="M88" s="64"/>
      <c r="N88" s="64"/>
      <c r="O88" s="68"/>
      <c r="P88" s="68"/>
      <c r="Q88" s="64"/>
      <c r="R88" s="64"/>
      <c r="S88" s="64"/>
      <c r="T88" s="64"/>
      <c r="U88" s="64"/>
      <c r="V88" s="68"/>
      <c r="W88" s="125"/>
      <c r="X88"/>
      <c r="Y88" s="64"/>
      <c r="Z88" s="64"/>
      <c r="AA88"/>
      <c r="AB88" s="64"/>
      <c r="AC88" s="68"/>
      <c r="AD88" s="68"/>
      <c r="AE88" s="64"/>
      <c r="AF88" s="64"/>
      <c r="AG88" s="64"/>
      <c r="AH88" s="64"/>
      <c r="AI88" s="64"/>
      <c r="AJ88" s="68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120"/>
      <c r="I89" s="120"/>
      <c r="J89" s="79"/>
      <c r="K89" s="70"/>
      <c r="L89" s="70"/>
      <c r="M89" s="70"/>
      <c r="N89" s="70"/>
      <c r="O89" s="68"/>
      <c r="P89" s="120"/>
      <c r="Q89" s="70"/>
      <c r="R89" s="70"/>
      <c r="S89" s="70"/>
      <c r="T89" s="70"/>
      <c r="U89" s="64"/>
      <c r="V89" s="68"/>
      <c r="W89" s="68"/>
      <c r="X89" s="64"/>
      <c r="Y89" s="70"/>
      <c r="Z89" s="70"/>
      <c r="AA89" s="70"/>
      <c r="AB89" s="70"/>
      <c r="AC89" s="68"/>
      <c r="AD89" s="120"/>
      <c r="AE89" s="64"/>
      <c r="AF89" s="70"/>
      <c r="AG89" s="70"/>
      <c r="AH89" s="70"/>
      <c r="AI89" s="64"/>
      <c r="AJ89" s="12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120"/>
      <c r="I90" s="120"/>
      <c r="J90" s="79"/>
      <c r="K90" s="70"/>
      <c r="L90" s="70"/>
      <c r="M90" s="70"/>
      <c r="N90" s="70"/>
      <c r="O90" s="120"/>
      <c r="P90" s="120"/>
      <c r="Q90" s="70"/>
      <c r="R90" s="70"/>
      <c r="S90" s="70"/>
      <c r="T90" s="70"/>
      <c r="U90" s="70"/>
      <c r="V90" s="120"/>
      <c r="W90" s="120"/>
      <c r="X90" s="70"/>
      <c r="Y90" s="70"/>
      <c r="Z90" s="70"/>
      <c r="AA90" s="70"/>
      <c r="AB90" s="70"/>
      <c r="AC90" s="120"/>
      <c r="AD90" s="120"/>
      <c r="AE90" s="70"/>
      <c r="AF90" s="70"/>
      <c r="AG90" s="70"/>
      <c r="AH90" s="70"/>
      <c r="AI90" s="70"/>
      <c r="AJ90" s="12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120"/>
      <c r="I91" s="120"/>
      <c r="J91" s="79"/>
      <c r="K91" s="70"/>
      <c r="L91" s="70"/>
      <c r="M91" s="70"/>
      <c r="N91" s="70"/>
      <c r="O91" s="120"/>
      <c r="P91" s="120"/>
      <c r="Q91" s="70"/>
      <c r="R91" s="70"/>
      <c r="S91" s="70"/>
      <c r="T91" s="70"/>
      <c r="U91" s="70"/>
      <c r="V91" s="120"/>
      <c r="W91" s="120"/>
      <c r="X91" s="70"/>
      <c r="Y91" s="70"/>
      <c r="Z91" s="70"/>
      <c r="AA91" s="70"/>
      <c r="AB91" s="70"/>
      <c r="AC91" s="120"/>
      <c r="AD91" s="120"/>
      <c r="AE91" s="70"/>
      <c r="AF91" s="70"/>
      <c r="AG91" s="70"/>
      <c r="AH91" s="70"/>
      <c r="AI91" s="70"/>
      <c r="AJ91" s="12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120"/>
      <c r="I92" s="120"/>
      <c r="J92" s="79"/>
      <c r="K92" s="70"/>
      <c r="L92" s="70"/>
      <c r="M92" s="70"/>
      <c r="N92" s="70"/>
      <c r="O92" s="120"/>
      <c r="P92" s="120"/>
      <c r="Q92" s="70"/>
      <c r="R92" s="70"/>
      <c r="S92" s="70"/>
      <c r="T92" s="70"/>
      <c r="U92" s="70"/>
      <c r="V92" s="120"/>
      <c r="W92" s="120"/>
      <c r="X92" s="70"/>
      <c r="Y92" s="70"/>
      <c r="Z92" s="70"/>
      <c r="AA92" s="70"/>
      <c r="AB92" s="70"/>
      <c r="AC92" s="120"/>
      <c r="AD92" s="120"/>
      <c r="AE92" s="70"/>
      <c r="AF92" s="70"/>
      <c r="AG92" s="70"/>
      <c r="AH92" s="70"/>
      <c r="AI92" s="70"/>
      <c r="AJ92" s="12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120"/>
      <c r="I93" s="120"/>
      <c r="J93" s="79"/>
      <c r="K93" s="70"/>
      <c r="L93" s="70"/>
      <c r="M93" s="70"/>
      <c r="N93" s="70"/>
      <c r="O93" s="120"/>
      <c r="P93" s="120"/>
      <c r="Q93" s="70"/>
      <c r="R93" s="70"/>
      <c r="S93" s="70"/>
      <c r="T93" s="70"/>
      <c r="U93" s="70"/>
      <c r="V93" s="120"/>
      <c r="W93" s="120"/>
      <c r="X93" s="70"/>
      <c r="Y93" s="70"/>
      <c r="Z93" s="70"/>
      <c r="AA93" s="70"/>
      <c r="AB93" s="70"/>
      <c r="AC93" s="120"/>
      <c r="AD93" s="120"/>
      <c r="AE93" s="70"/>
      <c r="AF93" s="70"/>
      <c r="AG93" s="70"/>
      <c r="AH93" s="70"/>
      <c r="AI93" s="70"/>
      <c r="AJ93" s="12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120"/>
      <c r="I94" s="120"/>
      <c r="J94" s="79"/>
      <c r="K94" s="70"/>
      <c r="L94" s="70"/>
      <c r="M94" s="70"/>
      <c r="N94" s="70"/>
      <c r="O94" s="120"/>
      <c r="P94" s="120"/>
      <c r="Q94" s="70"/>
      <c r="R94" s="70"/>
      <c r="S94" s="70"/>
      <c r="T94" s="70"/>
      <c r="U94" s="70"/>
      <c r="V94" s="120"/>
      <c r="W94" s="120"/>
      <c r="X94" s="70"/>
      <c r="Y94" s="70"/>
      <c r="Z94" s="70"/>
      <c r="AA94" s="70"/>
      <c r="AB94" s="70"/>
      <c r="AC94" s="120"/>
      <c r="AD94" s="120"/>
      <c r="AE94" s="70"/>
      <c r="AF94" s="70"/>
      <c r="AG94" s="70"/>
      <c r="AH94" s="70"/>
      <c r="AI94" s="70"/>
      <c r="AJ94" s="12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120"/>
      <c r="I95" s="120"/>
      <c r="J95" s="79"/>
      <c r="K95" s="70"/>
      <c r="L95" s="70"/>
      <c r="M95" s="70"/>
      <c r="N95" s="70"/>
      <c r="O95" s="120"/>
      <c r="P95" s="120"/>
      <c r="Q95" s="70"/>
      <c r="R95" s="70"/>
      <c r="S95" s="70"/>
      <c r="T95" s="70"/>
      <c r="U95" s="70"/>
      <c r="V95" s="120"/>
      <c r="W95" s="120"/>
      <c r="X95" s="70"/>
      <c r="Y95" s="70"/>
      <c r="Z95" s="70"/>
      <c r="AA95" s="70"/>
      <c r="AB95" s="70"/>
      <c r="AC95" s="120"/>
      <c r="AD95" s="120"/>
      <c r="AE95" s="70"/>
      <c r="AF95" s="70"/>
      <c r="AG95" s="70"/>
      <c r="AH95" s="70"/>
      <c r="AI95" s="70"/>
      <c r="AJ95" s="12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8"/>
      <c r="I105" s="68"/>
      <c r="J105" s="65"/>
      <c r="K105" s="64"/>
      <c r="L105" s="64"/>
      <c r="M105" s="64"/>
      <c r="N105" s="64"/>
      <c r="O105" s="68"/>
      <c r="P105" s="68"/>
      <c r="Q105" s="64"/>
      <c r="R105" s="64"/>
      <c r="S105" s="64"/>
      <c r="T105" s="64"/>
      <c r="U105" s="64"/>
      <c r="V105" s="68"/>
      <c r="W105" s="68"/>
      <c r="X105" s="64"/>
      <c r="Y105" s="64"/>
      <c r="Z105" s="64"/>
      <c r="AA105" s="64"/>
      <c r="AB105" s="64"/>
      <c r="AC105" s="68"/>
      <c r="AD105" s="68"/>
      <c r="AE105" s="64"/>
      <c r="AF105" s="64"/>
      <c r="AG105" s="64"/>
      <c r="AH105" s="64"/>
      <c r="AI105" s="64"/>
      <c r="AJ105" s="68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8"/>
      <c r="I106" s="68"/>
      <c r="J106" s="65"/>
      <c r="K106" s="64"/>
      <c r="L106" s="64"/>
      <c r="M106" s="64"/>
      <c r="N106" s="64"/>
      <c r="O106" s="68"/>
      <c r="P106" s="68"/>
      <c r="Q106" s="64"/>
      <c r="R106" s="64"/>
      <c r="S106" s="64"/>
      <c r="T106" s="64"/>
      <c r="U106" s="64"/>
      <c r="V106" s="68"/>
      <c r="W106" s="68"/>
      <c r="X106" s="64"/>
      <c r="Y106" s="64"/>
      <c r="Z106" s="64"/>
      <c r="AA106" s="64"/>
      <c r="AB106" s="64"/>
      <c r="AC106" s="68"/>
      <c r="AD106" s="68"/>
      <c r="AE106" s="64"/>
      <c r="AF106" s="64"/>
      <c r="AG106" s="64"/>
      <c r="AH106" s="64"/>
      <c r="AI106" s="64"/>
      <c r="AJ106" s="68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8"/>
      <c r="I107" s="68"/>
      <c r="J107" s="65"/>
      <c r="K107" s="64"/>
      <c r="L107" s="64"/>
      <c r="M107" s="64"/>
      <c r="N107" s="64"/>
      <c r="O107" s="68"/>
      <c r="P107" s="68"/>
      <c r="Q107" s="64"/>
      <c r="R107" s="64"/>
      <c r="S107" s="64"/>
      <c r="T107" s="64"/>
      <c r="U107" s="64"/>
      <c r="V107" s="68"/>
      <c r="W107" s="68"/>
      <c r="X107" s="64"/>
      <c r="Y107" s="64"/>
      <c r="Z107" s="64"/>
      <c r="AA107" s="64"/>
      <c r="AB107" s="64"/>
      <c r="AC107" s="68"/>
      <c r="AD107" s="68"/>
      <c r="AE107" s="64"/>
      <c r="AF107" s="64"/>
      <c r="AG107" s="64"/>
      <c r="AH107" s="64"/>
      <c r="AI107" s="64"/>
      <c r="AJ107" s="68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8"/>
      <c r="I108" s="68"/>
      <c r="J108" s="65"/>
      <c r="K108" s="64"/>
      <c r="L108" s="64"/>
      <c r="M108" s="64"/>
      <c r="N108" s="64"/>
      <c r="O108" s="68"/>
      <c r="P108" s="68"/>
      <c r="Q108" s="64"/>
      <c r="R108" s="64"/>
      <c r="S108" s="64"/>
      <c r="T108" s="64"/>
      <c r="U108" s="64"/>
      <c r="V108" s="68"/>
      <c r="W108" s="68"/>
      <c r="X108" s="64"/>
      <c r="Y108" s="64"/>
      <c r="Z108" s="64"/>
      <c r="AA108" s="64"/>
      <c r="AB108" s="64"/>
      <c r="AC108" s="68"/>
      <c r="AD108" s="68"/>
      <c r="AE108" s="64"/>
      <c r="AF108" s="64"/>
      <c r="AG108" s="64"/>
      <c r="AH108" s="64"/>
      <c r="AI108" s="64"/>
      <c r="AJ108" s="68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8"/>
      <c r="I109" s="68"/>
      <c r="J109" s="65"/>
      <c r="K109" s="64"/>
      <c r="L109" s="64"/>
      <c r="M109" s="64"/>
      <c r="N109" s="64"/>
      <c r="O109" s="68"/>
      <c r="P109" s="68"/>
      <c r="Q109" s="64"/>
      <c r="R109" s="64"/>
      <c r="S109" s="64"/>
      <c r="T109" s="64"/>
      <c r="U109" s="64"/>
      <c r="V109" s="68"/>
      <c r="W109" s="68"/>
      <c r="X109" s="64"/>
      <c r="Y109" s="64"/>
      <c r="Z109" s="64"/>
      <c r="AA109" s="64"/>
      <c r="AB109" s="64"/>
      <c r="AC109" s="68"/>
      <c r="AD109" s="68"/>
      <c r="AE109" s="64"/>
      <c r="AF109" s="64"/>
      <c r="AG109" s="64"/>
      <c r="AH109" s="64"/>
      <c r="AI109" s="64"/>
      <c r="AJ109" s="68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8"/>
      <c r="I110" s="68"/>
      <c r="J110" s="65"/>
      <c r="K110" s="64"/>
      <c r="L110" s="64"/>
      <c r="M110" s="64"/>
      <c r="N110" s="64"/>
      <c r="O110" s="68"/>
      <c r="P110" s="68"/>
      <c r="Q110" s="64"/>
      <c r="R110" s="64"/>
      <c r="S110" s="64"/>
      <c r="T110" s="64"/>
      <c r="U110" s="64"/>
      <c r="V110" s="68"/>
      <c r="W110" s="68"/>
      <c r="X110" s="64"/>
      <c r="Y110" s="64"/>
      <c r="Z110" s="64"/>
      <c r="AA110" s="64"/>
      <c r="AB110" s="64"/>
      <c r="AC110" s="68"/>
      <c r="AD110" s="68"/>
      <c r="AE110" s="64"/>
      <c r="AF110" s="64"/>
      <c r="AG110" s="64"/>
      <c r="AH110" s="64"/>
      <c r="AI110" s="64"/>
      <c r="AJ110" s="68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8"/>
      <c r="I111" s="68"/>
      <c r="J111" s="65"/>
      <c r="K111" s="64"/>
      <c r="L111" s="64"/>
      <c r="M111" s="64"/>
      <c r="N111" s="64"/>
      <c r="O111" s="68"/>
      <c r="P111" s="68"/>
      <c r="Q111" s="64"/>
      <c r="R111" s="64"/>
      <c r="S111" s="64"/>
      <c r="T111" s="64"/>
      <c r="U111" s="64"/>
      <c r="V111" s="68"/>
      <c r="W111" s="68"/>
      <c r="X111" s="64"/>
      <c r="Y111" s="64"/>
      <c r="Z111" s="64"/>
      <c r="AA111" s="64"/>
      <c r="AB111" s="64"/>
      <c r="AC111" s="68"/>
      <c r="AD111" s="68"/>
      <c r="AE111" s="64"/>
      <c r="AF111" s="64"/>
      <c r="AG111" s="64"/>
      <c r="AH111" s="64"/>
      <c r="AI111" s="64"/>
      <c r="AJ111" s="68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8"/>
      <c r="I112" s="68"/>
      <c r="J112" s="65"/>
      <c r="K112" s="64"/>
      <c r="L112" s="64"/>
      <c r="M112" s="64"/>
      <c r="N112" s="64"/>
      <c r="O112" s="68"/>
      <c r="P112" s="68"/>
      <c r="Q112" s="64"/>
      <c r="R112" s="64"/>
      <c r="S112" s="64"/>
      <c r="T112" s="64"/>
      <c r="U112" s="64"/>
      <c r="V112" s="68"/>
      <c r="W112" s="68"/>
      <c r="X112" s="64"/>
      <c r="Y112" s="64"/>
      <c r="Z112" s="64"/>
      <c r="AA112" s="64"/>
      <c r="AB112" s="64"/>
      <c r="AC112" s="68"/>
      <c r="AD112" s="68"/>
      <c r="AE112" s="64"/>
      <c r="AF112" s="64"/>
      <c r="AG112" s="64"/>
      <c r="AH112" s="64"/>
      <c r="AI112" s="64"/>
      <c r="AJ112" s="68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8"/>
      <c r="I113" s="68"/>
      <c r="J113" s="65"/>
      <c r="K113" s="64"/>
      <c r="L113" s="64"/>
      <c r="M113" s="64"/>
      <c r="N113" s="64"/>
      <c r="O113" s="68"/>
      <c r="P113" s="68"/>
      <c r="Q113" s="64"/>
      <c r="R113" s="64"/>
      <c r="S113" s="64"/>
      <c r="T113" s="64"/>
      <c r="U113" s="64"/>
      <c r="V113" s="68"/>
      <c r="W113" s="68"/>
      <c r="X113" s="64"/>
      <c r="Y113" s="64"/>
      <c r="Z113" s="64"/>
      <c r="AA113" s="64"/>
      <c r="AB113" s="64"/>
      <c r="AC113" s="68"/>
      <c r="AD113" s="68"/>
      <c r="AE113" s="64"/>
      <c r="AF113" s="64"/>
      <c r="AG113" s="64"/>
      <c r="AH113" s="64"/>
      <c r="AI113" s="64"/>
      <c r="AJ113" s="68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8"/>
      <c r="I114" s="68"/>
      <c r="J114" s="65"/>
      <c r="K114" s="64"/>
      <c r="L114" s="64"/>
      <c r="M114" s="64"/>
      <c r="N114" s="64"/>
      <c r="O114" s="68"/>
      <c r="P114" s="68"/>
      <c r="Q114" s="64"/>
      <c r="R114" s="64"/>
      <c r="S114" s="64"/>
      <c r="T114" s="64"/>
      <c r="U114" s="64"/>
      <c r="V114" s="68"/>
      <c r="W114" s="68"/>
      <c r="X114" s="64"/>
      <c r="Y114" s="64"/>
      <c r="Z114" s="64"/>
      <c r="AA114" s="64"/>
      <c r="AB114" s="64"/>
      <c r="AC114" s="68"/>
      <c r="AD114" s="68"/>
      <c r="AE114" s="64"/>
      <c r="AF114" s="64"/>
      <c r="AG114" s="64"/>
      <c r="AH114" s="64"/>
      <c r="AI114" s="64"/>
      <c r="AJ114" s="68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8"/>
      <c r="I115" s="68"/>
      <c r="J115" s="65"/>
      <c r="K115" s="64"/>
      <c r="L115" s="64"/>
      <c r="M115" s="64"/>
      <c r="N115" s="64"/>
      <c r="O115" s="68"/>
      <c r="P115" s="68"/>
      <c r="Q115" s="64"/>
      <c r="R115" s="64"/>
      <c r="S115" s="64"/>
      <c r="T115" s="64"/>
      <c r="U115" s="64"/>
      <c r="V115" s="68"/>
      <c r="W115" s="68"/>
      <c r="X115" s="64"/>
      <c r="Y115" s="64"/>
      <c r="Z115" s="64"/>
      <c r="AA115" s="64"/>
      <c r="AB115" s="64"/>
      <c r="AC115" s="68"/>
      <c r="AD115" s="68"/>
      <c r="AE115" s="64"/>
      <c r="AF115" s="64"/>
      <c r="AG115" s="64"/>
      <c r="AH115" s="64"/>
      <c r="AI115" s="64"/>
      <c r="AJ115" s="68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8"/>
      <c r="I116" s="68"/>
      <c r="J116" s="65"/>
      <c r="K116" s="64"/>
      <c r="L116" s="64"/>
      <c r="M116" s="64"/>
      <c r="N116" s="64"/>
      <c r="O116" s="68"/>
      <c r="P116" s="68"/>
      <c r="Q116" s="64"/>
      <c r="R116" s="64"/>
      <c r="S116" s="64"/>
      <c r="T116" s="64"/>
      <c r="U116" s="64"/>
      <c r="V116" s="68"/>
      <c r="W116" s="68"/>
      <c r="X116" s="64"/>
      <c r="Y116" s="64"/>
      <c r="Z116" s="64"/>
      <c r="AA116" s="64"/>
      <c r="AB116" s="64"/>
      <c r="AC116" s="68"/>
      <c r="AD116" s="68"/>
      <c r="AE116" s="64"/>
      <c r="AF116" s="64"/>
      <c r="AG116" s="64"/>
      <c r="AH116" s="64"/>
      <c r="AI116" s="64"/>
      <c r="AJ116" s="68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124"/>
      <c r="I117" s="124"/>
      <c r="J117" s="93"/>
      <c r="K117" s="92"/>
      <c r="L117" s="92"/>
      <c r="M117" s="92"/>
      <c r="N117" s="92"/>
      <c r="O117" s="124"/>
      <c r="P117" s="124"/>
      <c r="Q117" s="92"/>
      <c r="R117" s="92"/>
      <c r="S117" s="92"/>
      <c r="T117" s="92"/>
      <c r="U117" s="92"/>
      <c r="V117" s="124"/>
      <c r="W117" s="124"/>
      <c r="X117" s="92"/>
      <c r="Y117" s="92"/>
      <c r="Z117" s="92"/>
      <c r="AA117" s="92"/>
      <c r="AB117" s="92"/>
      <c r="AC117" s="124"/>
      <c r="AD117" s="124"/>
      <c r="AE117" s="92"/>
      <c r="AF117" s="92"/>
      <c r="AG117" s="92"/>
      <c r="AH117" s="92"/>
      <c r="AI117" s="92"/>
      <c r="AJ117" s="124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120"/>
      <c r="AD118" s="120"/>
      <c r="AF118" s="70"/>
      <c r="AG118" s="70"/>
      <c r="AI118" s="70"/>
      <c r="AJ118" s="12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23"/>
      <c r="S119" s="156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122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8"/>
      <c r="I122" s="68"/>
      <c r="J122" s="65"/>
      <c r="K122" s="64"/>
      <c r="L122" s="64"/>
      <c r="M122" s="64"/>
      <c r="N122" s="64"/>
      <c r="O122" s="68"/>
      <c r="P122" s="68"/>
      <c r="Q122" s="80"/>
      <c r="R122" s="70"/>
      <c r="S122" s="64"/>
      <c r="T122" s="64"/>
      <c r="U122" s="70"/>
      <c r="V122" s="68"/>
      <c r="W122" s="68"/>
      <c r="X122" s="64"/>
      <c r="Y122" s="64"/>
      <c r="Z122" s="64"/>
      <c r="AA122" s="64"/>
      <c r="AB122" s="64"/>
      <c r="AC122" s="122"/>
      <c r="AD122" s="68"/>
      <c r="AE122" s="64"/>
      <c r="AF122" s="64"/>
      <c r="AG122" s="64"/>
      <c r="AH122" s="64"/>
      <c r="AI122" s="64"/>
      <c r="AJ122" s="12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70"/>
      <c r="W125" s="12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8"/>
      <c r="I126" s="68"/>
      <c r="J126" s="65"/>
      <c r="K126" s="64"/>
      <c r="L126" s="64"/>
      <c r="M126" s="70"/>
      <c r="N126" s="64"/>
      <c r="O126" s="68"/>
      <c r="P126" s="68"/>
      <c r="Q126" s="70"/>
      <c r="R126" s="64"/>
      <c r="S126" s="70"/>
      <c r="T126" s="64"/>
      <c r="U126" s="64"/>
      <c r="V126" s="68"/>
      <c r="W126" s="120"/>
      <c r="X126" s="64"/>
      <c r="Y126" s="64"/>
      <c r="Z126" s="64"/>
      <c r="AA126" s="64"/>
      <c r="AB126" s="64"/>
      <c r="AC126" s="68"/>
      <c r="AD126" s="68"/>
      <c r="AE126" s="64"/>
      <c r="AF126" s="64"/>
      <c r="AG126" s="64"/>
      <c r="AH126" s="64"/>
      <c r="AI126" s="64"/>
      <c r="AJ126" s="68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120"/>
      <c r="I128" s="120"/>
      <c r="J128" s="79"/>
      <c r="M128" s="70"/>
      <c r="N128" s="70"/>
      <c r="O128" s="120"/>
      <c r="P128" s="120"/>
      <c r="Q128" s="70"/>
      <c r="R128" s="70"/>
      <c r="S128" s="70"/>
      <c r="T128" s="70"/>
      <c r="V128" s="120"/>
      <c r="W128" s="120"/>
      <c r="X128" s="70"/>
      <c r="Z128" s="70"/>
      <c r="AA128" s="70"/>
      <c r="AB128" s="70"/>
      <c r="AC128" s="120"/>
      <c r="AD128" s="120"/>
      <c r="AE128" s="70"/>
      <c r="AF128" s="70"/>
      <c r="AG128" s="70"/>
      <c r="AH128" s="70"/>
      <c r="AI128" s="70"/>
      <c r="AJ128" s="12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120"/>
      <c r="J134" s="79"/>
      <c r="M134" s="70"/>
      <c r="N134" s="70"/>
      <c r="O134" s="120"/>
      <c r="P134" s="120"/>
      <c r="Q134" s="70"/>
      <c r="R134" s="70"/>
      <c r="T134" s="70"/>
      <c r="U134" s="70"/>
      <c r="V134" s="120"/>
      <c r="Y134" s="70"/>
      <c r="Z134" s="70"/>
      <c r="AA134" s="70"/>
      <c r="AB134" s="70"/>
      <c r="AC134" s="120"/>
      <c r="AD134" s="12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120"/>
      <c r="AD135" s="120"/>
      <c r="AF135" s="7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121"/>
      <c r="I136" s="121"/>
      <c r="J136" s="74"/>
      <c r="K136" s="73"/>
      <c r="L136" s="73"/>
      <c r="M136" s="73"/>
      <c r="N136" s="73"/>
      <c r="O136" s="121"/>
      <c r="P136" s="121"/>
      <c r="Q136" s="73"/>
      <c r="R136" s="73"/>
      <c r="S136" s="73"/>
      <c r="T136" s="73"/>
      <c r="U136" s="73"/>
      <c r="V136" s="121"/>
      <c r="W136" s="121"/>
      <c r="X136" s="73"/>
      <c r="Y136" s="73"/>
      <c r="Z136" s="73"/>
      <c r="AA136" s="73"/>
      <c r="AB136" s="73"/>
      <c r="AC136" s="121"/>
      <c r="AD136" s="121"/>
      <c r="AE136" s="73"/>
      <c r="AF136" s="73"/>
      <c r="AG136" s="73"/>
      <c r="AH136" s="73"/>
      <c r="AI136" s="73"/>
      <c r="AJ136" s="121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120"/>
      <c r="I137" s="120"/>
      <c r="J137" s="79"/>
      <c r="K137" s="70"/>
      <c r="L137" s="70"/>
      <c r="M137" s="70"/>
      <c r="N137" s="70"/>
      <c r="O137" s="120"/>
      <c r="P137" s="120"/>
      <c r="Q137" s="70"/>
      <c r="R137" s="70"/>
      <c r="S137" s="70"/>
      <c r="T137" s="70"/>
      <c r="U137" s="70"/>
      <c r="V137" s="120"/>
      <c r="W137" s="120"/>
      <c r="X137" s="70"/>
      <c r="Y137" s="70"/>
      <c r="Z137" s="70"/>
      <c r="AA137" s="70"/>
      <c r="AB137" s="70"/>
      <c r="AC137" s="120"/>
      <c r="AD137" s="68"/>
      <c r="AE137" s="64"/>
      <c r="AF137" s="64"/>
      <c r="AG137" s="64"/>
      <c r="AH137" s="64"/>
      <c r="AI137" s="64"/>
      <c r="AJ137" s="68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8"/>
      <c r="I138" s="68"/>
      <c r="J138" s="65"/>
      <c r="K138" s="64"/>
      <c r="L138" s="64"/>
      <c r="M138" s="64"/>
      <c r="N138" s="64"/>
      <c r="O138" s="68"/>
      <c r="P138" s="68"/>
      <c r="Q138" s="64"/>
      <c r="R138" s="64"/>
      <c r="S138" s="64"/>
      <c r="T138" s="64"/>
      <c r="U138" s="64"/>
      <c r="V138" s="68"/>
      <c r="W138" s="68"/>
      <c r="X138" s="64"/>
      <c r="Y138" s="64"/>
      <c r="Z138" s="64"/>
      <c r="AA138" s="64"/>
      <c r="AB138" s="64"/>
      <c r="AC138" s="68"/>
      <c r="AD138" s="68"/>
      <c r="AE138" s="64"/>
      <c r="AF138" s="64"/>
      <c r="AG138" s="64"/>
      <c r="AH138" s="64"/>
      <c r="AI138" s="64"/>
      <c r="AJ138" s="68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J146" s="65"/>
      <c r="K146" s="64"/>
      <c r="L146" s="64"/>
      <c r="M146" s="64"/>
      <c r="N146" s="64"/>
      <c r="Q146" s="64"/>
      <c r="R146" s="64"/>
      <c r="S146" s="64"/>
      <c r="T146" s="64"/>
      <c r="U146" s="64"/>
      <c r="X146" s="64"/>
      <c r="Y146" s="64"/>
      <c r="Z146" s="64"/>
      <c r="AA146" s="64"/>
      <c r="AB146" s="64"/>
      <c r="AE146" s="64"/>
      <c r="AF146" s="64"/>
      <c r="AG146" s="64"/>
      <c r="AH146" s="64"/>
      <c r="AI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J147" s="65"/>
      <c r="K147" s="64"/>
      <c r="L147" s="64"/>
      <c r="M147" s="64"/>
      <c r="N147" s="64"/>
      <c r="Q147" s="64"/>
      <c r="R147" s="64"/>
      <c r="S147" s="64"/>
      <c r="T147" s="64"/>
      <c r="U147" s="64"/>
      <c r="X147" s="64"/>
      <c r="Y147" s="64"/>
      <c r="Z147" s="64"/>
      <c r="AA147" s="64"/>
      <c r="AB147" s="64"/>
      <c r="AE147" s="64"/>
      <c r="AF147" s="64"/>
      <c r="AG147" s="64"/>
      <c r="AH147" s="64"/>
      <c r="AI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J148" s="65"/>
      <c r="K148" s="64"/>
      <c r="L148" s="64"/>
      <c r="M148" s="64"/>
      <c r="N148" s="64"/>
      <c r="Q148" s="64"/>
      <c r="R148" s="64"/>
      <c r="S148" s="64"/>
      <c r="T148" s="64"/>
      <c r="U148" s="64"/>
      <c r="X148" s="64"/>
      <c r="Y148" s="64"/>
      <c r="Z148" s="64"/>
      <c r="AA148" s="64"/>
      <c r="AB148" s="64"/>
      <c r="AE148" s="64"/>
      <c r="AF148" s="64"/>
      <c r="AG148" s="64"/>
      <c r="AH148" s="64"/>
      <c r="AI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J149" s="65"/>
      <c r="K149" s="64"/>
      <c r="L149" s="64"/>
      <c r="M149" s="64"/>
      <c r="N149" s="64"/>
      <c r="Q149" s="64"/>
      <c r="R149" s="64"/>
      <c r="S149" s="64"/>
      <c r="T149" s="64"/>
      <c r="U149" s="64"/>
      <c r="X149" s="64"/>
      <c r="Y149" s="64"/>
      <c r="Z149" s="64"/>
      <c r="AA149" s="64"/>
      <c r="AB149" s="64"/>
      <c r="AE149" s="64"/>
      <c r="AF149" s="64"/>
      <c r="AG149" s="64"/>
      <c r="AH149" s="64"/>
      <c r="AI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J150" s="65"/>
      <c r="K150" s="64"/>
      <c r="L150" s="64"/>
      <c r="M150" s="64"/>
      <c r="N150" s="64"/>
      <c r="Q150" s="64"/>
      <c r="R150" s="64"/>
      <c r="S150" s="64"/>
      <c r="T150" s="64"/>
      <c r="U150" s="64"/>
      <c r="X150" s="64"/>
      <c r="Y150" s="64"/>
      <c r="Z150" s="64"/>
      <c r="AA150" s="64"/>
      <c r="AB150" s="64"/>
      <c r="AE150" s="64"/>
      <c r="AF150" s="64"/>
      <c r="AG150" s="64"/>
      <c r="AH150" s="64"/>
      <c r="AI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J151" s="65"/>
      <c r="K151" s="64"/>
      <c r="L151" s="64"/>
      <c r="M151" s="64"/>
      <c r="N151" s="64"/>
      <c r="Q151" s="64"/>
      <c r="R151" s="64"/>
      <c r="S151" s="64"/>
      <c r="T151" s="64"/>
      <c r="U151" s="64"/>
      <c r="X151" s="64"/>
      <c r="Y151" s="64"/>
      <c r="Z151" s="64"/>
      <c r="AA151" s="64"/>
      <c r="AB151" s="64"/>
      <c r="AE151" s="64"/>
      <c r="AF151" s="64"/>
      <c r="AG151" s="64"/>
      <c r="AH151" s="64"/>
      <c r="AI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J152" s="65"/>
      <c r="K152" s="64"/>
      <c r="L152" s="64"/>
      <c r="M152" s="64"/>
      <c r="N152" s="64"/>
      <c r="Q152" s="64"/>
      <c r="R152" s="64"/>
      <c r="S152" s="64"/>
      <c r="T152" s="64"/>
      <c r="U152" s="64"/>
      <c r="X152" s="64"/>
      <c r="Y152" s="64"/>
      <c r="Z152" s="64"/>
      <c r="AA152" s="64"/>
      <c r="AB152" s="64"/>
      <c r="AE152" s="64"/>
      <c r="AF152" s="64"/>
      <c r="AG152" s="64"/>
      <c r="AH152" s="64"/>
      <c r="AI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J153" s="65"/>
      <c r="K153" s="64"/>
      <c r="L153" s="64"/>
      <c r="M153" s="64"/>
      <c r="N153" s="64"/>
      <c r="Q153" s="64"/>
      <c r="R153" s="64"/>
      <c r="S153" s="64"/>
      <c r="T153" s="64"/>
      <c r="U153" s="64"/>
      <c r="X153" s="64"/>
      <c r="Y153" s="64"/>
      <c r="Z153" s="64"/>
      <c r="AA153" s="64"/>
      <c r="AB153" s="64"/>
      <c r="AE153" s="64"/>
      <c r="AF153" s="64"/>
      <c r="AG153" s="64"/>
      <c r="AH153" s="64"/>
      <c r="AI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J154" s="65"/>
      <c r="K154" s="64"/>
      <c r="L154" s="64"/>
      <c r="M154" s="64"/>
      <c r="N154" s="64"/>
      <c r="Q154" s="64"/>
      <c r="R154" s="64"/>
      <c r="S154" s="64"/>
      <c r="T154" s="64"/>
      <c r="U154" s="64"/>
      <c r="X154" s="64"/>
      <c r="Y154" s="64"/>
      <c r="Z154" s="64"/>
      <c r="AA154" s="64"/>
      <c r="AB154" s="64"/>
      <c r="AE154" s="64"/>
      <c r="AF154" s="64"/>
      <c r="AG154" s="64"/>
      <c r="AH154" s="64"/>
      <c r="AI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J155" s="65"/>
      <c r="K155" s="64"/>
      <c r="L155" s="64"/>
      <c r="M155" s="64"/>
      <c r="N155" s="64"/>
      <c r="Q155" s="64"/>
      <c r="R155" s="64"/>
      <c r="S155" s="64"/>
      <c r="T155" s="64"/>
      <c r="U155" s="64"/>
      <c r="X155" s="64"/>
      <c r="Y155" s="64"/>
      <c r="Z155" s="64"/>
      <c r="AA155" s="64"/>
      <c r="AB155" s="64"/>
      <c r="AE155" s="64"/>
      <c r="AF155" s="64"/>
      <c r="AG155" s="64"/>
      <c r="AH155" s="64"/>
      <c r="AI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J156" s="65"/>
      <c r="K156" s="64"/>
      <c r="L156" s="64"/>
      <c r="M156" s="64"/>
      <c r="N156" s="64"/>
      <c r="Q156" s="64"/>
      <c r="R156" s="64"/>
      <c r="S156" s="64"/>
      <c r="T156" s="64"/>
      <c r="U156" s="64"/>
      <c r="X156" s="64"/>
      <c r="Y156" s="64"/>
      <c r="Z156" s="64"/>
      <c r="AA156" s="64"/>
      <c r="AB156" s="64"/>
      <c r="AE156" s="64"/>
      <c r="AF156" s="64"/>
      <c r="AG156" s="64"/>
      <c r="AH156" s="64"/>
      <c r="AI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J157" s="65"/>
      <c r="K157" s="64"/>
      <c r="L157" s="64"/>
      <c r="M157" s="64"/>
      <c r="N157" s="64"/>
      <c r="Q157" s="64"/>
      <c r="R157" s="64"/>
      <c r="S157" s="64"/>
      <c r="T157" s="64"/>
      <c r="U157" s="64"/>
      <c r="X157" s="64"/>
      <c r="Y157" s="64"/>
      <c r="Z157" s="64"/>
      <c r="AA157" s="64"/>
      <c r="AB157" s="64"/>
      <c r="AE157" s="64"/>
      <c r="AF157" s="64"/>
      <c r="AG157" s="64"/>
      <c r="AH157" s="64"/>
      <c r="AI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J158" s="65"/>
      <c r="K158" s="64"/>
      <c r="L158" s="64"/>
      <c r="M158" s="64"/>
      <c r="N158" s="64"/>
      <c r="Q158" s="64"/>
      <c r="R158" s="64"/>
      <c r="S158" s="64"/>
      <c r="T158" s="64"/>
      <c r="U158" s="64"/>
      <c r="X158" s="64"/>
      <c r="Y158" s="64"/>
      <c r="Z158" s="64"/>
      <c r="AA158" s="64"/>
      <c r="AB158" s="64"/>
      <c r="AE158" s="64"/>
      <c r="AF158" s="64"/>
      <c r="AG158" s="64"/>
      <c r="AH158" s="64"/>
      <c r="AI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J159" s="65"/>
      <c r="K159" s="64"/>
      <c r="L159" s="64"/>
      <c r="M159" s="64"/>
      <c r="N159" s="64"/>
      <c r="Q159" s="64"/>
      <c r="R159" s="64"/>
      <c r="S159" s="64"/>
      <c r="T159" s="64"/>
      <c r="U159" s="64"/>
      <c r="X159" s="64"/>
      <c r="Y159" s="64"/>
      <c r="Z159" s="64"/>
      <c r="AA159" s="64"/>
      <c r="AB159" s="64"/>
      <c r="AE159" s="64"/>
      <c r="AF159" s="64"/>
      <c r="AG159" s="64"/>
      <c r="AH159" s="64"/>
      <c r="AI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J160" s="65"/>
      <c r="K160" s="64"/>
      <c r="L160" s="64"/>
      <c r="M160" s="64"/>
      <c r="N160" s="64"/>
      <c r="Q160" s="64"/>
      <c r="R160" s="64"/>
      <c r="S160" s="64"/>
      <c r="T160" s="64"/>
      <c r="U160" s="64"/>
      <c r="X160" s="64"/>
      <c r="Y160" s="64"/>
      <c r="Z160" s="64"/>
      <c r="AA160" s="64"/>
      <c r="AB160" s="64"/>
      <c r="AE160" s="64"/>
      <c r="AF160" s="64"/>
      <c r="AG160" s="64"/>
      <c r="AH160" s="64"/>
      <c r="AI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J161" s="65"/>
      <c r="K161" s="64"/>
      <c r="L161" s="64"/>
      <c r="M161" s="64"/>
      <c r="N161" s="64"/>
      <c r="Q161" s="64"/>
      <c r="R161" s="64"/>
      <c r="S161" s="64"/>
      <c r="T161" s="64"/>
      <c r="U161" s="64"/>
      <c r="X161" s="64"/>
      <c r="Y161" s="64"/>
      <c r="Z161" s="64"/>
      <c r="AA161" s="64"/>
      <c r="AB161" s="64"/>
      <c r="AE161" s="64"/>
      <c r="AF161" s="64"/>
      <c r="AG161" s="64"/>
      <c r="AH161" s="64"/>
      <c r="AI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J162" s="65"/>
      <c r="K162" s="64"/>
      <c r="L162" s="64"/>
      <c r="M162" s="64"/>
      <c r="N162" s="64"/>
      <c r="Q162" s="64"/>
      <c r="R162" s="64"/>
      <c r="S162" s="64"/>
      <c r="T162" s="64"/>
      <c r="U162" s="64"/>
      <c r="X162" s="64"/>
      <c r="Y162" s="64"/>
      <c r="Z162" s="64"/>
      <c r="AA162" s="64"/>
      <c r="AB162" s="64"/>
      <c r="AE162" s="64"/>
      <c r="AF162" s="64"/>
      <c r="AG162" s="64"/>
      <c r="AH162" s="64"/>
      <c r="AI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J163" s="65"/>
      <c r="K163" s="64"/>
      <c r="L163" s="64"/>
      <c r="M163" s="64"/>
      <c r="N163" s="64"/>
      <c r="Q163" s="64"/>
      <c r="R163" s="64"/>
      <c r="S163" s="64"/>
      <c r="T163" s="64"/>
      <c r="U163" s="64"/>
      <c r="X163" s="64"/>
      <c r="Y163" s="64"/>
      <c r="Z163" s="64"/>
      <c r="AA163" s="64"/>
      <c r="AB163" s="64"/>
      <c r="AE163" s="64"/>
      <c r="AF163" s="64"/>
      <c r="AG163" s="64"/>
      <c r="AH163" s="64"/>
      <c r="AI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J164" s="65"/>
      <c r="K164" s="64"/>
      <c r="L164" s="64"/>
      <c r="M164" s="64"/>
      <c r="N164" s="64"/>
      <c r="Q164" s="64"/>
      <c r="R164" s="64"/>
      <c r="S164" s="64"/>
      <c r="T164" s="64"/>
      <c r="U164" s="64"/>
      <c r="X164" s="64"/>
      <c r="Y164" s="64"/>
      <c r="Z164" s="64"/>
      <c r="AA164" s="64"/>
      <c r="AB164" s="64"/>
      <c r="AE164" s="64"/>
      <c r="AF164" s="64"/>
      <c r="AG164" s="64"/>
      <c r="AH164" s="64"/>
      <c r="AI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J165" s="65"/>
      <c r="K165" s="64"/>
      <c r="L165" s="64"/>
      <c r="M165" s="64"/>
      <c r="N165" s="64"/>
      <c r="Q165" s="64"/>
      <c r="R165" s="64"/>
      <c r="S165" s="64"/>
      <c r="T165" s="64"/>
      <c r="U165" s="64"/>
      <c r="X165" s="64"/>
      <c r="Y165" s="64"/>
      <c r="Z165" s="64"/>
      <c r="AA165" s="64"/>
      <c r="AB165" s="64"/>
      <c r="AE165" s="64"/>
      <c r="AF165" s="64"/>
      <c r="AG165" s="64"/>
      <c r="AH165" s="64"/>
      <c r="AI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J166" s="65"/>
      <c r="K166" s="64"/>
      <c r="L166" s="64"/>
      <c r="M166" s="64"/>
      <c r="N166" s="64"/>
      <c r="Q166" s="64"/>
      <c r="R166" s="64"/>
      <c r="S166" s="64"/>
      <c r="T166" s="64"/>
      <c r="U166" s="64"/>
      <c r="X166" s="64"/>
      <c r="Y166" s="64"/>
      <c r="Z166" s="64"/>
      <c r="AA166" s="64"/>
      <c r="AB166" s="64"/>
      <c r="AE166" s="64"/>
      <c r="AF166" s="64"/>
      <c r="AG166" s="64"/>
      <c r="AH166" s="64"/>
      <c r="AI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J167" s="65"/>
      <c r="K167" s="64"/>
      <c r="L167" s="64"/>
      <c r="M167" s="64"/>
      <c r="N167" s="64"/>
      <c r="Q167" s="64"/>
      <c r="R167" s="64"/>
      <c r="S167" s="64"/>
      <c r="T167" s="64"/>
      <c r="U167" s="64"/>
      <c r="X167" s="64"/>
      <c r="Y167" s="64"/>
      <c r="Z167" s="64"/>
      <c r="AA167" s="64"/>
      <c r="AB167" s="64"/>
      <c r="AE167" s="64"/>
      <c r="AF167" s="64"/>
      <c r="AG167" s="64"/>
      <c r="AH167" s="64"/>
      <c r="AI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J168" s="65"/>
      <c r="K168" s="64"/>
      <c r="L168" s="64"/>
      <c r="M168" s="64"/>
      <c r="N168" s="64"/>
      <c r="Q168" s="64"/>
      <c r="R168" s="64"/>
      <c r="S168" s="64"/>
      <c r="T168" s="64"/>
      <c r="U168" s="64"/>
      <c r="X168" s="64"/>
      <c r="Y168" s="64"/>
      <c r="Z168" s="64"/>
      <c r="AA168" s="64"/>
      <c r="AB168" s="64"/>
      <c r="AE168" s="64"/>
      <c r="AF168" s="64"/>
      <c r="AG168" s="64"/>
      <c r="AH168" s="64"/>
      <c r="AI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J169" s="65"/>
      <c r="K169" s="64"/>
      <c r="L169" s="64"/>
      <c r="M169" s="64"/>
      <c r="N169" s="64"/>
      <c r="Q169" s="64"/>
      <c r="R169" s="64"/>
      <c r="S169" s="64"/>
      <c r="T169" s="64"/>
      <c r="U169" s="64"/>
      <c r="X169" s="64"/>
      <c r="Y169" s="64"/>
      <c r="Z169" s="64"/>
      <c r="AA169" s="64"/>
      <c r="AB169" s="64"/>
      <c r="AE169" s="64"/>
      <c r="AF169" s="64"/>
      <c r="AG169" s="64"/>
      <c r="AH169" s="64"/>
      <c r="AI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J170" s="65"/>
      <c r="K170" s="64"/>
      <c r="L170" s="64"/>
      <c r="M170" s="64"/>
      <c r="N170" s="64"/>
      <c r="Q170" s="64"/>
      <c r="R170" s="64"/>
      <c r="S170" s="64"/>
      <c r="T170" s="64"/>
      <c r="U170" s="64"/>
      <c r="X170" s="64"/>
      <c r="Y170" s="64"/>
      <c r="Z170" s="64"/>
      <c r="AA170" s="64"/>
      <c r="AB170" s="64"/>
      <c r="AE170" s="64"/>
      <c r="AF170" s="64"/>
      <c r="AG170" s="64"/>
      <c r="AH170" s="64"/>
      <c r="AI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J171" s="65"/>
      <c r="K171" s="64"/>
      <c r="L171" s="64"/>
      <c r="M171" s="64"/>
      <c r="N171" s="64"/>
      <c r="Q171" s="64"/>
      <c r="R171" s="64"/>
      <c r="S171" s="64"/>
      <c r="T171" s="64"/>
      <c r="U171" s="64"/>
      <c r="X171" s="64"/>
      <c r="Y171" s="64"/>
      <c r="Z171" s="64"/>
      <c r="AA171" s="64"/>
      <c r="AB171" s="64"/>
      <c r="AE171" s="64"/>
      <c r="AF171" s="64"/>
      <c r="AG171" s="64"/>
      <c r="AH171" s="64"/>
      <c r="AI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J172" s="65"/>
      <c r="K172" s="64"/>
      <c r="L172" s="64"/>
      <c r="M172" s="64"/>
      <c r="N172" s="64"/>
      <c r="Q172" s="64"/>
      <c r="R172" s="64"/>
      <c r="S172" s="64"/>
      <c r="T172" s="64"/>
      <c r="U172" s="64"/>
      <c r="X172" s="64"/>
      <c r="Y172" s="64"/>
      <c r="Z172" s="64"/>
      <c r="AA172" s="64"/>
      <c r="AB172" s="64"/>
      <c r="AE172" s="64"/>
      <c r="AF172" s="64"/>
      <c r="AG172" s="64"/>
      <c r="AH172" s="64"/>
      <c r="AI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J173" s="65"/>
      <c r="K173" s="64"/>
      <c r="L173" s="64"/>
      <c r="M173" s="64"/>
      <c r="N173" s="64"/>
      <c r="Q173" s="64"/>
      <c r="R173" s="64"/>
      <c r="S173" s="64"/>
      <c r="T173" s="64"/>
      <c r="U173" s="64"/>
      <c r="X173" s="64"/>
      <c r="Y173" s="64"/>
      <c r="Z173" s="64"/>
      <c r="AA173" s="64"/>
      <c r="AB173" s="64"/>
      <c r="AE173" s="64"/>
      <c r="AF173" s="64"/>
      <c r="AG173" s="64"/>
      <c r="AH173" s="64"/>
      <c r="AI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J174" s="65"/>
      <c r="K174" s="64"/>
      <c r="L174" s="64"/>
      <c r="M174" s="64"/>
      <c r="N174" s="64"/>
      <c r="Q174" s="64"/>
      <c r="R174" s="64"/>
      <c r="S174" s="64"/>
      <c r="T174" s="64"/>
      <c r="U174" s="64"/>
      <c r="X174" s="64"/>
      <c r="Y174" s="64"/>
      <c r="Z174" s="64"/>
      <c r="AA174" s="64"/>
      <c r="AB174" s="64"/>
      <c r="AE174" s="64"/>
      <c r="AF174" s="64"/>
      <c r="AG174" s="64"/>
      <c r="AH174" s="64"/>
      <c r="AI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J175" s="65"/>
      <c r="K175" s="64"/>
      <c r="L175" s="64"/>
      <c r="M175" s="64"/>
      <c r="N175" s="64"/>
      <c r="Q175" s="64"/>
      <c r="R175" s="64"/>
      <c r="S175" s="64"/>
      <c r="T175" s="64"/>
      <c r="U175" s="64"/>
      <c r="X175" s="64"/>
      <c r="Y175" s="64"/>
      <c r="Z175" s="64"/>
      <c r="AA175" s="64"/>
      <c r="AB175" s="64"/>
      <c r="AE175" s="64"/>
      <c r="AF175" s="64"/>
      <c r="AG175" s="64"/>
      <c r="AH175" s="64"/>
      <c r="AI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J176" s="65"/>
      <c r="K176" s="64"/>
      <c r="L176" s="64"/>
      <c r="M176" s="64"/>
      <c r="N176" s="64"/>
      <c r="Q176" s="64"/>
      <c r="R176" s="64"/>
      <c r="S176" s="64"/>
      <c r="T176" s="64"/>
      <c r="U176" s="64"/>
      <c r="X176" s="64"/>
      <c r="Y176" s="64"/>
      <c r="Z176" s="64"/>
      <c r="AA176" s="64"/>
      <c r="AB176" s="64"/>
      <c r="AE176" s="64"/>
      <c r="AF176" s="64"/>
      <c r="AG176" s="64"/>
      <c r="AH176" s="64"/>
      <c r="AI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J177" s="65"/>
      <c r="K177" s="64"/>
      <c r="L177" s="64"/>
      <c r="M177" s="64"/>
      <c r="N177" s="64"/>
      <c r="Q177" s="64"/>
      <c r="R177" s="64"/>
      <c r="S177" s="64"/>
      <c r="T177" s="64"/>
      <c r="U177" s="64"/>
      <c r="X177" s="64"/>
      <c r="Y177" s="64"/>
      <c r="Z177" s="64"/>
      <c r="AA177" s="64"/>
      <c r="AB177" s="64"/>
      <c r="AE177" s="64"/>
      <c r="AF177" s="64"/>
      <c r="AG177" s="64"/>
      <c r="AH177" s="64"/>
      <c r="AI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J178" s="65"/>
      <c r="K178" s="64"/>
      <c r="L178" s="64"/>
      <c r="M178" s="64"/>
      <c r="N178" s="64"/>
      <c r="Q178" s="64"/>
      <c r="R178" s="64"/>
      <c r="S178" s="64"/>
      <c r="T178" s="64"/>
      <c r="U178" s="64"/>
      <c r="X178" s="64"/>
      <c r="Y178" s="64"/>
      <c r="Z178" s="64"/>
      <c r="AA178" s="64"/>
      <c r="AB178" s="64"/>
      <c r="AE178" s="64"/>
      <c r="AF178" s="64"/>
      <c r="AG178" s="64"/>
      <c r="AH178" s="64"/>
      <c r="AI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J179" s="65"/>
      <c r="K179" s="64"/>
      <c r="L179" s="64"/>
      <c r="M179" s="64"/>
      <c r="N179" s="64"/>
      <c r="Q179" s="64"/>
      <c r="R179" s="64"/>
      <c r="S179" s="64"/>
      <c r="T179" s="64"/>
      <c r="U179" s="64"/>
      <c r="X179" s="64"/>
      <c r="Y179" s="64"/>
      <c r="Z179" s="64"/>
      <c r="AA179" s="64"/>
      <c r="AB179" s="64"/>
      <c r="AE179" s="64"/>
      <c r="AF179" s="64"/>
      <c r="AG179" s="64"/>
      <c r="AH179" s="64"/>
      <c r="AI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J180" s="65"/>
      <c r="K180" s="64"/>
      <c r="L180" s="64"/>
      <c r="M180" s="64"/>
      <c r="N180" s="64"/>
      <c r="Q180" s="64"/>
      <c r="R180" s="64"/>
      <c r="S180" s="64"/>
      <c r="T180" s="64"/>
      <c r="U180" s="64"/>
      <c r="X180" s="64"/>
      <c r="Y180" s="64"/>
      <c r="Z180" s="64"/>
      <c r="AA180" s="64"/>
      <c r="AB180" s="64"/>
      <c r="AE180" s="64"/>
      <c r="AF180" s="64"/>
      <c r="AG180" s="64"/>
      <c r="AH180" s="64"/>
      <c r="AI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J181" s="65"/>
      <c r="K181" s="64"/>
      <c r="L181" s="64"/>
      <c r="M181" s="64"/>
      <c r="N181" s="64"/>
      <c r="Q181" s="64"/>
      <c r="R181" s="64"/>
      <c r="S181" s="64"/>
      <c r="T181" s="64"/>
      <c r="U181" s="64"/>
      <c r="X181" s="64"/>
      <c r="Y181" s="64"/>
      <c r="Z181" s="64"/>
      <c r="AA181" s="64"/>
      <c r="AB181" s="64"/>
      <c r="AE181" s="64"/>
      <c r="AF181" s="64"/>
      <c r="AG181" s="64"/>
      <c r="AH181" s="64"/>
      <c r="AI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J182" s="65"/>
      <c r="K182" s="64"/>
      <c r="L182" s="64"/>
      <c r="M182" s="64"/>
      <c r="N182" s="64"/>
      <c r="Q182" s="64"/>
      <c r="R182" s="64"/>
      <c r="S182" s="64"/>
      <c r="T182" s="64"/>
      <c r="U182" s="64"/>
      <c r="X182" s="64"/>
      <c r="Y182" s="64"/>
      <c r="Z182" s="64"/>
      <c r="AA182" s="64"/>
      <c r="AB182" s="64"/>
      <c r="AE182" s="64"/>
      <c r="AF182" s="64"/>
      <c r="AG182" s="64"/>
      <c r="AH182" s="64"/>
      <c r="AI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J183" s="65"/>
      <c r="K183" s="64"/>
      <c r="L183" s="64"/>
      <c r="M183" s="64"/>
      <c r="N183" s="64"/>
      <c r="Q183" s="64"/>
      <c r="R183" s="64"/>
      <c r="S183" s="64"/>
      <c r="T183" s="64"/>
      <c r="U183" s="64"/>
      <c r="X183" s="64"/>
      <c r="Y183" s="64"/>
      <c r="Z183" s="64"/>
      <c r="AA183" s="64"/>
      <c r="AB183" s="64"/>
      <c r="AE183" s="64"/>
      <c r="AF183" s="64"/>
      <c r="AG183" s="64"/>
      <c r="AH183" s="64"/>
      <c r="AI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J184" s="65"/>
      <c r="K184" s="64"/>
      <c r="L184" s="64"/>
      <c r="M184" s="64"/>
      <c r="N184" s="64"/>
      <c r="Q184" s="64"/>
      <c r="R184" s="64"/>
      <c r="S184" s="64"/>
      <c r="T184" s="64"/>
      <c r="U184" s="64"/>
      <c r="X184" s="64"/>
      <c r="Y184" s="64"/>
      <c r="Z184" s="64"/>
      <c r="AA184" s="64"/>
      <c r="AB184" s="64"/>
      <c r="AE184" s="64"/>
      <c r="AF184" s="64"/>
      <c r="AG184" s="64"/>
      <c r="AH184" s="64"/>
      <c r="AI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J185" s="65"/>
      <c r="K185" s="64"/>
      <c r="L185" s="64"/>
      <c r="M185" s="64"/>
      <c r="N185" s="64"/>
      <c r="Q185" s="64"/>
      <c r="R185" s="64"/>
      <c r="S185" s="64"/>
      <c r="T185" s="64"/>
      <c r="U185" s="64"/>
      <c r="X185" s="64"/>
      <c r="Y185" s="64"/>
      <c r="Z185" s="64"/>
      <c r="AA185" s="64"/>
      <c r="AB185" s="64"/>
      <c r="AE185" s="64"/>
      <c r="AF185" s="64"/>
      <c r="AG185" s="64"/>
      <c r="AH185" s="64"/>
      <c r="AI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J186" s="65"/>
      <c r="K186" s="64"/>
      <c r="L186" s="64"/>
      <c r="M186" s="64"/>
      <c r="N186" s="64"/>
      <c r="Q186" s="64"/>
      <c r="R186" s="64"/>
      <c r="S186" s="64"/>
      <c r="T186" s="64"/>
      <c r="U186" s="64"/>
      <c r="X186" s="64"/>
      <c r="Y186" s="64"/>
      <c r="Z186" s="64"/>
      <c r="AA186" s="64"/>
      <c r="AB186" s="64"/>
      <c r="AE186" s="64"/>
      <c r="AF186" s="64"/>
      <c r="AG186" s="64"/>
      <c r="AH186" s="64"/>
      <c r="AI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J187" s="65"/>
      <c r="K187" s="64"/>
      <c r="L187" s="64"/>
      <c r="M187" s="64"/>
      <c r="N187" s="64"/>
      <c r="Q187" s="64"/>
      <c r="R187" s="64"/>
      <c r="S187" s="64"/>
      <c r="T187" s="64"/>
      <c r="U187" s="64"/>
      <c r="X187" s="64"/>
      <c r="Y187" s="64"/>
      <c r="Z187" s="64"/>
      <c r="AA187" s="64"/>
      <c r="AB187" s="64"/>
      <c r="AE187" s="64"/>
      <c r="AF187" s="64"/>
      <c r="AG187" s="64"/>
      <c r="AH187" s="64"/>
      <c r="AI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J188" s="65"/>
      <c r="K188" s="64"/>
      <c r="L188" s="64"/>
      <c r="M188" s="64"/>
      <c r="N188" s="64"/>
      <c r="Q188" s="64"/>
      <c r="R188" s="64"/>
      <c r="S188" s="64"/>
      <c r="T188" s="64"/>
      <c r="U188" s="64"/>
      <c r="X188" s="64"/>
      <c r="Y188" s="64"/>
      <c r="Z188" s="64"/>
      <c r="AA188" s="64"/>
      <c r="AB188" s="64"/>
      <c r="AE188" s="64"/>
      <c r="AF188" s="64"/>
      <c r="AG188" s="64"/>
      <c r="AH188" s="64"/>
      <c r="AI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J189" s="65"/>
      <c r="K189" s="64"/>
      <c r="L189" s="64"/>
      <c r="M189" s="64"/>
      <c r="N189" s="64"/>
      <c r="Q189" s="64"/>
      <c r="R189" s="64"/>
      <c r="S189" s="64"/>
      <c r="T189" s="64"/>
      <c r="U189" s="64"/>
      <c r="X189" s="64"/>
      <c r="Y189" s="64"/>
      <c r="Z189" s="64"/>
      <c r="AA189" s="64"/>
      <c r="AB189" s="64"/>
      <c r="AE189" s="64"/>
      <c r="AF189" s="64"/>
      <c r="AG189" s="64"/>
      <c r="AH189" s="64"/>
      <c r="AI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J190" s="65"/>
      <c r="K190" s="64"/>
      <c r="L190" s="64"/>
      <c r="M190" s="64"/>
      <c r="N190" s="64"/>
      <c r="Q190" s="64"/>
      <c r="R190" s="64"/>
      <c r="S190" s="64"/>
      <c r="T190" s="64"/>
      <c r="U190" s="64"/>
      <c r="X190" s="64"/>
      <c r="Y190" s="64"/>
      <c r="Z190" s="64"/>
      <c r="AA190" s="64"/>
      <c r="AB190" s="64"/>
      <c r="AE190" s="64"/>
      <c r="AF190" s="64"/>
      <c r="AG190" s="64"/>
      <c r="AH190" s="64"/>
      <c r="AI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J191" s="65"/>
      <c r="K191" s="64"/>
      <c r="L191" s="64"/>
      <c r="M191" s="64"/>
      <c r="N191" s="64"/>
      <c r="Q191" s="64"/>
      <c r="R191" s="64"/>
      <c r="S191" s="64"/>
      <c r="T191" s="64"/>
      <c r="U191" s="64"/>
      <c r="X191" s="64"/>
      <c r="Y191" s="64"/>
      <c r="Z191" s="64"/>
      <c r="AA191" s="64"/>
      <c r="AB191" s="64"/>
      <c r="AE191" s="64"/>
      <c r="AF191" s="64"/>
      <c r="AG191" s="64"/>
      <c r="AH191" s="64"/>
      <c r="AI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J192" s="65"/>
      <c r="K192" s="64"/>
      <c r="L192" s="64"/>
      <c r="M192" s="64"/>
      <c r="N192" s="64"/>
      <c r="Q192" s="64"/>
      <c r="R192" s="64"/>
      <c r="S192" s="64"/>
      <c r="T192" s="64"/>
      <c r="U192" s="64"/>
      <c r="X192" s="64"/>
      <c r="Y192" s="64"/>
      <c r="Z192" s="64"/>
      <c r="AA192" s="64"/>
      <c r="AB192" s="64"/>
      <c r="AE192" s="64"/>
      <c r="AF192" s="64"/>
      <c r="AG192" s="64"/>
      <c r="AH192" s="64"/>
      <c r="AI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J193" s="65"/>
      <c r="K193" s="64"/>
      <c r="L193" s="64"/>
      <c r="M193" s="64"/>
      <c r="N193" s="64"/>
      <c r="Q193" s="64"/>
      <c r="R193" s="64"/>
      <c r="S193" s="64"/>
      <c r="T193" s="64"/>
      <c r="U193" s="64"/>
      <c r="X193" s="64"/>
      <c r="Y193" s="64"/>
      <c r="Z193" s="64"/>
      <c r="AA193" s="64"/>
      <c r="AB193" s="64"/>
      <c r="AE193" s="64"/>
      <c r="AF193" s="64"/>
      <c r="AG193" s="64"/>
      <c r="AH193" s="64"/>
      <c r="AI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J194" s="65"/>
      <c r="K194" s="64"/>
      <c r="L194" s="64"/>
      <c r="M194" s="64"/>
      <c r="N194" s="64"/>
      <c r="Q194" s="64"/>
      <c r="R194" s="64"/>
      <c r="S194" s="64"/>
      <c r="T194" s="64"/>
      <c r="U194" s="64"/>
      <c r="X194" s="64"/>
      <c r="Y194" s="64"/>
      <c r="Z194" s="64"/>
      <c r="AA194" s="64"/>
      <c r="AB194" s="64"/>
      <c r="AE194" s="64"/>
      <c r="AF194" s="64"/>
      <c r="AG194" s="64"/>
      <c r="AH194" s="64"/>
      <c r="AI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J195" s="65"/>
      <c r="K195" s="64"/>
      <c r="L195" s="64"/>
      <c r="M195" s="64"/>
      <c r="N195" s="64"/>
      <c r="Q195" s="64"/>
      <c r="R195" s="64"/>
      <c r="S195" s="64"/>
      <c r="T195" s="64"/>
      <c r="U195" s="64"/>
      <c r="X195" s="64"/>
      <c r="Y195" s="64"/>
      <c r="Z195" s="64"/>
      <c r="AA195" s="64"/>
      <c r="AB195" s="64"/>
      <c r="AE195" s="64"/>
      <c r="AF195" s="64"/>
      <c r="AG195" s="64"/>
      <c r="AH195" s="64"/>
      <c r="AI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J196" s="65"/>
      <c r="K196" s="64"/>
      <c r="L196" s="64"/>
      <c r="M196" s="64"/>
      <c r="N196" s="64"/>
      <c r="Q196" s="64"/>
      <c r="R196" s="64"/>
      <c r="S196" s="64"/>
      <c r="T196" s="64"/>
      <c r="U196" s="64"/>
      <c r="X196" s="64"/>
      <c r="Y196" s="64"/>
      <c r="Z196" s="64"/>
      <c r="AA196" s="64"/>
      <c r="AB196" s="64"/>
      <c r="AE196" s="64"/>
      <c r="AF196" s="64"/>
      <c r="AG196" s="64"/>
      <c r="AH196" s="64"/>
      <c r="AI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J197" s="65"/>
      <c r="K197" s="64"/>
      <c r="L197" s="64"/>
      <c r="M197" s="64"/>
      <c r="N197" s="64"/>
      <c r="Q197" s="64"/>
      <c r="R197" s="64"/>
      <c r="S197" s="64"/>
      <c r="T197" s="64"/>
      <c r="U197" s="64"/>
      <c r="X197" s="64"/>
      <c r="Y197" s="64"/>
      <c r="Z197" s="64"/>
      <c r="AA197" s="64"/>
      <c r="AB197" s="64"/>
      <c r="AE197" s="64"/>
      <c r="AF197" s="64"/>
      <c r="AG197" s="64"/>
      <c r="AH197" s="64"/>
      <c r="AI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J198" s="65"/>
      <c r="K198" s="64"/>
      <c r="L198" s="64"/>
      <c r="M198" s="64"/>
      <c r="N198" s="64"/>
      <c r="Q198" s="64"/>
      <c r="R198" s="64"/>
      <c r="S198" s="64"/>
      <c r="T198" s="64"/>
      <c r="U198" s="64"/>
      <c r="X198" s="64"/>
      <c r="Y198" s="64"/>
      <c r="Z198" s="64"/>
      <c r="AA198" s="64"/>
      <c r="AB198" s="64"/>
      <c r="AE198" s="64"/>
      <c r="AF198" s="64"/>
      <c r="AG198" s="64"/>
      <c r="AH198" s="64"/>
      <c r="AI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J199" s="65"/>
      <c r="K199" s="64"/>
      <c r="L199" s="64"/>
      <c r="M199" s="64"/>
      <c r="N199" s="64"/>
      <c r="Q199" s="64"/>
      <c r="R199" s="64"/>
      <c r="S199" s="64"/>
      <c r="T199" s="64"/>
      <c r="U199" s="64"/>
      <c r="X199" s="64"/>
      <c r="Y199" s="64"/>
      <c r="Z199" s="64"/>
      <c r="AA199" s="64"/>
      <c r="AB199" s="64"/>
      <c r="AE199" s="64"/>
      <c r="AF199" s="64"/>
      <c r="AG199" s="64"/>
      <c r="AH199" s="64"/>
      <c r="AI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J200" s="65"/>
      <c r="K200" s="64"/>
      <c r="L200" s="64"/>
      <c r="M200" s="64"/>
      <c r="N200" s="64"/>
      <c r="Q200" s="64"/>
      <c r="R200" s="64"/>
      <c r="S200" s="64"/>
      <c r="T200" s="64"/>
      <c r="U200" s="64"/>
      <c r="X200" s="64"/>
      <c r="Y200" s="64"/>
      <c r="Z200" s="64"/>
      <c r="AA200" s="64"/>
      <c r="AB200" s="64"/>
      <c r="AE200" s="64"/>
      <c r="AF200" s="64"/>
      <c r="AG200" s="64"/>
      <c r="AH200" s="64"/>
      <c r="AI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J201" s="65"/>
      <c r="K201" s="64"/>
      <c r="L201" s="64"/>
      <c r="M201" s="64"/>
      <c r="N201" s="64"/>
      <c r="Q201" s="64"/>
      <c r="R201" s="64"/>
      <c r="S201" s="64"/>
      <c r="T201" s="64"/>
      <c r="U201" s="64"/>
      <c r="X201" s="64"/>
      <c r="Y201" s="64"/>
      <c r="Z201" s="64"/>
      <c r="AA201" s="64"/>
      <c r="AB201" s="64"/>
      <c r="AE201" s="64"/>
      <c r="AF201" s="64"/>
      <c r="AG201" s="64"/>
      <c r="AH201" s="64"/>
      <c r="AI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J202" s="65"/>
      <c r="K202" s="64"/>
      <c r="L202" s="64"/>
      <c r="M202" s="64"/>
      <c r="N202" s="64"/>
      <c r="Q202" s="64"/>
      <c r="R202" s="64"/>
      <c r="S202" s="64"/>
      <c r="T202" s="64"/>
      <c r="U202" s="64"/>
      <c r="X202" s="64"/>
      <c r="Y202" s="64"/>
      <c r="Z202" s="64"/>
      <c r="AA202" s="64"/>
      <c r="AB202" s="64"/>
      <c r="AE202" s="64"/>
      <c r="AF202" s="64"/>
      <c r="AG202" s="64"/>
      <c r="AH202" s="64"/>
      <c r="AI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J203" s="65"/>
      <c r="K203" s="64"/>
      <c r="L203" s="64"/>
      <c r="M203" s="64"/>
      <c r="N203" s="64"/>
      <c r="Q203" s="64"/>
      <c r="R203" s="64"/>
      <c r="S203" s="64"/>
      <c r="T203" s="64"/>
      <c r="U203" s="64"/>
      <c r="X203" s="64"/>
      <c r="Y203" s="64"/>
      <c r="Z203" s="64"/>
      <c r="AA203" s="64"/>
      <c r="AB203" s="64"/>
      <c r="AE203" s="64"/>
      <c r="AF203" s="64"/>
      <c r="AG203" s="64"/>
      <c r="AH203" s="64"/>
      <c r="AI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J204" s="65"/>
      <c r="K204" s="64"/>
      <c r="L204" s="64"/>
      <c r="M204" s="64"/>
      <c r="N204" s="64"/>
      <c r="Q204" s="64"/>
      <c r="R204" s="64"/>
      <c r="S204" s="64"/>
      <c r="T204" s="64"/>
      <c r="U204" s="64"/>
      <c r="X204" s="64"/>
      <c r="Y204" s="64"/>
      <c r="Z204" s="64"/>
      <c r="AA204" s="64"/>
      <c r="AB204" s="64"/>
      <c r="AE204" s="64"/>
      <c r="AF204" s="64"/>
      <c r="AG204" s="64"/>
      <c r="AH204" s="64"/>
      <c r="AI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J205" s="65"/>
      <c r="K205" s="64"/>
      <c r="L205" s="64"/>
      <c r="M205" s="64"/>
      <c r="N205" s="64"/>
      <c r="Q205" s="64"/>
      <c r="R205" s="64"/>
      <c r="S205" s="64"/>
      <c r="T205" s="64"/>
      <c r="U205" s="64"/>
      <c r="X205" s="64"/>
      <c r="Y205" s="64"/>
      <c r="Z205" s="64"/>
      <c r="AA205" s="64"/>
      <c r="AB205" s="64"/>
      <c r="AE205" s="64"/>
      <c r="AF205" s="64"/>
      <c r="AG205" s="64"/>
      <c r="AH205" s="64"/>
      <c r="AI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J206" s="65"/>
      <c r="K206" s="64"/>
      <c r="L206" s="64"/>
      <c r="M206" s="64"/>
      <c r="N206" s="64"/>
      <c r="Q206" s="64"/>
      <c r="R206" s="64"/>
      <c r="S206" s="64"/>
      <c r="T206" s="64"/>
      <c r="U206" s="64"/>
      <c r="X206" s="64"/>
      <c r="Y206" s="64"/>
      <c r="Z206" s="64"/>
      <c r="AA206" s="64"/>
      <c r="AB206" s="64"/>
      <c r="AE206" s="64"/>
      <c r="AF206" s="64"/>
      <c r="AG206" s="64"/>
      <c r="AH206" s="64"/>
      <c r="AI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J207" s="65"/>
      <c r="K207" s="64"/>
      <c r="L207" s="64"/>
      <c r="M207" s="64"/>
      <c r="N207" s="64"/>
      <c r="Q207" s="64"/>
      <c r="R207" s="64"/>
      <c r="S207" s="64"/>
      <c r="T207" s="64"/>
      <c r="U207" s="64"/>
      <c r="X207" s="64"/>
      <c r="Y207" s="64"/>
      <c r="Z207" s="64"/>
      <c r="AA207" s="64"/>
      <c r="AB207" s="64"/>
      <c r="AE207" s="64"/>
      <c r="AF207" s="64"/>
      <c r="AG207" s="64"/>
      <c r="AH207" s="64"/>
      <c r="AI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J208" s="65"/>
      <c r="K208" s="64"/>
      <c r="L208" s="64"/>
      <c r="M208" s="64"/>
      <c r="N208" s="64"/>
      <c r="Q208" s="64"/>
      <c r="R208" s="64"/>
      <c r="S208" s="64"/>
      <c r="T208" s="64"/>
      <c r="U208" s="64"/>
      <c r="X208" s="64"/>
      <c r="Y208" s="64"/>
      <c r="Z208" s="64"/>
      <c r="AA208" s="64"/>
      <c r="AB208" s="64"/>
      <c r="AE208" s="64"/>
      <c r="AF208" s="64"/>
      <c r="AG208" s="64"/>
      <c r="AH208" s="64"/>
      <c r="AI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J209" s="65"/>
      <c r="K209" s="64"/>
      <c r="L209" s="64"/>
      <c r="M209" s="64"/>
      <c r="N209" s="64"/>
      <c r="Q209" s="64"/>
      <c r="R209" s="64"/>
      <c r="S209" s="64"/>
      <c r="T209" s="64"/>
      <c r="U209" s="64"/>
      <c r="X209" s="64"/>
      <c r="Y209" s="64"/>
      <c r="Z209" s="64"/>
      <c r="AA209" s="64"/>
      <c r="AB209" s="64"/>
      <c r="AE209" s="64"/>
      <c r="AF209" s="64"/>
      <c r="AG209" s="64"/>
      <c r="AH209" s="64"/>
      <c r="AI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J210" s="65"/>
      <c r="K210" s="64"/>
      <c r="L210" s="64"/>
      <c r="M210" s="64"/>
      <c r="N210" s="64"/>
      <c r="Q210" s="64"/>
      <c r="R210" s="64"/>
      <c r="S210" s="64"/>
      <c r="T210" s="64"/>
      <c r="U210" s="64"/>
      <c r="X210" s="64"/>
      <c r="Y210" s="64"/>
      <c r="Z210" s="64"/>
      <c r="AA210" s="64"/>
      <c r="AB210" s="64"/>
      <c r="AE210" s="64"/>
      <c r="AF210" s="64"/>
      <c r="AG210" s="64"/>
      <c r="AH210" s="64"/>
      <c r="AI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J211" s="65"/>
      <c r="K211" s="64"/>
      <c r="L211" s="64"/>
      <c r="M211" s="64"/>
      <c r="N211" s="64"/>
      <c r="Q211" s="64"/>
      <c r="R211" s="64"/>
      <c r="S211" s="64"/>
      <c r="T211" s="64"/>
      <c r="U211" s="64"/>
      <c r="X211" s="64"/>
      <c r="Y211" s="64"/>
      <c r="Z211" s="64"/>
      <c r="AA211" s="64"/>
      <c r="AB211" s="64"/>
      <c r="AE211" s="64"/>
      <c r="AF211" s="64"/>
      <c r="AG211" s="64"/>
      <c r="AH211" s="64"/>
      <c r="AI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J212" s="65"/>
      <c r="K212" s="64"/>
      <c r="L212" s="64"/>
      <c r="M212" s="64"/>
      <c r="N212" s="64"/>
      <c r="Q212" s="64"/>
      <c r="R212" s="64"/>
      <c r="S212" s="64"/>
      <c r="T212" s="64"/>
      <c r="U212" s="64"/>
      <c r="X212" s="64"/>
      <c r="Y212" s="64"/>
      <c r="Z212" s="64"/>
      <c r="AA212" s="64"/>
      <c r="AB212" s="64"/>
      <c r="AE212" s="64"/>
      <c r="AF212" s="64"/>
      <c r="AG212" s="64"/>
      <c r="AH212" s="64"/>
      <c r="AI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J213" s="65"/>
      <c r="K213" s="64"/>
      <c r="L213" s="64"/>
      <c r="M213" s="64"/>
      <c r="N213" s="64"/>
      <c r="Q213" s="64"/>
      <c r="R213" s="64"/>
      <c r="S213" s="64"/>
      <c r="T213" s="64"/>
      <c r="U213" s="64"/>
      <c r="X213" s="64"/>
      <c r="Y213" s="64"/>
      <c r="Z213" s="64"/>
      <c r="AA213" s="64"/>
      <c r="AB213" s="64"/>
      <c r="AE213" s="64"/>
      <c r="AF213" s="64"/>
      <c r="AG213" s="64"/>
      <c r="AH213" s="64"/>
      <c r="AI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J214" s="65"/>
      <c r="K214" s="64"/>
      <c r="L214" s="64"/>
      <c r="M214" s="64"/>
      <c r="N214" s="64"/>
      <c r="Q214" s="64"/>
      <c r="R214" s="64"/>
      <c r="S214" s="64"/>
      <c r="T214" s="64"/>
      <c r="U214" s="64"/>
      <c r="X214" s="64"/>
      <c r="Y214" s="64"/>
      <c r="Z214" s="64"/>
      <c r="AA214" s="64"/>
      <c r="AB214" s="64"/>
      <c r="AE214" s="64"/>
      <c r="AF214" s="64"/>
      <c r="AG214" s="64"/>
      <c r="AH214" s="64"/>
      <c r="AI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J215" s="65"/>
      <c r="K215" s="64"/>
      <c r="L215" s="64"/>
      <c r="M215" s="64"/>
      <c r="N215" s="64"/>
      <c r="Q215" s="64"/>
      <c r="R215" s="64"/>
      <c r="S215" s="64"/>
      <c r="T215" s="64"/>
      <c r="U215" s="64"/>
      <c r="X215" s="64"/>
      <c r="Y215" s="64"/>
      <c r="Z215" s="64"/>
      <c r="AA215" s="64"/>
      <c r="AB215" s="64"/>
      <c r="AE215" s="64"/>
      <c r="AF215" s="64"/>
      <c r="AG215" s="64"/>
      <c r="AH215" s="64"/>
      <c r="AI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J216" s="65"/>
      <c r="K216" s="64"/>
      <c r="L216" s="64"/>
      <c r="M216" s="64"/>
      <c r="N216" s="64"/>
      <c r="Q216" s="64"/>
      <c r="R216" s="64"/>
      <c r="S216" s="64"/>
      <c r="T216" s="64"/>
      <c r="U216" s="64"/>
      <c r="X216" s="64"/>
      <c r="Y216" s="64"/>
      <c r="Z216" s="64"/>
      <c r="AA216" s="64"/>
      <c r="AB216" s="64"/>
      <c r="AE216" s="64"/>
      <c r="AF216" s="64"/>
      <c r="AG216" s="64"/>
      <c r="AH216" s="64"/>
      <c r="AI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J217" s="65"/>
      <c r="K217" s="64"/>
      <c r="L217" s="64"/>
      <c r="M217" s="64"/>
      <c r="N217" s="64"/>
      <c r="Q217" s="64"/>
      <c r="R217" s="64"/>
      <c r="S217" s="64"/>
      <c r="T217" s="64"/>
      <c r="U217" s="64"/>
      <c r="X217" s="64"/>
      <c r="Y217" s="64"/>
      <c r="Z217" s="64"/>
      <c r="AA217" s="64"/>
      <c r="AB217" s="64"/>
      <c r="AE217" s="64"/>
      <c r="AF217" s="64"/>
      <c r="AG217" s="64"/>
      <c r="AH217" s="64"/>
      <c r="AI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J218" s="65"/>
      <c r="K218" s="64"/>
      <c r="L218" s="64"/>
      <c r="M218" s="64"/>
      <c r="N218" s="64"/>
      <c r="Q218" s="64"/>
      <c r="R218" s="64"/>
      <c r="S218" s="64"/>
      <c r="T218" s="64"/>
      <c r="U218" s="64"/>
      <c r="X218" s="64"/>
      <c r="Y218" s="64"/>
      <c r="Z218" s="64"/>
      <c r="AA218" s="64"/>
      <c r="AB218" s="64"/>
      <c r="AE218" s="64"/>
      <c r="AF218" s="64"/>
      <c r="AG218" s="64"/>
      <c r="AH218" s="64"/>
      <c r="AI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J219" s="65"/>
      <c r="K219" s="64"/>
      <c r="L219" s="64"/>
      <c r="M219" s="64"/>
      <c r="N219" s="64"/>
      <c r="Q219" s="64"/>
      <c r="R219" s="64"/>
      <c r="S219" s="64"/>
      <c r="T219" s="64"/>
      <c r="U219" s="64"/>
      <c r="X219" s="64"/>
      <c r="Y219" s="64"/>
      <c r="Z219" s="64"/>
      <c r="AA219" s="64"/>
      <c r="AB219" s="64"/>
      <c r="AE219" s="64"/>
      <c r="AF219" s="64"/>
      <c r="AG219" s="64"/>
      <c r="AH219" s="64"/>
      <c r="AI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J220" s="65"/>
      <c r="K220" s="64"/>
      <c r="L220" s="64"/>
      <c r="M220" s="64"/>
      <c r="N220" s="64"/>
      <c r="Q220" s="64"/>
      <c r="R220" s="64"/>
      <c r="S220" s="64"/>
      <c r="T220" s="64"/>
      <c r="U220" s="64"/>
      <c r="X220" s="64"/>
      <c r="Y220" s="64"/>
      <c r="Z220" s="64"/>
      <c r="AA220" s="64"/>
      <c r="AB220" s="64"/>
      <c r="AE220" s="64"/>
      <c r="AF220" s="64"/>
      <c r="AG220" s="64"/>
      <c r="AH220" s="64"/>
      <c r="AI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J221" s="65"/>
      <c r="K221" s="64"/>
      <c r="L221" s="64"/>
      <c r="M221" s="64"/>
      <c r="N221" s="64"/>
      <c r="Q221" s="64"/>
      <c r="R221" s="64"/>
      <c r="S221" s="64"/>
      <c r="T221" s="64"/>
      <c r="U221" s="64"/>
      <c r="X221" s="64"/>
      <c r="Y221" s="64"/>
      <c r="Z221" s="64"/>
      <c r="AA221" s="64"/>
      <c r="AB221" s="64"/>
      <c r="AE221" s="64"/>
      <c r="AF221" s="64"/>
      <c r="AG221" s="64"/>
      <c r="AH221" s="64"/>
      <c r="AI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J222" s="65"/>
      <c r="K222" s="64"/>
      <c r="L222" s="64"/>
      <c r="M222" s="64"/>
      <c r="N222" s="64"/>
      <c r="Q222" s="64"/>
      <c r="R222" s="64"/>
      <c r="S222" s="64"/>
      <c r="T222" s="64"/>
      <c r="U222" s="64"/>
      <c r="X222" s="64"/>
      <c r="Y222" s="64"/>
      <c r="Z222" s="64"/>
      <c r="AA222" s="64"/>
      <c r="AB222" s="64"/>
      <c r="AE222" s="64"/>
      <c r="AF222" s="64"/>
      <c r="AG222" s="64"/>
      <c r="AH222" s="64"/>
      <c r="AI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J223" s="65"/>
      <c r="K223" s="64"/>
      <c r="L223" s="64"/>
      <c r="M223" s="64"/>
      <c r="N223" s="64"/>
      <c r="Q223" s="64"/>
      <c r="R223" s="64"/>
      <c r="S223" s="64"/>
      <c r="T223" s="64"/>
      <c r="U223" s="64"/>
      <c r="X223" s="64"/>
      <c r="Y223" s="64"/>
      <c r="Z223" s="64"/>
      <c r="AA223" s="64"/>
      <c r="AB223" s="64"/>
      <c r="AE223" s="64"/>
      <c r="AF223" s="64"/>
      <c r="AG223" s="64"/>
      <c r="AH223" s="64"/>
      <c r="AI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J224" s="65"/>
      <c r="K224" s="64"/>
      <c r="L224" s="64"/>
      <c r="M224" s="64"/>
      <c r="N224" s="64"/>
      <c r="Q224" s="64"/>
      <c r="R224" s="64"/>
      <c r="S224" s="64"/>
      <c r="T224" s="64"/>
      <c r="U224" s="64"/>
      <c r="X224" s="64"/>
      <c r="Y224" s="64"/>
      <c r="Z224" s="64"/>
      <c r="AA224" s="64"/>
      <c r="AB224" s="64"/>
      <c r="AE224" s="64"/>
      <c r="AF224" s="64"/>
      <c r="AG224" s="64"/>
      <c r="AH224" s="64"/>
      <c r="AI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J225" s="65"/>
      <c r="K225" s="64"/>
      <c r="L225" s="64"/>
      <c r="M225" s="64"/>
      <c r="N225" s="64"/>
      <c r="Q225" s="64"/>
      <c r="R225" s="64"/>
      <c r="S225" s="64"/>
      <c r="T225" s="64"/>
      <c r="U225" s="64"/>
      <c r="X225" s="64"/>
      <c r="Y225" s="64"/>
      <c r="Z225" s="64"/>
      <c r="AA225" s="64"/>
      <c r="AB225" s="64"/>
      <c r="AE225" s="64"/>
      <c r="AF225" s="64"/>
      <c r="AG225" s="64"/>
      <c r="AH225" s="64"/>
      <c r="AI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J226" s="65"/>
      <c r="K226" s="64"/>
      <c r="L226" s="64"/>
      <c r="M226" s="64"/>
      <c r="N226" s="64"/>
      <c r="Q226" s="64"/>
      <c r="R226" s="64"/>
      <c r="S226" s="64"/>
      <c r="T226" s="64"/>
      <c r="U226" s="64"/>
      <c r="X226" s="64"/>
      <c r="Y226" s="64"/>
      <c r="Z226" s="64"/>
      <c r="AA226" s="64"/>
      <c r="AB226" s="64"/>
      <c r="AE226" s="64"/>
      <c r="AF226" s="64"/>
      <c r="AG226" s="64"/>
      <c r="AH226" s="64"/>
      <c r="AI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J227" s="65"/>
      <c r="K227" s="64"/>
      <c r="L227" s="64"/>
      <c r="M227" s="64"/>
      <c r="N227" s="64"/>
      <c r="Q227" s="64"/>
      <c r="R227" s="64"/>
      <c r="S227" s="64"/>
      <c r="T227" s="64"/>
      <c r="U227" s="64"/>
      <c r="X227" s="64"/>
      <c r="Y227" s="64"/>
      <c r="Z227" s="64"/>
      <c r="AA227" s="64"/>
      <c r="AB227" s="64"/>
      <c r="AE227" s="64"/>
      <c r="AF227" s="64"/>
      <c r="AG227" s="64"/>
      <c r="AH227" s="64"/>
      <c r="AI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J228" s="65"/>
      <c r="K228" s="64"/>
      <c r="L228" s="64"/>
      <c r="M228" s="64"/>
      <c r="N228" s="64"/>
      <c r="Q228" s="64"/>
      <c r="R228" s="64"/>
      <c r="S228" s="64"/>
      <c r="T228" s="64"/>
      <c r="U228" s="64"/>
      <c r="X228" s="64"/>
      <c r="Y228" s="64"/>
      <c r="Z228" s="64"/>
      <c r="AA228" s="64"/>
      <c r="AB228" s="64"/>
      <c r="AE228" s="64"/>
      <c r="AF228" s="64"/>
      <c r="AG228" s="64"/>
      <c r="AH228" s="64"/>
      <c r="AI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J229" s="65"/>
      <c r="K229" s="64"/>
      <c r="L229" s="64"/>
      <c r="M229" s="64"/>
      <c r="N229" s="64"/>
      <c r="Q229" s="64"/>
      <c r="R229" s="64"/>
      <c r="S229" s="64"/>
      <c r="T229" s="64"/>
      <c r="U229" s="64"/>
      <c r="X229" s="64"/>
      <c r="Y229" s="64"/>
      <c r="Z229" s="64"/>
      <c r="AA229" s="64"/>
      <c r="AB229" s="64"/>
      <c r="AE229" s="64"/>
      <c r="AF229" s="64"/>
      <c r="AG229" s="64"/>
      <c r="AH229" s="64"/>
      <c r="AI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J230" s="65"/>
      <c r="K230" s="64"/>
      <c r="L230" s="64"/>
      <c r="M230" s="64"/>
      <c r="N230" s="64"/>
      <c r="Q230" s="64"/>
      <c r="R230" s="64"/>
      <c r="S230" s="64"/>
      <c r="T230" s="64"/>
      <c r="U230" s="64"/>
      <c r="X230" s="64"/>
      <c r="Y230" s="64"/>
      <c r="Z230" s="64"/>
      <c r="AA230" s="64"/>
      <c r="AB230" s="64"/>
      <c r="AE230" s="64"/>
      <c r="AF230" s="64"/>
      <c r="AG230" s="64"/>
      <c r="AH230" s="64"/>
      <c r="AI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J231" s="65"/>
      <c r="K231" s="64"/>
      <c r="L231" s="64"/>
      <c r="M231" s="64"/>
      <c r="N231" s="64"/>
      <c r="Q231" s="64"/>
      <c r="R231" s="64"/>
      <c r="S231" s="64"/>
      <c r="T231" s="64"/>
      <c r="U231" s="64"/>
      <c r="X231" s="64"/>
      <c r="Y231" s="64"/>
      <c r="Z231" s="64"/>
      <c r="AA231" s="64"/>
      <c r="AB231" s="64"/>
      <c r="AE231" s="64"/>
      <c r="AF231" s="64"/>
      <c r="AG231" s="64"/>
      <c r="AH231" s="64"/>
      <c r="AI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J232" s="65"/>
      <c r="K232" s="64"/>
      <c r="L232" s="64"/>
      <c r="M232" s="64"/>
      <c r="N232" s="64"/>
      <c r="Q232" s="64"/>
      <c r="R232" s="64"/>
      <c r="S232" s="64"/>
      <c r="T232" s="64"/>
      <c r="U232" s="64"/>
      <c r="X232" s="64"/>
      <c r="Y232" s="64"/>
      <c r="Z232" s="64"/>
      <c r="AA232" s="64"/>
      <c r="AB232" s="64"/>
      <c r="AE232" s="64"/>
      <c r="AF232" s="64"/>
      <c r="AG232" s="64"/>
      <c r="AH232" s="64"/>
      <c r="AI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J233" s="65"/>
      <c r="K233" s="64"/>
      <c r="L233" s="64"/>
      <c r="M233" s="64"/>
      <c r="N233" s="64"/>
      <c r="Q233" s="64"/>
      <c r="R233" s="64"/>
      <c r="S233" s="64"/>
      <c r="T233" s="64"/>
      <c r="U233" s="64"/>
      <c r="X233" s="64"/>
      <c r="Y233" s="64"/>
      <c r="Z233" s="64"/>
      <c r="AA233" s="64"/>
      <c r="AB233" s="64"/>
      <c r="AE233" s="64"/>
      <c r="AF233" s="64"/>
      <c r="AG233" s="64"/>
      <c r="AH233" s="64"/>
      <c r="AI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J234" s="65"/>
      <c r="K234" s="64"/>
      <c r="L234" s="64"/>
      <c r="M234" s="64"/>
      <c r="N234" s="64"/>
      <c r="Q234" s="64"/>
      <c r="R234" s="64"/>
      <c r="S234" s="64"/>
      <c r="T234" s="64"/>
      <c r="U234" s="64"/>
      <c r="X234" s="64"/>
      <c r="Y234" s="64"/>
      <c r="Z234" s="64"/>
      <c r="AA234" s="64"/>
      <c r="AB234" s="64"/>
      <c r="AE234" s="64"/>
      <c r="AF234" s="64"/>
      <c r="AG234" s="64"/>
      <c r="AH234" s="64"/>
      <c r="AI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J235" s="65"/>
      <c r="K235" s="64"/>
      <c r="L235" s="64"/>
      <c r="M235" s="64"/>
      <c r="N235" s="64"/>
      <c r="Q235" s="64"/>
      <c r="R235" s="64"/>
      <c r="S235" s="64"/>
      <c r="T235" s="64"/>
      <c r="U235" s="64"/>
      <c r="X235" s="64"/>
      <c r="Y235" s="64"/>
      <c r="Z235" s="64"/>
      <c r="AA235" s="64"/>
      <c r="AB235" s="64"/>
      <c r="AE235" s="64"/>
      <c r="AF235" s="64"/>
      <c r="AG235" s="64"/>
      <c r="AH235" s="64"/>
      <c r="AI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J236" s="65"/>
      <c r="K236" s="64"/>
      <c r="L236" s="64"/>
      <c r="M236" s="64"/>
      <c r="N236" s="64"/>
      <c r="Q236" s="64"/>
      <c r="R236" s="64"/>
      <c r="S236" s="64"/>
      <c r="T236" s="64"/>
      <c r="U236" s="64"/>
      <c r="X236" s="64"/>
      <c r="Y236" s="64"/>
      <c r="Z236" s="64"/>
      <c r="AA236" s="64"/>
      <c r="AB236" s="64"/>
      <c r="AE236" s="64"/>
      <c r="AF236" s="64"/>
      <c r="AG236" s="64"/>
      <c r="AH236" s="64"/>
      <c r="AI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J237" s="65"/>
      <c r="K237" s="64"/>
      <c r="L237" s="64"/>
      <c r="M237" s="64"/>
      <c r="N237" s="64"/>
      <c r="Q237" s="64"/>
      <c r="R237" s="64"/>
      <c r="S237" s="64"/>
      <c r="T237" s="64"/>
      <c r="U237" s="64"/>
      <c r="X237" s="64"/>
      <c r="Y237" s="64"/>
      <c r="Z237" s="64"/>
      <c r="AA237" s="64"/>
      <c r="AB237" s="64"/>
      <c r="AE237" s="64"/>
      <c r="AF237" s="64"/>
      <c r="AG237" s="64"/>
      <c r="AH237" s="64"/>
      <c r="AI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J238" s="65"/>
      <c r="K238" s="64"/>
      <c r="L238" s="64"/>
      <c r="M238" s="64"/>
      <c r="N238" s="64"/>
      <c r="Q238" s="64"/>
      <c r="R238" s="64"/>
      <c r="S238" s="64"/>
      <c r="T238" s="64"/>
      <c r="U238" s="64"/>
      <c r="X238" s="64"/>
      <c r="Y238" s="64"/>
      <c r="Z238" s="64"/>
      <c r="AA238" s="64"/>
      <c r="AB238" s="64"/>
      <c r="AE238" s="64"/>
      <c r="AF238" s="64"/>
      <c r="AG238" s="64"/>
      <c r="AH238" s="64"/>
      <c r="AI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J239" s="65"/>
      <c r="K239" s="64"/>
      <c r="L239" s="64"/>
      <c r="M239" s="64"/>
      <c r="N239" s="64"/>
      <c r="Q239" s="64"/>
      <c r="R239" s="64"/>
      <c r="S239" s="64"/>
      <c r="T239" s="64"/>
      <c r="U239" s="64"/>
      <c r="X239" s="64"/>
      <c r="Y239" s="64"/>
      <c r="Z239" s="64"/>
      <c r="AA239" s="64"/>
      <c r="AB239" s="64"/>
      <c r="AE239" s="64"/>
      <c r="AF239" s="64"/>
      <c r="AG239" s="64"/>
      <c r="AH239" s="64"/>
      <c r="AI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J240" s="65"/>
      <c r="K240" s="64"/>
      <c r="L240" s="64"/>
      <c r="M240" s="64"/>
      <c r="N240" s="64"/>
      <c r="Q240" s="64"/>
      <c r="R240" s="64"/>
      <c r="S240" s="64"/>
      <c r="T240" s="64"/>
      <c r="U240" s="64"/>
      <c r="X240" s="64"/>
      <c r="Y240" s="64"/>
      <c r="Z240" s="64"/>
      <c r="AA240" s="64"/>
      <c r="AB240" s="64"/>
      <c r="AE240" s="64"/>
      <c r="AF240" s="64"/>
      <c r="AG240" s="64"/>
      <c r="AH240" s="64"/>
      <c r="AI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J241" s="65"/>
      <c r="K241" s="64"/>
      <c r="L241" s="64"/>
      <c r="M241" s="64"/>
      <c r="N241" s="64"/>
      <c r="Q241" s="64"/>
      <c r="R241" s="64"/>
      <c r="S241" s="64"/>
      <c r="T241" s="64"/>
      <c r="U241" s="64"/>
      <c r="X241" s="64"/>
      <c r="Y241" s="64"/>
      <c r="Z241" s="64"/>
      <c r="AA241" s="64"/>
      <c r="AB241" s="64"/>
      <c r="AE241" s="64"/>
      <c r="AF241" s="64"/>
      <c r="AG241" s="64"/>
      <c r="AH241" s="64"/>
      <c r="AI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J242" s="65"/>
      <c r="K242" s="64"/>
      <c r="L242" s="64"/>
      <c r="M242" s="64"/>
      <c r="N242" s="64"/>
      <c r="Q242" s="64"/>
      <c r="R242" s="64"/>
      <c r="S242" s="64"/>
      <c r="T242" s="64"/>
      <c r="U242" s="64"/>
      <c r="X242" s="64"/>
      <c r="Y242" s="64"/>
      <c r="Z242" s="64"/>
      <c r="AA242" s="64"/>
      <c r="AB242" s="64"/>
      <c r="AE242" s="64"/>
      <c r="AF242" s="64"/>
      <c r="AG242" s="64"/>
      <c r="AH242" s="64"/>
      <c r="AI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J243" s="65"/>
      <c r="K243" s="64"/>
      <c r="L243" s="64"/>
      <c r="M243" s="64"/>
      <c r="N243" s="64"/>
      <c r="Q243" s="64"/>
      <c r="R243" s="64"/>
      <c r="S243" s="64"/>
      <c r="T243" s="64"/>
      <c r="U243" s="64"/>
      <c r="X243" s="64"/>
      <c r="Y243" s="64"/>
      <c r="Z243" s="64"/>
      <c r="AA243" s="64"/>
      <c r="AB243" s="64"/>
      <c r="AE243" s="64"/>
      <c r="AF243" s="64"/>
      <c r="AG243" s="64"/>
      <c r="AH243" s="64"/>
      <c r="AI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J244" s="65"/>
      <c r="K244" s="64"/>
      <c r="L244" s="64"/>
      <c r="M244" s="64"/>
      <c r="N244" s="64"/>
      <c r="Q244" s="64"/>
      <c r="R244" s="64"/>
      <c r="S244" s="64"/>
      <c r="T244" s="64"/>
      <c r="U244" s="64"/>
      <c r="X244" s="64"/>
      <c r="Y244" s="64"/>
      <c r="Z244" s="64"/>
      <c r="AA244" s="64"/>
      <c r="AB244" s="64"/>
      <c r="AE244" s="64"/>
      <c r="AF244" s="64"/>
      <c r="AG244" s="64"/>
      <c r="AH244" s="64"/>
      <c r="AI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J245" s="65"/>
      <c r="K245" s="64"/>
      <c r="L245" s="64"/>
      <c r="M245" s="64"/>
      <c r="N245" s="64"/>
      <c r="Q245" s="64"/>
      <c r="R245" s="64"/>
      <c r="S245" s="64"/>
      <c r="T245" s="64"/>
      <c r="U245" s="64"/>
      <c r="X245" s="64"/>
      <c r="Y245" s="64"/>
      <c r="Z245" s="64"/>
      <c r="AA245" s="64"/>
      <c r="AB245" s="64"/>
      <c r="AE245" s="64"/>
      <c r="AF245" s="64"/>
      <c r="AG245" s="64"/>
      <c r="AH245" s="64"/>
      <c r="AI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J246" s="65"/>
      <c r="K246" s="64"/>
      <c r="L246" s="64"/>
      <c r="M246" s="64"/>
      <c r="N246" s="64"/>
      <c r="Q246" s="64"/>
      <c r="R246" s="64"/>
      <c r="S246" s="64"/>
      <c r="T246" s="64"/>
      <c r="U246" s="64"/>
      <c r="X246" s="64"/>
      <c r="Y246" s="64"/>
      <c r="Z246" s="64"/>
      <c r="AA246" s="64"/>
      <c r="AB246" s="64"/>
      <c r="AE246" s="64"/>
      <c r="AF246" s="64"/>
      <c r="AG246" s="64"/>
      <c r="AH246" s="64"/>
      <c r="AI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J247" s="65"/>
      <c r="K247" s="64"/>
      <c r="L247" s="64"/>
      <c r="M247" s="64"/>
      <c r="N247" s="64"/>
      <c r="Q247" s="64"/>
      <c r="R247" s="64"/>
      <c r="S247" s="64"/>
      <c r="T247" s="64"/>
      <c r="U247" s="64"/>
      <c r="X247" s="64"/>
      <c r="Y247" s="64"/>
      <c r="Z247" s="64"/>
      <c r="AA247" s="64"/>
      <c r="AB247" s="64"/>
      <c r="AE247" s="64"/>
      <c r="AF247" s="64"/>
      <c r="AG247" s="64"/>
      <c r="AH247" s="64"/>
      <c r="AI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J248" s="65"/>
      <c r="K248" s="64"/>
      <c r="L248" s="64"/>
      <c r="M248" s="64"/>
      <c r="N248" s="64"/>
      <c r="Q248" s="64"/>
      <c r="R248" s="64"/>
      <c r="S248" s="64"/>
      <c r="T248" s="64"/>
      <c r="U248" s="64"/>
      <c r="X248" s="64"/>
      <c r="Y248" s="64"/>
      <c r="Z248" s="64"/>
      <c r="AA248" s="64"/>
      <c r="AB248" s="64"/>
      <c r="AE248" s="64"/>
      <c r="AF248" s="64"/>
      <c r="AG248" s="64"/>
      <c r="AH248" s="64"/>
      <c r="AI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J249" s="65"/>
      <c r="K249" s="64"/>
      <c r="L249" s="64"/>
      <c r="M249" s="64"/>
      <c r="N249" s="64"/>
      <c r="Q249" s="64"/>
      <c r="R249" s="64"/>
      <c r="S249" s="64"/>
      <c r="T249" s="64"/>
      <c r="U249" s="64"/>
      <c r="X249" s="64"/>
      <c r="Y249" s="64"/>
      <c r="Z249" s="64"/>
      <c r="AA249" s="64"/>
      <c r="AB249" s="64"/>
      <c r="AE249" s="64"/>
      <c r="AF249" s="64"/>
      <c r="AG249" s="64"/>
      <c r="AH249" s="64"/>
      <c r="AI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J250" s="65"/>
      <c r="K250" s="64"/>
      <c r="L250" s="64"/>
      <c r="M250" s="64"/>
      <c r="N250" s="64"/>
      <c r="Q250" s="64"/>
      <c r="R250" s="64"/>
      <c r="S250" s="64"/>
      <c r="T250" s="64"/>
      <c r="U250" s="64"/>
      <c r="X250" s="64"/>
      <c r="Y250" s="64"/>
      <c r="Z250" s="64"/>
      <c r="AA250" s="64"/>
      <c r="AB250" s="64"/>
      <c r="AE250" s="64"/>
      <c r="AF250" s="64"/>
      <c r="AG250" s="64"/>
      <c r="AH250" s="64"/>
      <c r="AI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J251" s="65"/>
      <c r="K251" s="64"/>
      <c r="L251" s="64"/>
      <c r="M251" s="64"/>
      <c r="N251" s="64"/>
      <c r="Q251" s="64"/>
      <c r="R251" s="64"/>
      <c r="S251" s="64"/>
      <c r="T251" s="64"/>
      <c r="U251" s="64"/>
      <c r="X251" s="64"/>
      <c r="Y251" s="64"/>
      <c r="Z251" s="64"/>
      <c r="AA251" s="64"/>
      <c r="AB251" s="64"/>
      <c r="AE251" s="64"/>
      <c r="AF251" s="64"/>
      <c r="AG251" s="64"/>
      <c r="AH251" s="64"/>
      <c r="AI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J252" s="65"/>
      <c r="K252" s="64"/>
      <c r="L252" s="64"/>
      <c r="M252" s="64"/>
      <c r="N252" s="64"/>
      <c r="Q252" s="64"/>
      <c r="R252" s="64"/>
      <c r="S252" s="64"/>
      <c r="T252" s="64"/>
      <c r="U252" s="64"/>
      <c r="X252" s="64"/>
      <c r="Y252" s="64"/>
      <c r="Z252" s="64"/>
      <c r="AA252" s="64"/>
      <c r="AB252" s="64"/>
      <c r="AE252" s="64"/>
      <c r="AF252" s="64"/>
      <c r="AG252" s="64"/>
      <c r="AH252" s="64"/>
      <c r="AI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J253" s="65"/>
      <c r="K253" s="64"/>
      <c r="L253" s="64"/>
      <c r="M253" s="64"/>
      <c r="N253" s="64"/>
      <c r="Q253" s="64"/>
      <c r="R253" s="64"/>
      <c r="S253" s="64"/>
      <c r="T253" s="64"/>
      <c r="U253" s="64"/>
      <c r="X253" s="64"/>
      <c r="Y253" s="64"/>
      <c r="Z253" s="64"/>
      <c r="AA253" s="64"/>
      <c r="AB253" s="64"/>
      <c r="AE253" s="64"/>
      <c r="AF253" s="64"/>
      <c r="AG253" s="64"/>
      <c r="AH253" s="64"/>
      <c r="AI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J254" s="65"/>
      <c r="K254" s="64"/>
      <c r="L254" s="64"/>
      <c r="M254" s="64"/>
      <c r="N254" s="64"/>
      <c r="Q254" s="64"/>
      <c r="R254" s="64"/>
      <c r="S254" s="64"/>
      <c r="T254" s="64"/>
      <c r="U254" s="64"/>
      <c r="X254" s="64"/>
      <c r="Y254" s="64"/>
      <c r="Z254" s="64"/>
      <c r="AA254" s="64"/>
      <c r="AB254" s="64"/>
      <c r="AE254" s="64"/>
      <c r="AF254" s="64"/>
      <c r="AG254" s="64"/>
      <c r="AH254" s="64"/>
      <c r="AI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J255" s="65"/>
      <c r="K255" s="64"/>
      <c r="L255" s="64"/>
      <c r="M255" s="64"/>
      <c r="N255" s="64"/>
      <c r="Q255" s="64"/>
      <c r="R255" s="64"/>
      <c r="S255" s="64"/>
      <c r="T255" s="64"/>
      <c r="U255" s="64"/>
      <c r="X255" s="64"/>
      <c r="Y255" s="64"/>
      <c r="Z255" s="64"/>
      <c r="AA255" s="64"/>
      <c r="AB255" s="64"/>
      <c r="AE255" s="64"/>
      <c r="AF255" s="64"/>
      <c r="AG255" s="64"/>
      <c r="AH255" s="64"/>
      <c r="AI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J256" s="65"/>
      <c r="K256" s="64"/>
      <c r="L256" s="64"/>
      <c r="M256" s="64"/>
      <c r="N256" s="64"/>
      <c r="Q256" s="64"/>
      <c r="R256" s="64"/>
      <c r="S256" s="64"/>
      <c r="T256" s="64"/>
      <c r="U256" s="64"/>
      <c r="X256" s="64"/>
      <c r="Y256" s="64"/>
      <c r="Z256" s="64"/>
      <c r="AA256" s="64"/>
      <c r="AB256" s="64"/>
      <c r="AE256" s="64"/>
      <c r="AF256" s="64"/>
      <c r="AG256" s="64"/>
      <c r="AH256" s="64"/>
      <c r="AI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J257" s="65"/>
      <c r="K257" s="64"/>
      <c r="L257" s="64"/>
      <c r="M257" s="64"/>
      <c r="N257" s="64"/>
      <c r="Q257" s="64"/>
      <c r="R257" s="64"/>
      <c r="S257" s="64"/>
      <c r="T257" s="64"/>
      <c r="U257" s="64"/>
      <c r="X257" s="64"/>
      <c r="Y257" s="64"/>
      <c r="Z257" s="64"/>
      <c r="AA257" s="64"/>
      <c r="AB257" s="64"/>
      <c r="AE257" s="64"/>
      <c r="AF257" s="64"/>
      <c r="AG257" s="64"/>
      <c r="AH257" s="64"/>
      <c r="AI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J258" s="65"/>
      <c r="K258" s="64"/>
      <c r="L258" s="64"/>
      <c r="M258" s="64"/>
      <c r="N258" s="64"/>
      <c r="Q258" s="64"/>
      <c r="R258" s="64"/>
      <c r="S258" s="64"/>
      <c r="T258" s="64"/>
      <c r="U258" s="64"/>
      <c r="X258" s="64"/>
      <c r="Y258" s="64"/>
      <c r="Z258" s="64"/>
      <c r="AA258" s="64"/>
      <c r="AB258" s="64"/>
      <c r="AE258" s="64"/>
      <c r="AF258" s="64"/>
      <c r="AG258" s="64"/>
      <c r="AH258" s="64"/>
      <c r="AI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J259" s="65"/>
      <c r="K259" s="64"/>
      <c r="L259" s="64"/>
      <c r="M259" s="64"/>
      <c r="N259" s="64"/>
      <c r="Q259" s="64"/>
      <c r="R259" s="64"/>
      <c r="S259" s="64"/>
      <c r="T259" s="64"/>
      <c r="U259" s="64"/>
      <c r="X259" s="64"/>
      <c r="Y259" s="64"/>
      <c r="Z259" s="64"/>
      <c r="AA259" s="64"/>
      <c r="AB259" s="64"/>
      <c r="AE259" s="64"/>
      <c r="AF259" s="64"/>
      <c r="AG259" s="64"/>
      <c r="AH259" s="64"/>
      <c r="AI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J260" s="65"/>
      <c r="K260" s="64"/>
      <c r="L260" s="64"/>
      <c r="M260" s="64"/>
      <c r="N260" s="64"/>
      <c r="Q260" s="64"/>
      <c r="R260" s="64"/>
      <c r="S260" s="64"/>
      <c r="T260" s="64"/>
      <c r="U260" s="64"/>
      <c r="X260" s="64"/>
      <c r="Y260" s="64"/>
      <c r="Z260" s="64"/>
      <c r="AA260" s="64"/>
      <c r="AB260" s="64"/>
      <c r="AE260" s="64"/>
      <c r="AF260" s="64"/>
      <c r="AG260" s="64"/>
      <c r="AH260" s="64"/>
      <c r="AI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J261" s="65"/>
      <c r="K261" s="64"/>
      <c r="L261" s="64"/>
      <c r="M261" s="64"/>
      <c r="N261" s="64"/>
      <c r="Q261" s="64"/>
      <c r="R261" s="64"/>
      <c r="S261" s="64"/>
      <c r="T261" s="64"/>
      <c r="U261" s="64"/>
      <c r="X261" s="64"/>
      <c r="Y261" s="64"/>
      <c r="Z261" s="64"/>
      <c r="AA261" s="64"/>
      <c r="AB261" s="64"/>
      <c r="AE261" s="64"/>
      <c r="AF261" s="64"/>
      <c r="AG261" s="64"/>
      <c r="AH261" s="64"/>
      <c r="AI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J262" s="65"/>
      <c r="K262" s="64"/>
      <c r="L262" s="64"/>
      <c r="M262" s="64"/>
      <c r="N262" s="64"/>
      <c r="Q262" s="64"/>
      <c r="R262" s="64"/>
      <c r="S262" s="64"/>
      <c r="T262" s="64"/>
      <c r="U262" s="64"/>
      <c r="X262" s="64"/>
      <c r="Y262" s="64"/>
      <c r="Z262" s="64"/>
      <c r="AA262" s="64"/>
      <c r="AB262" s="64"/>
      <c r="AE262" s="64"/>
      <c r="AF262" s="64"/>
      <c r="AG262" s="64"/>
      <c r="AH262" s="64"/>
      <c r="AI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J263" s="65"/>
      <c r="K263" s="64"/>
      <c r="L263" s="64"/>
      <c r="M263" s="64"/>
      <c r="N263" s="64"/>
      <c r="Q263" s="64"/>
      <c r="R263" s="64"/>
      <c r="S263" s="64"/>
      <c r="T263" s="64"/>
      <c r="U263" s="64"/>
      <c r="X263" s="64"/>
      <c r="Y263" s="64"/>
      <c r="Z263" s="64"/>
      <c r="AA263" s="64"/>
      <c r="AB263" s="64"/>
      <c r="AE263" s="64"/>
      <c r="AF263" s="64"/>
      <c r="AG263" s="64"/>
      <c r="AH263" s="64"/>
      <c r="AI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J264" s="65"/>
      <c r="K264" s="64"/>
      <c r="L264" s="64"/>
      <c r="M264" s="64"/>
      <c r="N264" s="64"/>
      <c r="Q264" s="64"/>
      <c r="R264" s="64"/>
      <c r="S264" s="64"/>
      <c r="T264" s="64"/>
      <c r="U264" s="64"/>
      <c r="X264" s="64"/>
      <c r="Y264" s="64"/>
      <c r="Z264" s="64"/>
      <c r="AA264" s="64"/>
      <c r="AB264" s="64"/>
      <c r="AE264" s="64"/>
      <c r="AF264" s="64"/>
      <c r="AG264" s="64"/>
      <c r="AH264" s="64"/>
      <c r="AI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J265" s="65"/>
      <c r="K265" s="64"/>
      <c r="L265" s="64"/>
      <c r="M265" s="64"/>
      <c r="N265" s="64"/>
      <c r="Q265" s="64"/>
      <c r="R265" s="64"/>
      <c r="S265" s="64"/>
      <c r="T265" s="64"/>
      <c r="U265" s="64"/>
      <c r="X265" s="64"/>
      <c r="Y265" s="64"/>
      <c r="Z265" s="64"/>
      <c r="AA265" s="64"/>
      <c r="AB265" s="64"/>
      <c r="AE265" s="64"/>
      <c r="AF265" s="64"/>
      <c r="AG265" s="64"/>
      <c r="AH265" s="64"/>
      <c r="AI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J266" s="65"/>
      <c r="K266" s="64"/>
      <c r="L266" s="64"/>
      <c r="M266" s="64"/>
      <c r="N266" s="64"/>
      <c r="Q266" s="64"/>
      <c r="R266" s="64"/>
      <c r="S266" s="64"/>
      <c r="T266" s="64"/>
      <c r="U266" s="64"/>
      <c r="X266" s="64"/>
      <c r="Y266" s="64"/>
      <c r="Z266" s="64"/>
      <c r="AA266" s="64"/>
      <c r="AB266" s="64"/>
      <c r="AE266" s="64"/>
      <c r="AF266" s="64"/>
      <c r="AG266" s="64"/>
      <c r="AH266" s="64"/>
      <c r="AI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J267" s="65"/>
      <c r="K267" s="64"/>
      <c r="L267" s="64"/>
      <c r="M267" s="64"/>
      <c r="N267" s="64"/>
      <c r="Q267" s="64"/>
      <c r="R267" s="64"/>
      <c r="S267" s="64"/>
      <c r="T267" s="64"/>
      <c r="U267" s="64"/>
      <c r="X267" s="64"/>
      <c r="Y267" s="64"/>
      <c r="Z267" s="64"/>
      <c r="AA267" s="64"/>
      <c r="AB267" s="64"/>
      <c r="AE267" s="64"/>
      <c r="AF267" s="64"/>
      <c r="AG267" s="64"/>
      <c r="AH267" s="64"/>
      <c r="AI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J268" s="65"/>
      <c r="K268" s="64"/>
      <c r="L268" s="64"/>
      <c r="M268" s="64"/>
      <c r="N268" s="64"/>
      <c r="Q268" s="64"/>
      <c r="R268" s="64"/>
      <c r="S268" s="64"/>
      <c r="T268" s="64"/>
      <c r="U268" s="64"/>
      <c r="X268" s="64"/>
      <c r="Y268" s="64"/>
      <c r="Z268" s="64"/>
      <c r="AA268" s="64"/>
      <c r="AB268" s="64"/>
      <c r="AE268" s="64"/>
      <c r="AF268" s="64"/>
      <c r="AG268" s="64"/>
      <c r="AH268" s="64"/>
      <c r="AI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J269" s="65"/>
      <c r="K269" s="64"/>
      <c r="L269" s="64"/>
      <c r="M269" s="64"/>
      <c r="N269" s="64"/>
      <c r="Q269" s="64"/>
      <c r="R269" s="64"/>
      <c r="S269" s="64"/>
      <c r="T269" s="64"/>
      <c r="U269" s="64"/>
      <c r="X269" s="64"/>
      <c r="Y269" s="64"/>
      <c r="Z269" s="64"/>
      <c r="AA269" s="64"/>
      <c r="AB269" s="64"/>
      <c r="AE269" s="64"/>
      <c r="AF269" s="64"/>
      <c r="AG269" s="64"/>
      <c r="AH269" s="64"/>
      <c r="AI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J270" s="65"/>
      <c r="K270" s="64"/>
      <c r="L270" s="64"/>
      <c r="M270" s="64"/>
      <c r="N270" s="64"/>
      <c r="Q270" s="64"/>
      <c r="R270" s="64"/>
      <c r="S270" s="64"/>
      <c r="T270" s="64"/>
      <c r="U270" s="64"/>
      <c r="X270" s="64"/>
      <c r="Y270" s="64"/>
      <c r="Z270" s="64"/>
      <c r="AA270" s="64"/>
      <c r="AB270" s="64"/>
      <c r="AE270" s="64"/>
      <c r="AF270" s="64"/>
      <c r="AG270" s="64"/>
      <c r="AH270" s="64"/>
      <c r="AI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J271" s="65"/>
      <c r="K271" s="64"/>
      <c r="L271" s="64"/>
      <c r="M271" s="64"/>
      <c r="N271" s="64"/>
      <c r="Q271" s="64"/>
      <c r="R271" s="64"/>
      <c r="S271" s="64"/>
      <c r="T271" s="64"/>
      <c r="U271" s="64"/>
      <c r="X271" s="64"/>
      <c r="Y271" s="64"/>
      <c r="Z271" s="64"/>
      <c r="AA271" s="64"/>
      <c r="AB271" s="64"/>
      <c r="AE271" s="64"/>
      <c r="AF271" s="64"/>
      <c r="AG271" s="64"/>
      <c r="AH271" s="64"/>
      <c r="AI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J272" s="65"/>
      <c r="K272" s="64"/>
      <c r="L272" s="64"/>
      <c r="M272" s="64"/>
      <c r="N272" s="64"/>
      <c r="Q272" s="64"/>
      <c r="R272" s="64"/>
      <c r="S272" s="64"/>
      <c r="T272" s="64"/>
      <c r="U272" s="64"/>
      <c r="X272" s="64"/>
      <c r="Y272" s="64"/>
      <c r="Z272" s="64"/>
      <c r="AA272" s="64"/>
      <c r="AB272" s="64"/>
      <c r="AE272" s="64"/>
      <c r="AF272" s="64"/>
      <c r="AG272" s="64"/>
      <c r="AH272" s="64"/>
      <c r="AI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J273" s="65"/>
      <c r="K273" s="64"/>
      <c r="L273" s="64"/>
      <c r="M273" s="64"/>
      <c r="N273" s="64"/>
      <c r="Q273" s="64"/>
      <c r="R273" s="64"/>
      <c r="S273" s="64"/>
      <c r="T273" s="64"/>
      <c r="U273" s="64"/>
      <c r="X273" s="64"/>
      <c r="Y273" s="64"/>
      <c r="Z273" s="64"/>
      <c r="AA273" s="64"/>
      <c r="AB273" s="64"/>
      <c r="AE273" s="64"/>
      <c r="AF273" s="64"/>
      <c r="AG273" s="64"/>
      <c r="AH273" s="64"/>
      <c r="AI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J274" s="65"/>
      <c r="K274" s="64"/>
      <c r="L274" s="64"/>
      <c r="M274" s="64"/>
      <c r="N274" s="64"/>
      <c r="Q274" s="64"/>
      <c r="R274" s="64"/>
      <c r="S274" s="64"/>
      <c r="T274" s="64"/>
      <c r="U274" s="64"/>
      <c r="X274" s="64"/>
      <c r="Y274" s="64"/>
      <c r="Z274" s="64"/>
      <c r="AA274" s="64"/>
      <c r="AB274" s="64"/>
      <c r="AE274" s="64"/>
      <c r="AF274" s="64"/>
      <c r="AG274" s="64"/>
      <c r="AH274" s="64"/>
      <c r="AI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J275" s="65"/>
      <c r="K275" s="64"/>
      <c r="L275" s="64"/>
      <c r="M275" s="64"/>
      <c r="N275" s="64"/>
      <c r="Q275" s="64"/>
      <c r="R275" s="64"/>
      <c r="S275" s="64"/>
      <c r="T275" s="64"/>
      <c r="U275" s="64"/>
      <c r="X275" s="64"/>
      <c r="Y275" s="64"/>
      <c r="Z275" s="64"/>
      <c r="AA275" s="64"/>
      <c r="AB275" s="64"/>
      <c r="AE275" s="64"/>
      <c r="AF275" s="64"/>
      <c r="AG275" s="64"/>
      <c r="AH275" s="64"/>
      <c r="AI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J276" s="65"/>
      <c r="K276" s="64"/>
      <c r="L276" s="64"/>
      <c r="M276" s="64"/>
      <c r="N276" s="64"/>
      <c r="Q276" s="64"/>
      <c r="R276" s="64"/>
      <c r="S276" s="64"/>
      <c r="T276" s="64"/>
      <c r="U276" s="64"/>
      <c r="X276" s="64"/>
      <c r="Y276" s="64"/>
      <c r="Z276" s="64"/>
      <c r="AA276" s="64"/>
      <c r="AB276" s="64"/>
      <c r="AE276" s="64"/>
      <c r="AF276" s="64"/>
      <c r="AG276" s="64"/>
      <c r="AH276" s="64"/>
      <c r="AI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J277" s="65"/>
      <c r="K277" s="64"/>
      <c r="L277" s="64"/>
      <c r="M277" s="64"/>
      <c r="N277" s="64"/>
      <c r="Q277" s="64"/>
      <c r="R277" s="64"/>
      <c r="S277" s="64"/>
      <c r="T277" s="64"/>
      <c r="U277" s="64"/>
      <c r="X277" s="64"/>
      <c r="Y277" s="64"/>
      <c r="Z277" s="64"/>
      <c r="AA277" s="64"/>
      <c r="AB277" s="64"/>
      <c r="AE277" s="64"/>
      <c r="AF277" s="64"/>
      <c r="AG277" s="64"/>
      <c r="AH277" s="64"/>
      <c r="AI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J278" s="65"/>
      <c r="K278" s="64"/>
      <c r="L278" s="64"/>
      <c r="M278" s="64"/>
      <c r="N278" s="64"/>
      <c r="Q278" s="64"/>
      <c r="R278" s="64"/>
      <c r="S278" s="64"/>
      <c r="T278" s="64"/>
      <c r="U278" s="64"/>
      <c r="X278" s="64"/>
      <c r="Y278" s="64"/>
      <c r="Z278" s="64"/>
      <c r="AA278" s="64"/>
      <c r="AB278" s="64"/>
      <c r="AE278" s="64"/>
      <c r="AF278" s="64"/>
      <c r="AG278" s="64"/>
      <c r="AH278" s="64"/>
      <c r="AI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J279" s="65"/>
      <c r="K279" s="64"/>
      <c r="L279" s="64"/>
      <c r="M279" s="64"/>
      <c r="N279" s="64"/>
      <c r="Q279" s="64"/>
      <c r="R279" s="64"/>
      <c r="S279" s="64"/>
      <c r="T279" s="64"/>
      <c r="U279" s="64"/>
      <c r="X279" s="64"/>
      <c r="Y279" s="64"/>
      <c r="Z279" s="64"/>
      <c r="AA279" s="64"/>
      <c r="AB279" s="64"/>
      <c r="AE279" s="64"/>
      <c r="AF279" s="64"/>
      <c r="AG279" s="64"/>
      <c r="AH279" s="64"/>
      <c r="AI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J280" s="65"/>
      <c r="K280" s="64"/>
      <c r="L280" s="64"/>
      <c r="M280" s="64"/>
      <c r="N280" s="64"/>
      <c r="Q280" s="64"/>
      <c r="R280" s="64"/>
      <c r="S280" s="64"/>
      <c r="T280" s="64"/>
      <c r="U280" s="64"/>
      <c r="X280" s="64"/>
      <c r="Y280" s="64"/>
      <c r="Z280" s="64"/>
      <c r="AA280" s="64"/>
      <c r="AB280" s="64"/>
      <c r="AE280" s="64"/>
      <c r="AF280" s="64"/>
      <c r="AG280" s="64"/>
      <c r="AH280" s="64"/>
      <c r="AI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J281" s="65"/>
      <c r="K281" s="64"/>
      <c r="L281" s="64"/>
      <c r="M281" s="64"/>
      <c r="N281" s="64"/>
      <c r="Q281" s="64"/>
      <c r="R281" s="64"/>
      <c r="S281" s="64"/>
      <c r="T281" s="64"/>
      <c r="U281" s="64"/>
      <c r="X281" s="64"/>
      <c r="Y281" s="64"/>
      <c r="Z281" s="64"/>
      <c r="AA281" s="64"/>
      <c r="AB281" s="64"/>
      <c r="AE281" s="64"/>
      <c r="AF281" s="64"/>
      <c r="AG281" s="64"/>
      <c r="AH281" s="64"/>
      <c r="AI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J282" s="65"/>
      <c r="K282" s="64"/>
      <c r="L282" s="64"/>
      <c r="M282" s="64"/>
      <c r="N282" s="64"/>
      <c r="Q282" s="64"/>
      <c r="R282" s="64"/>
      <c r="S282" s="64"/>
      <c r="T282" s="64"/>
      <c r="U282" s="64"/>
      <c r="X282" s="64"/>
      <c r="Y282" s="64"/>
      <c r="Z282" s="64"/>
      <c r="AA282" s="64"/>
      <c r="AB282" s="64"/>
      <c r="AE282" s="64"/>
      <c r="AF282" s="64"/>
      <c r="AG282" s="64"/>
      <c r="AH282" s="64"/>
      <c r="AI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J283" s="65"/>
      <c r="K283" s="64"/>
      <c r="L283" s="64"/>
      <c r="M283" s="64"/>
      <c r="N283" s="64"/>
      <c r="Q283" s="64"/>
      <c r="R283" s="64"/>
      <c r="S283" s="64"/>
      <c r="T283" s="64"/>
      <c r="U283" s="64"/>
      <c r="X283" s="64"/>
      <c r="Y283" s="64"/>
      <c r="Z283" s="64"/>
      <c r="AA283" s="64"/>
      <c r="AB283" s="64"/>
      <c r="AE283" s="64"/>
      <c r="AF283" s="64"/>
      <c r="AG283" s="64"/>
      <c r="AH283" s="64"/>
      <c r="AI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J284" s="65"/>
      <c r="K284" s="64"/>
      <c r="L284" s="64"/>
      <c r="M284" s="64"/>
      <c r="N284" s="64"/>
      <c r="Q284" s="64"/>
      <c r="R284" s="64"/>
      <c r="S284" s="64"/>
      <c r="T284" s="64"/>
      <c r="U284" s="64"/>
      <c r="X284" s="64"/>
      <c r="Y284" s="64"/>
      <c r="Z284" s="64"/>
      <c r="AA284" s="64"/>
      <c r="AB284" s="64"/>
      <c r="AE284" s="64"/>
      <c r="AF284" s="64"/>
      <c r="AG284" s="64"/>
      <c r="AH284" s="64"/>
      <c r="AI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J285" s="65"/>
      <c r="K285" s="64"/>
      <c r="L285" s="64"/>
      <c r="M285" s="64"/>
      <c r="N285" s="64"/>
      <c r="Q285" s="64"/>
      <c r="R285" s="64"/>
      <c r="S285" s="64"/>
      <c r="T285" s="64"/>
      <c r="U285" s="64"/>
      <c r="X285" s="64"/>
      <c r="Y285" s="64"/>
      <c r="Z285" s="64"/>
      <c r="AA285" s="64"/>
      <c r="AB285" s="64"/>
      <c r="AE285" s="64"/>
      <c r="AF285" s="64"/>
      <c r="AG285" s="64"/>
      <c r="AH285" s="64"/>
      <c r="AI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J286" s="65"/>
      <c r="K286" s="64"/>
      <c r="L286" s="64"/>
      <c r="M286" s="64"/>
      <c r="N286" s="64"/>
      <c r="Q286" s="64"/>
      <c r="R286" s="64"/>
      <c r="S286" s="64"/>
      <c r="T286" s="64"/>
      <c r="U286" s="64"/>
      <c r="X286" s="64"/>
      <c r="Y286" s="64"/>
      <c r="Z286" s="64"/>
      <c r="AA286" s="64"/>
      <c r="AB286" s="64"/>
      <c r="AE286" s="64"/>
      <c r="AF286" s="64"/>
      <c r="AG286" s="64"/>
      <c r="AH286" s="64"/>
      <c r="AI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J287" s="65"/>
      <c r="K287" s="64"/>
      <c r="L287" s="64"/>
      <c r="M287" s="64"/>
      <c r="N287" s="64"/>
      <c r="Q287" s="64"/>
      <c r="R287" s="64"/>
      <c r="S287" s="64"/>
      <c r="T287" s="64"/>
      <c r="U287" s="64"/>
      <c r="X287" s="64"/>
      <c r="Y287" s="64"/>
      <c r="Z287" s="64"/>
      <c r="AA287" s="64"/>
      <c r="AB287" s="64"/>
      <c r="AE287" s="64"/>
      <c r="AF287" s="64"/>
      <c r="AG287" s="64"/>
      <c r="AH287" s="64"/>
      <c r="AI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J288" s="65"/>
      <c r="K288" s="64"/>
      <c r="L288" s="64"/>
      <c r="M288" s="64"/>
      <c r="N288" s="64"/>
      <c r="Q288" s="64"/>
      <c r="R288" s="64"/>
      <c r="S288" s="64"/>
      <c r="T288" s="64"/>
      <c r="U288" s="64"/>
      <c r="X288" s="64"/>
      <c r="Y288" s="64"/>
      <c r="Z288" s="64"/>
      <c r="AA288" s="64"/>
      <c r="AB288" s="64"/>
      <c r="AE288" s="64"/>
      <c r="AF288" s="64"/>
      <c r="AG288" s="64"/>
      <c r="AH288" s="64"/>
      <c r="AI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J289" s="65"/>
      <c r="K289" s="64"/>
      <c r="L289" s="64"/>
      <c r="M289" s="64"/>
      <c r="N289" s="64"/>
      <c r="Q289" s="64"/>
      <c r="R289" s="64"/>
      <c r="S289" s="64"/>
      <c r="T289" s="64"/>
      <c r="U289" s="64"/>
      <c r="X289" s="64"/>
      <c r="Y289" s="64"/>
      <c r="Z289" s="64"/>
      <c r="AA289" s="64"/>
      <c r="AB289" s="64"/>
      <c r="AE289" s="64"/>
      <c r="AF289" s="64"/>
      <c r="AG289" s="64"/>
      <c r="AH289" s="64"/>
      <c r="AI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J290" s="65"/>
      <c r="K290" s="64"/>
      <c r="L290" s="64"/>
      <c r="M290" s="64"/>
      <c r="N290" s="64"/>
      <c r="Q290" s="64"/>
      <c r="R290" s="64"/>
      <c r="S290" s="64"/>
      <c r="T290" s="64"/>
      <c r="U290" s="64"/>
      <c r="X290" s="64"/>
      <c r="Y290" s="64"/>
      <c r="Z290" s="64"/>
      <c r="AA290" s="64"/>
      <c r="AB290" s="64"/>
      <c r="AE290" s="64"/>
      <c r="AF290" s="64"/>
      <c r="AG290" s="64"/>
      <c r="AH290" s="64"/>
      <c r="AI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J291" s="65"/>
      <c r="K291" s="64"/>
      <c r="L291" s="64"/>
      <c r="M291" s="64"/>
      <c r="N291" s="64"/>
      <c r="Q291" s="64"/>
      <c r="R291" s="64"/>
      <c r="S291" s="64"/>
      <c r="T291" s="64"/>
      <c r="U291" s="64"/>
      <c r="X291" s="64"/>
      <c r="Y291" s="64"/>
      <c r="Z291" s="64"/>
      <c r="AA291" s="64"/>
      <c r="AB291" s="64"/>
      <c r="AE291" s="64"/>
      <c r="AF291" s="64"/>
      <c r="AG291" s="64"/>
      <c r="AH291" s="64"/>
      <c r="AI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J292" s="65"/>
      <c r="K292" s="64"/>
      <c r="L292" s="64"/>
      <c r="M292" s="64"/>
      <c r="N292" s="64"/>
      <c r="Q292" s="64"/>
      <c r="R292" s="64"/>
      <c r="S292" s="64"/>
      <c r="T292" s="64"/>
      <c r="U292" s="64"/>
      <c r="X292" s="64"/>
      <c r="Y292" s="64"/>
      <c r="Z292" s="64"/>
      <c r="AA292" s="64"/>
      <c r="AB292" s="64"/>
      <c r="AE292" s="64"/>
      <c r="AF292" s="64"/>
      <c r="AG292" s="64"/>
      <c r="AH292" s="64"/>
      <c r="AI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J293" s="65"/>
      <c r="K293" s="64"/>
      <c r="L293" s="64"/>
      <c r="M293" s="64"/>
      <c r="N293" s="64"/>
      <c r="Q293" s="64"/>
      <c r="R293" s="64"/>
      <c r="S293" s="64"/>
      <c r="T293" s="64"/>
      <c r="U293" s="64"/>
      <c r="X293" s="64"/>
      <c r="Y293" s="64"/>
      <c r="Z293" s="64"/>
      <c r="AA293" s="64"/>
      <c r="AB293" s="64"/>
      <c r="AE293" s="64"/>
      <c r="AF293" s="64"/>
      <c r="AG293" s="64"/>
      <c r="AH293" s="64"/>
      <c r="AI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J294" s="65"/>
      <c r="K294" s="64"/>
      <c r="L294" s="64"/>
      <c r="M294" s="64"/>
      <c r="N294" s="64"/>
      <c r="Q294" s="64"/>
      <c r="R294" s="64"/>
      <c r="S294" s="64"/>
      <c r="T294" s="64"/>
      <c r="U294" s="64"/>
      <c r="X294" s="64"/>
      <c r="Y294" s="64"/>
      <c r="Z294" s="64"/>
      <c r="AA294" s="64"/>
      <c r="AB294" s="64"/>
      <c r="AE294" s="64"/>
      <c r="AF294" s="64"/>
      <c r="AG294" s="64"/>
      <c r="AH294" s="64"/>
      <c r="AI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J295" s="65"/>
      <c r="K295" s="64"/>
      <c r="L295" s="64"/>
      <c r="M295" s="64"/>
      <c r="N295" s="64"/>
      <c r="Q295" s="64"/>
      <c r="R295" s="64"/>
      <c r="S295" s="64"/>
      <c r="T295" s="64"/>
      <c r="U295" s="64"/>
      <c r="X295" s="64"/>
      <c r="Y295" s="64"/>
      <c r="Z295" s="64"/>
      <c r="AA295" s="64"/>
      <c r="AB295" s="64"/>
      <c r="AE295" s="64"/>
      <c r="AF295" s="64"/>
      <c r="AG295" s="64"/>
      <c r="AH295" s="64"/>
      <c r="AI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J296" s="65"/>
      <c r="K296" s="64"/>
      <c r="L296" s="64"/>
      <c r="M296" s="64"/>
      <c r="N296" s="64"/>
      <c r="Q296" s="64"/>
      <c r="R296" s="64"/>
      <c r="S296" s="64"/>
      <c r="T296" s="64"/>
      <c r="U296" s="64"/>
      <c r="X296" s="64"/>
      <c r="Y296" s="64"/>
      <c r="Z296" s="64"/>
      <c r="AA296" s="64"/>
      <c r="AB296" s="64"/>
      <c r="AE296" s="64"/>
      <c r="AF296" s="64"/>
      <c r="AG296" s="64"/>
      <c r="AH296" s="64"/>
      <c r="AI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J297" s="65"/>
      <c r="K297" s="64"/>
      <c r="L297" s="64"/>
      <c r="M297" s="64"/>
      <c r="N297" s="64"/>
      <c r="Q297" s="64"/>
      <c r="R297" s="64"/>
      <c r="S297" s="64"/>
      <c r="T297" s="64"/>
      <c r="U297" s="64"/>
      <c r="X297" s="64"/>
      <c r="Y297" s="64"/>
      <c r="Z297" s="64"/>
      <c r="AA297" s="64"/>
      <c r="AB297" s="64"/>
      <c r="AE297" s="64"/>
      <c r="AF297" s="64"/>
      <c r="AG297" s="64"/>
      <c r="AH297" s="64"/>
      <c r="AI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J298" s="65"/>
      <c r="K298" s="64"/>
      <c r="L298" s="64"/>
      <c r="M298" s="64"/>
      <c r="N298" s="64"/>
      <c r="Q298" s="64"/>
      <c r="R298" s="64"/>
      <c r="S298" s="64"/>
      <c r="T298" s="64"/>
      <c r="U298" s="64"/>
      <c r="X298" s="64"/>
      <c r="Y298" s="64"/>
      <c r="Z298" s="64"/>
      <c r="AA298" s="64"/>
      <c r="AB298" s="64"/>
      <c r="AE298" s="64"/>
      <c r="AF298" s="64"/>
      <c r="AG298" s="64"/>
      <c r="AH298" s="64"/>
      <c r="AI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J299" s="65"/>
      <c r="K299" s="64"/>
      <c r="L299" s="64"/>
      <c r="M299" s="64"/>
      <c r="N299" s="64"/>
      <c r="Q299" s="64"/>
      <c r="R299" s="64"/>
      <c r="S299" s="64"/>
      <c r="T299" s="64"/>
      <c r="U299" s="64"/>
      <c r="X299" s="64"/>
      <c r="Y299" s="64"/>
      <c r="Z299" s="64"/>
      <c r="AA299" s="64"/>
      <c r="AB299" s="64"/>
      <c r="AE299" s="64"/>
      <c r="AF299" s="64"/>
      <c r="AG299" s="64"/>
      <c r="AH299" s="64"/>
      <c r="AI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J300" s="65"/>
      <c r="K300" s="64"/>
      <c r="L300" s="64"/>
      <c r="M300" s="64"/>
      <c r="N300" s="64"/>
      <c r="Q300" s="64"/>
      <c r="R300" s="64"/>
      <c r="S300" s="64"/>
      <c r="T300" s="64"/>
      <c r="U300" s="64"/>
      <c r="X300" s="64"/>
      <c r="Y300" s="64"/>
      <c r="Z300" s="64"/>
      <c r="AA300" s="64"/>
      <c r="AB300" s="64"/>
      <c r="AE300" s="64"/>
      <c r="AF300" s="64"/>
      <c r="AG300" s="64"/>
      <c r="AH300" s="64"/>
      <c r="AI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J301" s="65"/>
      <c r="K301" s="64"/>
      <c r="L301" s="64"/>
      <c r="M301" s="64"/>
      <c r="N301" s="64"/>
      <c r="Q301" s="64"/>
      <c r="R301" s="64"/>
      <c r="S301" s="64"/>
      <c r="T301" s="64"/>
      <c r="U301" s="64"/>
      <c r="X301" s="64"/>
      <c r="Y301" s="64"/>
      <c r="Z301" s="64"/>
      <c r="AA301" s="64"/>
      <c r="AB301" s="64"/>
      <c r="AE301" s="64"/>
      <c r="AF301" s="64"/>
      <c r="AG301" s="64"/>
      <c r="AH301" s="64"/>
      <c r="AI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J302" s="65"/>
      <c r="K302" s="64"/>
      <c r="L302" s="64"/>
      <c r="M302" s="64"/>
      <c r="N302" s="64"/>
      <c r="Q302" s="64"/>
      <c r="R302" s="64"/>
      <c r="S302" s="64"/>
      <c r="T302" s="64"/>
      <c r="U302" s="64"/>
      <c r="X302" s="64"/>
      <c r="Y302" s="64"/>
      <c r="Z302" s="64"/>
      <c r="AA302" s="64"/>
      <c r="AB302" s="64"/>
      <c r="AE302" s="64"/>
      <c r="AF302" s="64"/>
      <c r="AG302" s="64"/>
      <c r="AH302" s="64"/>
      <c r="AI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J303" s="65"/>
      <c r="K303" s="64"/>
      <c r="L303" s="64"/>
      <c r="M303" s="64"/>
      <c r="N303" s="64"/>
      <c r="Q303" s="64"/>
      <c r="R303" s="64"/>
      <c r="S303" s="64"/>
      <c r="T303" s="64"/>
      <c r="U303" s="64"/>
      <c r="X303" s="64"/>
      <c r="Y303" s="64"/>
      <c r="Z303" s="64"/>
      <c r="AA303" s="64"/>
      <c r="AB303" s="64"/>
      <c r="AE303" s="64"/>
      <c r="AF303" s="64"/>
      <c r="AG303" s="64"/>
      <c r="AH303" s="64"/>
      <c r="AI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J304" s="65"/>
      <c r="K304" s="64"/>
      <c r="L304" s="64"/>
      <c r="M304" s="64"/>
      <c r="N304" s="64"/>
      <c r="Q304" s="64"/>
      <c r="R304" s="64"/>
      <c r="S304" s="64"/>
      <c r="T304" s="64"/>
      <c r="U304" s="64"/>
      <c r="X304" s="64"/>
      <c r="Y304" s="64"/>
      <c r="Z304" s="64"/>
      <c r="AA304" s="64"/>
      <c r="AB304" s="64"/>
      <c r="AE304" s="64"/>
      <c r="AF304" s="64"/>
      <c r="AG304" s="64"/>
      <c r="AH304" s="64"/>
      <c r="AI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J305" s="65"/>
      <c r="K305" s="64"/>
      <c r="L305" s="64"/>
      <c r="M305" s="64"/>
      <c r="N305" s="64"/>
      <c r="Q305" s="64"/>
      <c r="R305" s="64"/>
      <c r="S305" s="64"/>
      <c r="T305" s="64"/>
      <c r="U305" s="64"/>
      <c r="X305" s="64"/>
      <c r="Y305" s="64"/>
      <c r="Z305" s="64"/>
      <c r="AA305" s="64"/>
      <c r="AB305" s="64"/>
      <c r="AE305" s="64"/>
      <c r="AF305" s="64"/>
      <c r="AG305" s="64"/>
      <c r="AH305" s="64"/>
      <c r="AI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J306" s="65"/>
      <c r="K306" s="64"/>
      <c r="L306" s="64"/>
      <c r="M306" s="64"/>
      <c r="N306" s="64"/>
      <c r="Q306" s="64"/>
      <c r="R306" s="64"/>
      <c r="S306" s="64"/>
      <c r="T306" s="64"/>
      <c r="U306" s="64"/>
      <c r="X306" s="64"/>
      <c r="Y306" s="64"/>
      <c r="Z306" s="64"/>
      <c r="AA306" s="64"/>
      <c r="AB306" s="64"/>
      <c r="AE306" s="64"/>
      <c r="AF306" s="64"/>
      <c r="AG306" s="64"/>
      <c r="AH306" s="64"/>
      <c r="AI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J307" s="65"/>
      <c r="K307" s="64"/>
      <c r="L307" s="64"/>
      <c r="M307" s="64"/>
      <c r="N307" s="64"/>
      <c r="Q307" s="64"/>
      <c r="R307" s="64"/>
      <c r="S307" s="64"/>
      <c r="T307" s="64"/>
      <c r="U307" s="64"/>
      <c r="X307" s="64"/>
      <c r="Y307" s="64"/>
      <c r="Z307" s="64"/>
      <c r="AA307" s="64"/>
      <c r="AB307" s="64"/>
      <c r="AE307" s="64"/>
      <c r="AF307" s="64"/>
      <c r="AG307" s="64"/>
      <c r="AH307" s="64"/>
      <c r="AI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J308" s="65"/>
      <c r="K308" s="64"/>
      <c r="L308" s="64"/>
      <c r="M308" s="64"/>
      <c r="N308" s="64"/>
      <c r="Q308" s="64"/>
      <c r="R308" s="64"/>
      <c r="S308" s="64"/>
      <c r="T308" s="64"/>
      <c r="U308" s="64"/>
      <c r="X308" s="64"/>
      <c r="Y308" s="64"/>
      <c r="Z308" s="64"/>
      <c r="AA308" s="64"/>
      <c r="AB308" s="64"/>
      <c r="AE308" s="64"/>
      <c r="AF308" s="64"/>
      <c r="AG308" s="64"/>
      <c r="AH308" s="64"/>
      <c r="AI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J309" s="65"/>
      <c r="K309" s="64"/>
      <c r="L309" s="64"/>
      <c r="M309" s="64"/>
      <c r="N309" s="64"/>
      <c r="Q309" s="64"/>
      <c r="R309" s="64"/>
      <c r="S309" s="64"/>
      <c r="T309" s="64"/>
      <c r="U309" s="64"/>
      <c r="X309" s="64"/>
      <c r="Y309" s="64"/>
      <c r="Z309" s="64"/>
      <c r="AA309" s="64"/>
      <c r="AB309" s="64"/>
      <c r="AE309" s="64"/>
      <c r="AF309" s="64"/>
      <c r="AG309" s="64"/>
      <c r="AH309" s="64"/>
      <c r="AI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J310" s="65"/>
      <c r="K310" s="64"/>
      <c r="L310" s="64"/>
      <c r="M310" s="64"/>
      <c r="N310" s="64"/>
      <c r="Q310" s="64"/>
      <c r="R310" s="64"/>
      <c r="S310" s="64"/>
      <c r="T310" s="64"/>
      <c r="U310" s="64"/>
      <c r="X310" s="64"/>
      <c r="Y310" s="64"/>
      <c r="Z310" s="64"/>
      <c r="AA310" s="64"/>
      <c r="AB310" s="64"/>
      <c r="AE310" s="64"/>
      <c r="AF310" s="64"/>
      <c r="AG310" s="64"/>
      <c r="AH310" s="64"/>
      <c r="AI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J311" s="65"/>
      <c r="K311" s="64"/>
      <c r="L311" s="64"/>
      <c r="M311" s="64"/>
      <c r="N311" s="64"/>
      <c r="Q311" s="64"/>
      <c r="R311" s="64"/>
      <c r="S311" s="64"/>
      <c r="T311" s="64"/>
      <c r="U311" s="64"/>
      <c r="X311" s="64"/>
      <c r="Y311" s="64"/>
      <c r="Z311" s="64"/>
      <c r="AA311" s="64"/>
      <c r="AB311" s="64"/>
      <c r="AE311" s="64"/>
      <c r="AF311" s="64"/>
      <c r="AG311" s="64"/>
      <c r="AH311" s="64"/>
      <c r="AI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J312" s="65"/>
      <c r="K312" s="64"/>
      <c r="L312" s="64"/>
      <c r="M312" s="64"/>
      <c r="N312" s="64"/>
      <c r="Q312" s="64"/>
      <c r="R312" s="64"/>
      <c r="S312" s="64"/>
      <c r="T312" s="64"/>
      <c r="U312" s="64"/>
      <c r="X312" s="64"/>
      <c r="Y312" s="64"/>
      <c r="Z312" s="64"/>
      <c r="AA312" s="64"/>
      <c r="AB312" s="64"/>
      <c r="AE312" s="64"/>
      <c r="AF312" s="64"/>
      <c r="AG312" s="64"/>
      <c r="AH312" s="64"/>
      <c r="AI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J313" s="65"/>
      <c r="K313" s="64"/>
      <c r="L313" s="64"/>
      <c r="M313" s="64"/>
      <c r="N313" s="64"/>
      <c r="Q313" s="64"/>
      <c r="R313" s="64"/>
      <c r="S313" s="64"/>
      <c r="T313" s="64"/>
      <c r="U313" s="64"/>
      <c r="X313" s="64"/>
      <c r="Y313" s="64"/>
      <c r="Z313" s="64"/>
      <c r="AA313" s="64"/>
      <c r="AB313" s="64"/>
      <c r="AE313" s="64"/>
      <c r="AF313" s="64"/>
      <c r="AG313" s="64"/>
      <c r="AH313" s="64"/>
      <c r="AI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J314" s="65"/>
      <c r="K314" s="64"/>
      <c r="L314" s="64"/>
      <c r="M314" s="64"/>
      <c r="N314" s="64"/>
      <c r="Q314" s="64"/>
      <c r="R314" s="64"/>
      <c r="S314" s="64"/>
      <c r="T314" s="64"/>
      <c r="U314" s="64"/>
      <c r="X314" s="64"/>
      <c r="Y314" s="64"/>
      <c r="Z314" s="64"/>
      <c r="AA314" s="64"/>
      <c r="AB314" s="64"/>
      <c r="AE314" s="64"/>
      <c r="AF314" s="64"/>
      <c r="AG314" s="64"/>
      <c r="AH314" s="64"/>
      <c r="AI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J315" s="65"/>
      <c r="K315" s="64"/>
      <c r="L315" s="64"/>
      <c r="M315" s="64"/>
      <c r="N315" s="64"/>
      <c r="Q315" s="64"/>
      <c r="R315" s="64"/>
      <c r="S315" s="64"/>
      <c r="T315" s="64"/>
      <c r="U315" s="64"/>
      <c r="X315" s="64"/>
      <c r="Y315" s="64"/>
      <c r="Z315" s="64"/>
      <c r="AA315" s="64"/>
      <c r="AB315" s="64"/>
      <c r="AE315" s="64"/>
      <c r="AF315" s="64"/>
      <c r="AG315" s="64"/>
      <c r="AH315" s="64"/>
      <c r="AI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J316" s="65"/>
      <c r="K316" s="64"/>
      <c r="L316" s="64"/>
      <c r="M316" s="64"/>
      <c r="N316" s="64"/>
      <c r="Q316" s="64"/>
      <c r="R316" s="64"/>
      <c r="S316" s="64"/>
      <c r="T316" s="64"/>
      <c r="U316" s="64"/>
      <c r="X316" s="64"/>
      <c r="Y316" s="64"/>
      <c r="Z316" s="64"/>
      <c r="AA316" s="64"/>
      <c r="AB316" s="64"/>
      <c r="AE316" s="64"/>
      <c r="AF316" s="64"/>
      <c r="AG316" s="64"/>
      <c r="AH316" s="64"/>
      <c r="AI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J317" s="65"/>
      <c r="K317" s="64"/>
      <c r="L317" s="64"/>
      <c r="M317" s="64"/>
      <c r="N317" s="64"/>
      <c r="Q317" s="64"/>
      <c r="R317" s="64"/>
      <c r="S317" s="64"/>
      <c r="T317" s="64"/>
      <c r="U317" s="64"/>
      <c r="X317" s="64"/>
      <c r="Y317" s="64"/>
      <c r="Z317" s="64"/>
      <c r="AA317" s="64"/>
      <c r="AB317" s="64"/>
      <c r="AE317" s="64"/>
      <c r="AF317" s="64"/>
      <c r="AG317" s="64"/>
      <c r="AH317" s="64"/>
      <c r="AI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J318" s="65"/>
      <c r="K318" s="64"/>
      <c r="L318" s="64"/>
      <c r="M318" s="64"/>
      <c r="N318" s="64"/>
      <c r="Q318" s="64"/>
      <c r="R318" s="64"/>
      <c r="S318" s="64"/>
      <c r="T318" s="64"/>
      <c r="U318" s="64"/>
      <c r="X318" s="64"/>
      <c r="Y318" s="64"/>
      <c r="Z318" s="64"/>
      <c r="AA318" s="64"/>
      <c r="AB318" s="64"/>
      <c r="AE318" s="64"/>
      <c r="AF318" s="64"/>
      <c r="AG318" s="64"/>
      <c r="AH318" s="64"/>
      <c r="AI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J319" s="65"/>
      <c r="K319" s="64"/>
      <c r="L319" s="64"/>
      <c r="M319" s="64"/>
      <c r="N319" s="64"/>
      <c r="Q319" s="64"/>
      <c r="R319" s="64"/>
      <c r="S319" s="64"/>
      <c r="T319" s="64"/>
      <c r="U319" s="64"/>
      <c r="X319" s="64"/>
      <c r="Y319" s="64"/>
      <c r="Z319" s="64"/>
      <c r="AA319" s="64"/>
      <c r="AB319" s="64"/>
      <c r="AE319" s="64"/>
      <c r="AF319" s="64"/>
      <c r="AG319" s="64"/>
      <c r="AH319" s="64"/>
      <c r="AI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J320" s="65"/>
      <c r="K320" s="64"/>
      <c r="L320" s="64"/>
      <c r="M320" s="64"/>
      <c r="N320" s="64"/>
      <c r="Q320" s="64"/>
      <c r="R320" s="64"/>
      <c r="S320" s="64"/>
      <c r="T320" s="64"/>
      <c r="U320" s="64"/>
      <c r="X320" s="64"/>
      <c r="Y320" s="64"/>
      <c r="Z320" s="64"/>
      <c r="AA320" s="64"/>
      <c r="AB320" s="64"/>
      <c r="AE320" s="64"/>
      <c r="AF320" s="64"/>
      <c r="AG320" s="64"/>
      <c r="AH320" s="64"/>
      <c r="AI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J321" s="65"/>
      <c r="K321" s="64"/>
      <c r="L321" s="64"/>
      <c r="M321" s="64"/>
      <c r="N321" s="64"/>
      <c r="Q321" s="64"/>
      <c r="R321" s="64"/>
      <c r="S321" s="64"/>
      <c r="T321" s="64"/>
      <c r="U321" s="64"/>
      <c r="X321" s="64"/>
      <c r="Y321" s="64"/>
      <c r="Z321" s="64"/>
      <c r="AA321" s="64"/>
      <c r="AB321" s="64"/>
      <c r="AE321" s="64"/>
      <c r="AF321" s="64"/>
      <c r="AG321" s="64"/>
      <c r="AH321" s="64"/>
      <c r="AI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J322" s="65"/>
      <c r="K322" s="64"/>
      <c r="L322" s="64"/>
      <c r="M322" s="64"/>
      <c r="N322" s="64"/>
      <c r="Q322" s="64"/>
      <c r="R322" s="64"/>
      <c r="S322" s="64"/>
      <c r="T322" s="64"/>
      <c r="U322" s="64"/>
      <c r="X322" s="64"/>
      <c r="Y322" s="64"/>
      <c r="Z322" s="64"/>
      <c r="AA322" s="64"/>
      <c r="AB322" s="64"/>
      <c r="AE322" s="64"/>
      <c r="AF322" s="64"/>
      <c r="AG322" s="64"/>
      <c r="AH322" s="64"/>
      <c r="AI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J323" s="65"/>
      <c r="K323" s="64"/>
      <c r="L323" s="64"/>
      <c r="M323" s="64"/>
      <c r="N323" s="64"/>
      <c r="Q323" s="64"/>
      <c r="R323" s="64"/>
      <c r="S323" s="64"/>
      <c r="T323" s="64"/>
      <c r="U323" s="64"/>
      <c r="X323" s="64"/>
      <c r="Y323" s="64"/>
      <c r="Z323" s="64"/>
      <c r="AA323" s="64"/>
      <c r="AB323" s="64"/>
      <c r="AE323" s="64"/>
      <c r="AF323" s="64"/>
      <c r="AG323" s="64"/>
      <c r="AH323" s="64"/>
      <c r="AI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J324" s="65"/>
      <c r="K324" s="64"/>
      <c r="L324" s="64"/>
      <c r="M324" s="64"/>
      <c r="N324" s="64"/>
      <c r="Q324" s="64"/>
      <c r="R324" s="64"/>
      <c r="S324" s="64"/>
      <c r="T324" s="64"/>
      <c r="U324" s="64"/>
      <c r="X324" s="64"/>
      <c r="Y324" s="64"/>
      <c r="Z324" s="64"/>
      <c r="AA324" s="64"/>
      <c r="AB324" s="64"/>
      <c r="AE324" s="64"/>
      <c r="AF324" s="64"/>
      <c r="AG324" s="64"/>
      <c r="AH324" s="64"/>
      <c r="AI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J325" s="65"/>
      <c r="K325" s="64"/>
      <c r="L325" s="64"/>
      <c r="M325" s="64"/>
      <c r="N325" s="64"/>
      <c r="Q325" s="64"/>
      <c r="R325" s="64"/>
      <c r="S325" s="64"/>
      <c r="T325" s="64"/>
      <c r="U325" s="64"/>
      <c r="X325" s="64"/>
      <c r="Y325" s="64"/>
      <c r="Z325" s="64"/>
      <c r="AA325" s="64"/>
      <c r="AB325" s="64"/>
      <c r="AE325" s="64"/>
      <c r="AF325" s="64"/>
      <c r="AG325" s="64"/>
      <c r="AH325" s="64"/>
      <c r="AI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J326" s="65"/>
      <c r="K326" s="64"/>
      <c r="L326" s="64"/>
      <c r="M326" s="64"/>
      <c r="N326" s="64"/>
      <c r="Q326" s="64"/>
      <c r="R326" s="64"/>
      <c r="S326" s="64"/>
      <c r="T326" s="64"/>
      <c r="U326" s="64"/>
      <c r="X326" s="64"/>
      <c r="Y326" s="64"/>
      <c r="Z326" s="64"/>
      <c r="AA326" s="64"/>
      <c r="AB326" s="64"/>
      <c r="AE326" s="64"/>
      <c r="AF326" s="64"/>
      <c r="AG326" s="64"/>
      <c r="AH326" s="64"/>
      <c r="AI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J327" s="65"/>
      <c r="K327" s="64"/>
      <c r="L327" s="64"/>
      <c r="M327" s="64"/>
      <c r="N327" s="64"/>
      <c r="Q327" s="64"/>
      <c r="R327" s="64"/>
      <c r="S327" s="64"/>
      <c r="T327" s="64"/>
      <c r="U327" s="64"/>
      <c r="X327" s="64"/>
      <c r="Y327" s="64"/>
      <c r="Z327" s="64"/>
      <c r="AA327" s="64"/>
      <c r="AB327" s="64"/>
      <c r="AE327" s="64"/>
      <c r="AF327" s="64"/>
      <c r="AG327" s="64"/>
      <c r="AH327" s="64"/>
      <c r="AI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J328" s="65"/>
      <c r="K328" s="64"/>
      <c r="L328" s="64"/>
      <c r="M328" s="64"/>
      <c r="N328" s="64"/>
      <c r="Q328" s="64"/>
      <c r="R328" s="64"/>
      <c r="S328" s="64"/>
      <c r="T328" s="64"/>
      <c r="U328" s="64"/>
      <c r="X328" s="64"/>
      <c r="Y328" s="64"/>
      <c r="Z328" s="64"/>
      <c r="AA328" s="64"/>
      <c r="AB328" s="64"/>
      <c r="AE328" s="64"/>
      <c r="AF328" s="64"/>
      <c r="AG328" s="64"/>
      <c r="AH328" s="64"/>
      <c r="AI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J329" s="65"/>
      <c r="K329" s="64"/>
      <c r="L329" s="64"/>
      <c r="M329" s="64"/>
      <c r="N329" s="64"/>
      <c r="Q329" s="64"/>
      <c r="R329" s="64"/>
      <c r="S329" s="64"/>
      <c r="T329" s="64"/>
      <c r="U329" s="64"/>
      <c r="X329" s="64"/>
      <c r="Y329" s="64"/>
      <c r="Z329" s="64"/>
      <c r="AA329" s="64"/>
      <c r="AB329" s="64"/>
      <c r="AE329" s="64"/>
      <c r="AF329" s="64"/>
      <c r="AG329" s="64"/>
      <c r="AH329" s="64"/>
      <c r="AI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J330" s="65"/>
      <c r="K330" s="64"/>
      <c r="L330" s="64"/>
      <c r="M330" s="64"/>
      <c r="N330" s="64"/>
      <c r="Q330" s="64"/>
      <c r="R330" s="64"/>
      <c r="S330" s="64"/>
      <c r="T330" s="64"/>
      <c r="U330" s="64"/>
      <c r="X330" s="64"/>
      <c r="Y330" s="64"/>
      <c r="Z330" s="64"/>
      <c r="AA330" s="64"/>
      <c r="AB330" s="64"/>
      <c r="AE330" s="64"/>
      <c r="AF330" s="64"/>
      <c r="AG330" s="64"/>
      <c r="AH330" s="64"/>
      <c r="AI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J331" s="65"/>
      <c r="K331" s="64"/>
      <c r="L331" s="64"/>
      <c r="M331" s="64"/>
      <c r="N331" s="64"/>
      <c r="Q331" s="64"/>
      <c r="R331" s="64"/>
      <c r="S331" s="64"/>
      <c r="T331" s="64"/>
      <c r="U331" s="64"/>
      <c r="X331" s="64"/>
      <c r="Y331" s="64"/>
      <c r="Z331" s="64"/>
      <c r="AA331" s="64"/>
      <c r="AB331" s="64"/>
      <c r="AE331" s="64"/>
      <c r="AF331" s="64"/>
      <c r="AG331" s="64"/>
      <c r="AH331" s="64"/>
      <c r="AI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J332" s="65"/>
      <c r="K332" s="64"/>
      <c r="L332" s="64"/>
      <c r="M332" s="64"/>
      <c r="N332" s="64"/>
      <c r="Q332" s="64"/>
      <c r="R332" s="64"/>
      <c r="S332" s="64"/>
      <c r="T332" s="64"/>
      <c r="U332" s="64"/>
      <c r="X332" s="64"/>
      <c r="Y332" s="64"/>
      <c r="Z332" s="64"/>
      <c r="AA332" s="64"/>
      <c r="AB332" s="64"/>
      <c r="AE332" s="64"/>
      <c r="AF332" s="64"/>
      <c r="AG332" s="64"/>
      <c r="AH332" s="64"/>
      <c r="AI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J333" s="65"/>
      <c r="K333" s="64"/>
      <c r="L333" s="64"/>
      <c r="M333" s="64"/>
      <c r="N333" s="64"/>
      <c r="Q333" s="64"/>
      <c r="R333" s="64"/>
      <c r="S333" s="64"/>
      <c r="T333" s="64"/>
      <c r="U333" s="64"/>
      <c r="X333" s="64"/>
      <c r="Y333" s="64"/>
      <c r="Z333" s="64"/>
      <c r="AA333" s="64"/>
      <c r="AB333" s="64"/>
      <c r="AE333" s="64"/>
      <c r="AF333" s="64"/>
      <c r="AG333" s="64"/>
      <c r="AH333" s="64"/>
      <c r="AI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J334" s="65"/>
      <c r="K334" s="64"/>
      <c r="L334" s="64"/>
      <c r="M334" s="64"/>
      <c r="N334" s="64"/>
      <c r="Q334" s="64"/>
      <c r="R334" s="64"/>
      <c r="S334" s="64"/>
      <c r="T334" s="64"/>
      <c r="U334" s="64"/>
      <c r="X334" s="64"/>
      <c r="Y334" s="64"/>
      <c r="Z334" s="64"/>
      <c r="AA334" s="64"/>
      <c r="AB334" s="64"/>
      <c r="AE334" s="64"/>
      <c r="AF334" s="64"/>
      <c r="AG334" s="64"/>
      <c r="AH334" s="64"/>
      <c r="AI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J335" s="65"/>
      <c r="K335" s="64"/>
      <c r="L335" s="64"/>
      <c r="M335" s="64"/>
      <c r="N335" s="64"/>
      <c r="Q335" s="64"/>
      <c r="R335" s="64"/>
      <c r="S335" s="64"/>
      <c r="T335" s="64"/>
      <c r="U335" s="64"/>
      <c r="X335" s="64"/>
      <c r="Y335" s="64"/>
      <c r="Z335" s="64"/>
      <c r="AA335" s="64"/>
      <c r="AB335" s="64"/>
      <c r="AE335" s="64"/>
      <c r="AF335" s="64"/>
      <c r="AG335" s="64"/>
      <c r="AH335" s="64"/>
      <c r="AI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J336" s="65"/>
      <c r="K336" s="64"/>
      <c r="L336" s="64"/>
      <c r="M336" s="64"/>
      <c r="N336" s="64"/>
      <c r="Q336" s="64"/>
      <c r="R336" s="64"/>
      <c r="S336" s="64"/>
      <c r="T336" s="64"/>
      <c r="U336" s="64"/>
      <c r="X336" s="64"/>
      <c r="Y336" s="64"/>
      <c r="Z336" s="64"/>
      <c r="AA336" s="64"/>
      <c r="AB336" s="64"/>
      <c r="AE336" s="64"/>
      <c r="AF336" s="64"/>
      <c r="AG336" s="64"/>
      <c r="AH336" s="64"/>
      <c r="AI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J337" s="65"/>
      <c r="K337" s="64"/>
      <c r="L337" s="64"/>
      <c r="M337" s="64"/>
      <c r="N337" s="64"/>
      <c r="Q337" s="64"/>
      <c r="R337" s="64"/>
      <c r="S337" s="64"/>
      <c r="T337" s="64"/>
      <c r="U337" s="64"/>
      <c r="X337" s="64"/>
      <c r="Y337" s="64"/>
      <c r="Z337" s="64"/>
      <c r="AA337" s="64"/>
      <c r="AB337" s="64"/>
      <c r="AE337" s="64"/>
      <c r="AF337" s="64"/>
      <c r="AG337" s="64"/>
      <c r="AH337" s="64"/>
      <c r="AI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J338" s="65"/>
      <c r="K338" s="64"/>
      <c r="L338" s="64"/>
      <c r="M338" s="64"/>
      <c r="N338" s="64"/>
      <c r="Q338" s="64"/>
      <c r="R338" s="64"/>
      <c r="S338" s="64"/>
      <c r="T338" s="64"/>
      <c r="U338" s="64"/>
      <c r="X338" s="64"/>
      <c r="Y338" s="64"/>
      <c r="Z338" s="64"/>
      <c r="AA338" s="64"/>
      <c r="AB338" s="64"/>
      <c r="AE338" s="64"/>
      <c r="AF338" s="64"/>
      <c r="AG338" s="64"/>
      <c r="AH338" s="64"/>
      <c r="AI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J339" s="65"/>
      <c r="K339" s="64"/>
      <c r="L339" s="64"/>
      <c r="M339" s="64"/>
      <c r="N339" s="64"/>
      <c r="Q339" s="64"/>
      <c r="R339" s="64"/>
      <c r="S339" s="64"/>
      <c r="T339" s="64"/>
      <c r="U339" s="64"/>
      <c r="X339" s="64"/>
      <c r="Y339" s="64"/>
      <c r="Z339" s="64"/>
      <c r="AA339" s="64"/>
      <c r="AB339" s="64"/>
      <c r="AE339" s="64"/>
      <c r="AF339" s="64"/>
      <c r="AG339" s="64"/>
      <c r="AH339" s="64"/>
      <c r="AI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68" priority="8" operator="lessThan">
      <formula>0</formula>
    </cfRule>
  </conditionalFormatting>
  <conditionalFormatting sqref="M80 P80 R80:AJ80 F131:H131 J131">
    <cfRule type="cellIs" dxfId="67" priority="11" operator="lessThan">
      <formula>0</formula>
    </cfRule>
  </conditionalFormatting>
  <conditionalFormatting sqref="M120:X123">
    <cfRule type="cellIs" dxfId="66" priority="9" operator="lessThan">
      <formula>0</formula>
    </cfRule>
  </conditionalFormatting>
  <conditionalFormatting sqref="M128:X132">
    <cfRule type="cellIs" dxfId="65" priority="6" operator="lessThan">
      <formula>0</formula>
    </cfRule>
  </conditionalFormatting>
  <conditionalFormatting sqref="M77:AJ79 F77:L87 M81:AJ87 F88:AK117 M118:AJ119 F118:J130 K118:L132 AK118:AK135 F132:J135 K134:AJ135">
    <cfRule type="cellIs" dxfId="64" priority="7" operator="lessThan">
      <formula>0</formula>
    </cfRule>
  </conditionalFormatting>
  <conditionalFormatting sqref="M124:AJ124 M125:X126 M127:Q127 S127:X127">
    <cfRule type="cellIs" dxfId="63" priority="10" operator="lessThan">
      <formula>0</formula>
    </cfRule>
  </conditionalFormatting>
  <conditionalFormatting sqref="Z120:AJ123">
    <cfRule type="cellIs" dxfId="62" priority="5" operator="lessThan">
      <formula>0</formula>
    </cfRule>
  </conditionalFormatting>
  <conditionalFormatting sqref="Z125:AJ133">
    <cfRule type="cellIs" dxfId="61" priority="4" operator="lessThan">
      <formula>0</formula>
    </cfRule>
  </conditionalFormatting>
  <conditionalFormatting sqref="AK29:AK30">
    <cfRule type="cellIs" dxfId="60" priority="3" operator="lessThan">
      <formula>0</formula>
    </cfRule>
  </conditionalFormatting>
  <conditionalFormatting sqref="F29:AJ30">
    <cfRule type="cellIs" dxfId="5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4C76-182D-497C-B072-416388E65821}">
  <dimension ref="A1:AS339"/>
  <sheetViews>
    <sheetView zoomScale="80" zoomScaleNormal="80" workbookViewId="0">
      <pane xSplit="1" ySplit="2" topLeftCell="B7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9" width="5.5703125" style="64" bestFit="1" customWidth="1"/>
    <col min="10" max="11" width="5.5703125" style="68" bestFit="1" customWidth="1"/>
    <col min="12" max="12" width="5.5703125" style="64" customWidth="1"/>
    <col min="13" max="16" width="5.5703125" style="64" bestFit="1" customWidth="1"/>
    <col min="17" max="17" width="6.140625" style="68" customWidth="1"/>
    <col min="18" max="18" width="5.5703125" style="68" customWidth="1"/>
    <col min="19" max="19" width="6.7109375" style="64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4" bestFit="1" customWidth="1"/>
    <col min="24" max="25" width="5.5703125" style="68" bestFit="1" customWidth="1"/>
    <col min="26" max="26" width="5.5703125" style="64" bestFit="1" customWidth="1"/>
    <col min="27" max="27" width="6.7109375" style="64" bestFit="1" customWidth="1"/>
    <col min="28" max="28" width="5.140625" style="64" bestFit="1" customWidth="1"/>
    <col min="29" max="29" width="5" style="64" bestFit="1" customWidth="1"/>
    <col min="30" max="30" width="6.7109375" style="64" bestFit="1" customWidth="1"/>
    <col min="31" max="31" width="5.5703125" style="68" bestFit="1" customWidth="1"/>
    <col min="32" max="32" width="4.5703125" style="68" bestFit="1" customWidth="1"/>
    <col min="33" max="33" width="4.5703125" style="64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339</v>
      </c>
      <c r="G1" s="116" t="s">
        <v>333</v>
      </c>
      <c r="H1" s="116" t="s">
        <v>334</v>
      </c>
      <c r="I1" s="116" t="s">
        <v>335</v>
      </c>
      <c r="J1" s="120" t="s">
        <v>336</v>
      </c>
      <c r="K1" s="120" t="s">
        <v>337</v>
      </c>
      <c r="L1" s="116" t="s">
        <v>338</v>
      </c>
      <c r="M1" s="116" t="s">
        <v>339</v>
      </c>
      <c r="N1" s="116" t="s">
        <v>333</v>
      </c>
      <c r="O1" s="116" t="s">
        <v>334</v>
      </c>
      <c r="P1" s="116" t="s">
        <v>335</v>
      </c>
      <c r="Q1" s="120" t="s">
        <v>336</v>
      </c>
      <c r="R1" s="120" t="s">
        <v>337</v>
      </c>
      <c r="S1" s="116" t="s">
        <v>338</v>
      </c>
      <c r="T1" s="116" t="s">
        <v>339</v>
      </c>
      <c r="U1" s="116" t="s">
        <v>333</v>
      </c>
      <c r="V1" s="116" t="s">
        <v>334</v>
      </c>
      <c r="W1" s="116" t="s">
        <v>335</v>
      </c>
      <c r="X1" s="120" t="s">
        <v>336</v>
      </c>
      <c r="Y1" s="120" t="s">
        <v>337</v>
      </c>
      <c r="Z1" s="116" t="s">
        <v>338</v>
      </c>
      <c r="AA1" s="116" t="s">
        <v>339</v>
      </c>
      <c r="AB1" s="116" t="s">
        <v>333</v>
      </c>
      <c r="AC1" s="116" t="s">
        <v>334</v>
      </c>
      <c r="AD1" s="116" t="s">
        <v>335</v>
      </c>
      <c r="AE1" s="120" t="s">
        <v>336</v>
      </c>
      <c r="AF1" s="120" t="s">
        <v>337</v>
      </c>
      <c r="AG1" s="116" t="s">
        <v>338</v>
      </c>
      <c r="AH1" s="116" t="s">
        <v>339</v>
      </c>
      <c r="AI1" s="116" t="s">
        <v>333</v>
      </c>
      <c r="AJ1" s="116" t="s">
        <v>334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46539</v>
      </c>
      <c r="G2" s="112">
        <v>46540</v>
      </c>
      <c r="H2" s="112">
        <v>46541</v>
      </c>
      <c r="I2" s="112">
        <v>46542</v>
      </c>
      <c r="J2" s="129">
        <v>46543</v>
      </c>
      <c r="K2" s="129">
        <v>46544</v>
      </c>
      <c r="L2" s="112">
        <v>46545</v>
      </c>
      <c r="M2" s="112">
        <v>46546</v>
      </c>
      <c r="N2" s="112">
        <v>46547</v>
      </c>
      <c r="O2" s="112">
        <v>46548</v>
      </c>
      <c r="P2" s="112">
        <v>46549</v>
      </c>
      <c r="Q2" s="129">
        <v>46550</v>
      </c>
      <c r="R2" s="129">
        <v>46551</v>
      </c>
      <c r="S2" s="112">
        <v>46552</v>
      </c>
      <c r="T2" s="112">
        <v>46553</v>
      </c>
      <c r="U2" s="112">
        <v>46554</v>
      </c>
      <c r="V2" s="112">
        <v>46555</v>
      </c>
      <c r="W2" s="112">
        <v>46556</v>
      </c>
      <c r="X2" s="129">
        <v>46557</v>
      </c>
      <c r="Y2" s="129">
        <v>46558</v>
      </c>
      <c r="Z2" s="112">
        <v>46559</v>
      </c>
      <c r="AA2" s="112">
        <v>46560</v>
      </c>
      <c r="AB2" s="112">
        <v>46561</v>
      </c>
      <c r="AC2" s="112">
        <v>46562</v>
      </c>
      <c r="AD2" s="112">
        <v>46563</v>
      </c>
      <c r="AE2" s="129">
        <v>46564</v>
      </c>
      <c r="AF2" s="129">
        <v>46565</v>
      </c>
      <c r="AG2" s="112">
        <v>46566</v>
      </c>
      <c r="AH2" s="112">
        <v>46567</v>
      </c>
      <c r="AI2" s="112">
        <v>46568</v>
      </c>
      <c r="AJ2" s="112"/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70"/>
      <c r="J4" s="120"/>
      <c r="K4" s="120"/>
      <c r="L4" s="70"/>
      <c r="M4" s="70"/>
      <c r="N4" s="70"/>
      <c r="O4" s="70"/>
      <c r="P4" s="70"/>
      <c r="Q4" s="120"/>
      <c r="R4" s="120"/>
      <c r="S4" s="70"/>
      <c r="T4" s="70"/>
      <c r="U4" s="70"/>
      <c r="V4" s="70"/>
      <c r="W4" s="70"/>
      <c r="X4" s="120"/>
      <c r="Y4" s="120"/>
      <c r="Z4" s="70"/>
      <c r="AA4" s="70"/>
      <c r="AB4" s="70"/>
      <c r="AC4" s="70"/>
      <c r="AD4" s="70"/>
      <c r="AE4" s="120"/>
      <c r="AF4" s="120"/>
      <c r="AG4" s="7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70"/>
      <c r="J5" s="120"/>
      <c r="K5" s="120"/>
      <c r="L5" s="70"/>
      <c r="M5" s="70"/>
      <c r="N5" s="70"/>
      <c r="O5" s="70"/>
      <c r="P5" s="70"/>
      <c r="Q5" s="120"/>
      <c r="R5" s="120"/>
      <c r="S5" s="70"/>
      <c r="T5" s="70"/>
      <c r="U5" s="70"/>
      <c r="V5" s="70"/>
      <c r="W5" s="70"/>
      <c r="X5" s="120"/>
      <c r="Y5" s="120"/>
      <c r="Z5" s="70"/>
      <c r="AA5" s="70"/>
      <c r="AB5" s="70"/>
      <c r="AC5" s="70"/>
      <c r="AD5" s="70"/>
      <c r="AE5" s="120"/>
      <c r="AF5" s="120"/>
      <c r="AG5" s="7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70"/>
      <c r="I6" s="70"/>
      <c r="J6" s="120"/>
      <c r="K6" s="120"/>
      <c r="L6" s="70"/>
      <c r="M6" s="70"/>
      <c r="N6" s="70"/>
      <c r="O6" s="70"/>
      <c r="P6" s="70"/>
      <c r="Q6" s="120"/>
      <c r="R6" s="120"/>
      <c r="S6" s="70"/>
      <c r="T6" s="70"/>
      <c r="U6" s="70"/>
      <c r="V6" s="70"/>
      <c r="W6" s="70"/>
      <c r="X6" s="120"/>
      <c r="Y6" s="120"/>
      <c r="Z6" s="70"/>
      <c r="AA6" s="70"/>
      <c r="AB6" s="70"/>
      <c r="AC6" s="70"/>
      <c r="AD6" s="70"/>
      <c r="AE6" s="120"/>
      <c r="AF6" s="120"/>
      <c r="AG6" s="70"/>
      <c r="AH6" s="7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70"/>
      <c r="J7" s="120"/>
      <c r="K7" s="120"/>
      <c r="L7" s="70"/>
      <c r="M7" s="70"/>
      <c r="N7" s="70"/>
      <c r="O7" s="70"/>
      <c r="P7" s="70"/>
      <c r="Q7" s="120"/>
      <c r="R7" s="120"/>
      <c r="S7" s="70"/>
      <c r="T7" s="70"/>
      <c r="U7" s="70"/>
      <c r="V7" s="70"/>
      <c r="W7" s="70"/>
      <c r="X7" s="120"/>
      <c r="Y7" s="120"/>
      <c r="Z7" s="70"/>
      <c r="AA7" s="70"/>
      <c r="AB7" s="70"/>
      <c r="AC7" s="70"/>
      <c r="AD7" s="70"/>
      <c r="AE7" s="120"/>
      <c r="AF7" s="120"/>
      <c r="AG7" s="70"/>
      <c r="AH7" s="7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08"/>
      <c r="J8" s="128"/>
      <c r="K8" s="128"/>
      <c r="L8" s="108"/>
      <c r="M8" s="108"/>
      <c r="N8" s="108"/>
      <c r="O8" s="108"/>
      <c r="P8" s="108"/>
      <c r="Q8" s="128"/>
      <c r="R8" s="128"/>
      <c r="S8" s="108"/>
      <c r="T8" s="108"/>
      <c r="U8" s="70"/>
      <c r="V8" s="108"/>
      <c r="W8" s="70"/>
      <c r="X8" s="120"/>
      <c r="Y8" s="128"/>
      <c r="Z8" s="108"/>
      <c r="AA8" s="108"/>
      <c r="AB8" s="108"/>
      <c r="AC8" s="108"/>
      <c r="AD8" s="70"/>
      <c r="AE8" s="120"/>
      <c r="AF8" s="120"/>
      <c r="AG8" s="7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70"/>
      <c r="J9" s="120"/>
      <c r="K9" s="120"/>
      <c r="L9" s="70"/>
      <c r="M9" s="70"/>
      <c r="N9" s="70"/>
      <c r="O9" s="70"/>
      <c r="P9" s="70"/>
      <c r="Q9" s="120"/>
      <c r="R9" s="120"/>
      <c r="S9" s="70"/>
      <c r="T9" s="70"/>
      <c r="U9" s="70"/>
      <c r="V9" s="70"/>
      <c r="W9" s="70"/>
      <c r="X9" s="120"/>
      <c r="Y9" s="120"/>
      <c r="Z9" s="70"/>
      <c r="AA9" s="70"/>
      <c r="AB9" s="70"/>
      <c r="AC9" s="70"/>
      <c r="AD9" s="70"/>
      <c r="AE9" s="120"/>
      <c r="AF9" s="120"/>
      <c r="AG9" s="7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70"/>
      <c r="J10" s="120"/>
      <c r="K10" s="120"/>
      <c r="L10" s="70"/>
      <c r="M10" s="70"/>
      <c r="N10" s="70"/>
      <c r="O10" s="70"/>
      <c r="P10" s="70"/>
      <c r="Q10" s="120"/>
      <c r="R10" s="120"/>
      <c r="S10" s="70"/>
      <c r="T10" s="70"/>
      <c r="U10" s="70"/>
      <c r="V10" s="70"/>
      <c r="W10" s="70"/>
      <c r="X10" s="120"/>
      <c r="Y10" s="120"/>
      <c r="Z10" s="70"/>
      <c r="AA10" s="70"/>
      <c r="AB10" s="70"/>
      <c r="AC10" s="70"/>
      <c r="AD10" s="70"/>
      <c r="AE10" s="120"/>
      <c r="AF10" s="120"/>
      <c r="AG10" s="7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70"/>
      <c r="J11" s="120"/>
      <c r="K11" s="120"/>
      <c r="L11" s="70"/>
      <c r="M11" s="70"/>
      <c r="N11" s="70"/>
      <c r="O11" s="70"/>
      <c r="P11" s="70"/>
      <c r="Q11" s="120"/>
      <c r="R11" s="120"/>
      <c r="S11" s="70"/>
      <c r="T11" s="70"/>
      <c r="U11" s="70"/>
      <c r="V11" s="70"/>
      <c r="W11" s="70"/>
      <c r="X11" s="120"/>
      <c r="Y11" s="120"/>
      <c r="Z11" s="70"/>
      <c r="AA11" s="70"/>
      <c r="AB11" s="70"/>
      <c r="AC11" s="70"/>
      <c r="AD11" s="70"/>
      <c r="AE11" s="120"/>
      <c r="AF11" s="120"/>
      <c r="AG11" s="7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70"/>
      <c r="J12" s="120"/>
      <c r="K12" s="120"/>
      <c r="L12" s="70"/>
      <c r="M12" s="70"/>
      <c r="N12" s="70"/>
      <c r="O12" s="70"/>
      <c r="P12" s="70"/>
      <c r="Q12" s="120"/>
      <c r="R12" s="120"/>
      <c r="S12" s="70"/>
      <c r="T12" s="70"/>
      <c r="U12" s="70"/>
      <c r="V12" s="70"/>
      <c r="W12" s="70"/>
      <c r="X12" s="120"/>
      <c r="Y12" s="120"/>
      <c r="Z12" s="70"/>
      <c r="AA12" s="70"/>
      <c r="AB12" s="70"/>
      <c r="AC12" s="70"/>
      <c r="AD12" s="70"/>
      <c r="AE12" s="120"/>
      <c r="AF12" s="120"/>
      <c r="AG12" s="7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70"/>
      <c r="J13" s="120"/>
      <c r="K13" s="120"/>
      <c r="L13" s="70"/>
      <c r="M13" s="70"/>
      <c r="N13" s="70"/>
      <c r="O13" s="70"/>
      <c r="P13" s="70"/>
      <c r="Q13" s="120"/>
      <c r="R13" s="120"/>
      <c r="S13" s="70"/>
      <c r="T13" s="70"/>
      <c r="U13" s="70"/>
      <c r="V13" s="70"/>
      <c r="W13" s="70"/>
      <c r="X13" s="120"/>
      <c r="Y13" s="120"/>
      <c r="Z13" s="70"/>
      <c r="AA13" s="70"/>
      <c r="AB13" s="70"/>
      <c r="AC13" s="70"/>
      <c r="AD13" s="70"/>
      <c r="AE13" s="120"/>
      <c r="AF13" s="120"/>
      <c r="AG13" s="7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70"/>
      <c r="J14" s="120"/>
      <c r="K14" s="120"/>
      <c r="L14" s="70"/>
      <c r="M14" s="70"/>
      <c r="N14" s="70"/>
      <c r="O14" s="70"/>
      <c r="P14" s="70"/>
      <c r="Q14" s="120"/>
      <c r="R14" s="120"/>
      <c r="S14" s="70"/>
      <c r="T14" s="70"/>
      <c r="U14" s="70"/>
      <c r="V14" s="70"/>
      <c r="W14" s="70"/>
      <c r="X14" s="120"/>
      <c r="Y14" s="120"/>
      <c r="Z14" s="70"/>
      <c r="AA14" s="70"/>
      <c r="AB14" s="70"/>
      <c r="AC14" s="70"/>
      <c r="AD14" s="70"/>
      <c r="AE14" s="120"/>
      <c r="AF14" s="120"/>
      <c r="AG14" s="7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70"/>
      <c r="J15" s="120"/>
      <c r="K15" s="120"/>
      <c r="L15" s="70"/>
      <c r="M15" s="70"/>
      <c r="N15" s="70"/>
      <c r="O15" s="70"/>
      <c r="P15" s="70"/>
      <c r="Q15" s="120"/>
      <c r="R15" s="120"/>
      <c r="S15" s="70"/>
      <c r="T15" s="70"/>
      <c r="U15" s="70"/>
      <c r="V15" s="70"/>
      <c r="W15" s="70"/>
      <c r="X15" s="120"/>
      <c r="Y15" s="120"/>
      <c r="Z15" s="70"/>
      <c r="AA15" s="70"/>
      <c r="AB15" s="70"/>
      <c r="AC15" s="70"/>
      <c r="AD15" s="70"/>
      <c r="AE15" s="120"/>
      <c r="AF15" s="120"/>
      <c r="AG15" s="7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70"/>
      <c r="J16" s="120"/>
      <c r="K16" s="120"/>
      <c r="L16" s="70"/>
      <c r="M16" s="70"/>
      <c r="N16" s="70"/>
      <c r="O16" s="70"/>
      <c r="P16" s="70"/>
      <c r="Q16" s="120"/>
      <c r="R16" s="120"/>
      <c r="S16" s="70"/>
      <c r="T16" s="70"/>
      <c r="U16" s="70"/>
      <c r="V16" s="70"/>
      <c r="W16" s="70"/>
      <c r="X16" s="120"/>
      <c r="Y16" s="120"/>
      <c r="Z16" s="70"/>
      <c r="AA16" s="70"/>
      <c r="AB16" s="70"/>
      <c r="AC16" s="70"/>
      <c r="AD16" s="70"/>
      <c r="AE16" s="120"/>
      <c r="AF16" s="120"/>
      <c r="AG16" s="7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70"/>
      <c r="J17" s="120"/>
      <c r="K17" s="120"/>
      <c r="L17" s="70"/>
      <c r="M17" s="70"/>
      <c r="N17" s="70"/>
      <c r="O17" s="70"/>
      <c r="P17" s="70"/>
      <c r="Q17" s="120"/>
      <c r="R17" s="120"/>
      <c r="S17" s="70"/>
      <c r="T17" s="70"/>
      <c r="U17" s="70"/>
      <c r="V17" s="70"/>
      <c r="W17" s="70"/>
      <c r="X17" s="120"/>
      <c r="Y17" s="120"/>
      <c r="Z17" s="70"/>
      <c r="AA17" s="70"/>
      <c r="AB17" s="70"/>
      <c r="AC17" s="70"/>
      <c r="AD17" s="70"/>
      <c r="AE17" s="120"/>
      <c r="AF17" s="120"/>
      <c r="AG17" s="7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70"/>
      <c r="J18" s="120"/>
      <c r="K18" s="120"/>
      <c r="L18" s="70"/>
      <c r="M18" s="70"/>
      <c r="N18" s="70"/>
      <c r="O18" s="70"/>
      <c r="P18" s="70"/>
      <c r="Q18" s="120"/>
      <c r="R18" s="120"/>
      <c r="S18" s="70"/>
      <c r="T18" s="70"/>
      <c r="U18" s="70"/>
      <c r="V18" s="70"/>
      <c r="W18" s="70"/>
      <c r="X18" s="120"/>
      <c r="Y18" s="120"/>
      <c r="Z18" s="70"/>
      <c r="AA18" s="70"/>
      <c r="AB18" s="70"/>
      <c r="AC18" s="70"/>
      <c r="AD18" s="70"/>
      <c r="AE18" s="120"/>
      <c r="AF18" s="120"/>
      <c r="AG18" s="7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70"/>
      <c r="J19" s="120"/>
      <c r="K19" s="120"/>
      <c r="L19" s="70"/>
      <c r="M19" s="70"/>
      <c r="N19" s="70"/>
      <c r="O19" s="70"/>
      <c r="P19" s="70"/>
      <c r="Q19" s="120"/>
      <c r="R19" s="120"/>
      <c r="S19" s="70"/>
      <c r="T19" s="70"/>
      <c r="U19" s="70"/>
      <c r="V19" s="70"/>
      <c r="W19" s="70"/>
      <c r="X19" s="120"/>
      <c r="Y19" s="120"/>
      <c r="Z19" s="70"/>
      <c r="AA19" s="70"/>
      <c r="AB19" s="70"/>
      <c r="AC19" s="70"/>
      <c r="AD19" s="70"/>
      <c r="AE19" s="120"/>
      <c r="AF19" s="120"/>
      <c r="AG19" s="7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70"/>
      <c r="J20" s="120"/>
      <c r="K20" s="120"/>
      <c r="L20" s="70"/>
      <c r="M20" s="70"/>
      <c r="N20" s="70"/>
      <c r="O20" s="70"/>
      <c r="P20" s="70"/>
      <c r="Q20" s="120"/>
      <c r="R20" s="120"/>
      <c r="S20" s="70"/>
      <c r="T20" s="70"/>
      <c r="U20" s="70"/>
      <c r="V20" s="70"/>
      <c r="W20" s="70"/>
      <c r="X20" s="120"/>
      <c r="Y20" s="120"/>
      <c r="Z20" s="70"/>
      <c r="AA20" s="70"/>
      <c r="AB20" s="70"/>
      <c r="AC20" s="70"/>
      <c r="AD20" s="70"/>
      <c r="AE20" s="120"/>
      <c r="AF20" s="120"/>
      <c r="AG20" s="7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70"/>
      <c r="J21" s="120"/>
      <c r="K21" s="120"/>
      <c r="L21" s="70"/>
      <c r="M21" s="70"/>
      <c r="N21" s="70"/>
      <c r="O21" s="70"/>
      <c r="P21" s="70"/>
      <c r="Q21" s="120"/>
      <c r="R21" s="120"/>
      <c r="S21" s="70"/>
      <c r="T21" s="70"/>
      <c r="U21" s="70"/>
      <c r="V21" s="70"/>
      <c r="W21" s="70"/>
      <c r="X21" s="120"/>
      <c r="Y21" s="120"/>
      <c r="Z21" s="70"/>
      <c r="AA21" s="70"/>
      <c r="AB21" s="70"/>
      <c r="AC21" s="70"/>
      <c r="AD21" s="70"/>
      <c r="AE21" s="120"/>
      <c r="AF21" s="120"/>
      <c r="AG21" s="7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70"/>
      <c r="J22" s="120"/>
      <c r="K22" s="120"/>
      <c r="L22" s="70"/>
      <c r="M22" s="70"/>
      <c r="N22" s="70"/>
      <c r="O22" s="70"/>
      <c r="P22" s="70"/>
      <c r="Q22" s="120"/>
      <c r="R22" s="120"/>
      <c r="S22" s="70"/>
      <c r="T22" s="70"/>
      <c r="U22" s="70"/>
      <c r="V22" s="70"/>
      <c r="W22" s="70"/>
      <c r="X22" s="120"/>
      <c r="Y22" s="120"/>
      <c r="Z22" s="70"/>
      <c r="AA22" s="70"/>
      <c r="AB22" s="70"/>
      <c r="AC22" s="70"/>
      <c r="AD22" s="70"/>
      <c r="AE22" s="120"/>
      <c r="AF22" s="120"/>
      <c r="AG22" s="7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70"/>
      <c r="J23" s="120"/>
      <c r="K23" s="120"/>
      <c r="L23" s="70"/>
      <c r="M23" s="70"/>
      <c r="N23" s="70"/>
      <c r="O23" s="70"/>
      <c r="P23" s="70"/>
      <c r="Q23" s="120"/>
      <c r="R23" s="120"/>
      <c r="S23" s="70"/>
      <c r="T23" s="70"/>
      <c r="U23" s="70"/>
      <c r="V23" s="70"/>
      <c r="W23" s="70"/>
      <c r="X23" s="120"/>
      <c r="Y23" s="120"/>
      <c r="Z23" s="70"/>
      <c r="AA23" s="70"/>
      <c r="AB23" s="70"/>
      <c r="AC23" s="70"/>
      <c r="AD23" s="70"/>
      <c r="AE23" s="120"/>
      <c r="AF23" s="120"/>
      <c r="AG23" s="7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70"/>
      <c r="J24" s="120"/>
      <c r="K24" s="120"/>
      <c r="L24" s="70"/>
      <c r="M24" s="70"/>
      <c r="N24" s="70"/>
      <c r="O24" s="70"/>
      <c r="P24" s="70"/>
      <c r="Q24" s="120"/>
      <c r="R24" s="120"/>
      <c r="S24" s="70"/>
      <c r="T24" s="70"/>
      <c r="U24" s="70"/>
      <c r="V24" s="70"/>
      <c r="W24" s="70"/>
      <c r="X24" s="120"/>
      <c r="Y24" s="120"/>
      <c r="Z24" s="70"/>
      <c r="AA24" s="70"/>
      <c r="AB24" s="70"/>
      <c r="AC24" s="70"/>
      <c r="AD24" s="70"/>
      <c r="AE24" s="120"/>
      <c r="AF24" s="120"/>
      <c r="AG24" s="7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70"/>
      <c r="J25" s="120"/>
      <c r="K25" s="120"/>
      <c r="L25" s="70"/>
      <c r="M25" s="70"/>
      <c r="N25" s="70"/>
      <c r="O25" s="70"/>
      <c r="P25" s="70"/>
      <c r="Q25" s="120"/>
      <c r="R25" s="120"/>
      <c r="S25" s="70"/>
      <c r="T25" s="70"/>
      <c r="U25" s="70"/>
      <c r="V25" s="70"/>
      <c r="W25" s="70"/>
      <c r="X25" s="120"/>
      <c r="Y25" s="120"/>
      <c r="Z25" s="70"/>
      <c r="AA25" s="70"/>
      <c r="AB25" s="70"/>
      <c r="AC25" s="70"/>
      <c r="AD25" s="70"/>
      <c r="AE25" s="120"/>
      <c r="AF25" s="120"/>
      <c r="AG25" s="7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70"/>
      <c r="J26" s="120"/>
      <c r="K26" s="120"/>
      <c r="L26" s="70"/>
      <c r="M26" s="70"/>
      <c r="N26" s="70"/>
      <c r="O26" s="70"/>
      <c r="P26" s="70"/>
      <c r="Q26" s="120"/>
      <c r="R26" s="120"/>
      <c r="S26" s="70"/>
      <c r="T26" s="70"/>
      <c r="U26" s="70"/>
      <c r="V26" s="70"/>
      <c r="W26" s="70"/>
      <c r="X26" s="120"/>
      <c r="Y26" s="120"/>
      <c r="Z26" s="70"/>
      <c r="AA26" s="70"/>
      <c r="AB26" s="70"/>
      <c r="AC26" s="70"/>
      <c r="AD26" s="70"/>
      <c r="AE26" s="120"/>
      <c r="AF26" s="120"/>
      <c r="AG26" s="7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70"/>
      <c r="J27" s="120"/>
      <c r="K27" s="120"/>
      <c r="L27" s="70"/>
      <c r="M27" s="70"/>
      <c r="N27" s="70"/>
      <c r="O27" s="70"/>
      <c r="P27" s="70"/>
      <c r="Q27" s="120"/>
      <c r="R27" s="120"/>
      <c r="S27" s="70"/>
      <c r="T27" s="70"/>
      <c r="U27" s="70"/>
      <c r="V27" s="70"/>
      <c r="W27" s="70"/>
      <c r="X27" s="120"/>
      <c r="Y27" s="120"/>
      <c r="Z27" s="70"/>
      <c r="AA27" s="70"/>
      <c r="AB27" s="70"/>
      <c r="AC27" s="70"/>
      <c r="AD27" s="70"/>
      <c r="AE27" s="120"/>
      <c r="AF27" s="120"/>
      <c r="AG27" s="7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70"/>
      <c r="J28" s="120"/>
      <c r="K28" s="120"/>
      <c r="L28" s="70"/>
      <c r="M28" s="70"/>
      <c r="N28" s="70"/>
      <c r="O28" s="70"/>
      <c r="P28" s="70"/>
      <c r="Q28" s="120"/>
      <c r="R28" s="120"/>
      <c r="S28" s="70"/>
      <c r="T28" s="70"/>
      <c r="U28" s="70"/>
      <c r="V28" s="70"/>
      <c r="W28" s="70"/>
      <c r="X28" s="120"/>
      <c r="Y28" s="120"/>
      <c r="Z28" s="70"/>
      <c r="AA28" s="70"/>
      <c r="AB28" s="70"/>
      <c r="AC28" s="70"/>
      <c r="AD28" s="70"/>
      <c r="AE28" s="120"/>
      <c r="AF28" s="120"/>
      <c r="AG28" s="7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70"/>
      <c r="J29" s="120"/>
      <c r="K29" s="120"/>
      <c r="L29" s="70"/>
      <c r="M29" s="70"/>
      <c r="N29" s="70"/>
      <c r="O29" s="70"/>
      <c r="P29" s="70"/>
      <c r="Q29" s="120"/>
      <c r="R29" s="120"/>
      <c r="S29" s="70"/>
      <c r="T29" s="70"/>
      <c r="U29" s="70"/>
      <c r="V29" s="70"/>
      <c r="W29" s="70"/>
      <c r="X29" s="120"/>
      <c r="Y29" s="120"/>
      <c r="Z29" s="70"/>
      <c r="AA29" s="70"/>
      <c r="AB29" s="70"/>
      <c r="AC29" s="70"/>
      <c r="AD29" s="70"/>
      <c r="AE29" s="120"/>
      <c r="AF29" s="120"/>
      <c r="AG29" s="7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70"/>
      <c r="J30" s="120"/>
      <c r="K30" s="120"/>
      <c r="L30" s="70"/>
      <c r="M30" s="70"/>
      <c r="N30" s="70"/>
      <c r="O30" s="70"/>
      <c r="P30" s="70"/>
      <c r="Q30" s="120"/>
      <c r="R30" s="120"/>
      <c r="S30" s="70"/>
      <c r="T30" s="70"/>
      <c r="U30" s="70"/>
      <c r="V30" s="70"/>
      <c r="W30" s="70"/>
      <c r="X30" s="120"/>
      <c r="Y30" s="120"/>
      <c r="Z30" s="70"/>
      <c r="AA30" s="70"/>
      <c r="AB30" s="70"/>
      <c r="AC30" s="70"/>
      <c r="AD30" s="70"/>
      <c r="AE30" s="120"/>
      <c r="AF30" s="120"/>
      <c r="AG30" s="7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70"/>
      <c r="J31" s="120"/>
      <c r="K31" s="120"/>
      <c r="L31" s="70"/>
      <c r="M31" s="70"/>
      <c r="N31" s="70"/>
      <c r="O31" s="70"/>
      <c r="P31" s="70"/>
      <c r="Q31" s="120"/>
      <c r="R31" s="120"/>
      <c r="S31" s="70"/>
      <c r="T31" s="70"/>
      <c r="U31" s="70"/>
      <c r="V31" s="70"/>
      <c r="W31" s="70"/>
      <c r="X31" s="120"/>
      <c r="Y31" s="120"/>
      <c r="Z31" s="70"/>
      <c r="AA31" s="70"/>
      <c r="AB31" s="70"/>
      <c r="AC31" s="70"/>
      <c r="AD31" s="70"/>
      <c r="AE31" s="120"/>
      <c r="AF31" s="120"/>
      <c r="AG31" s="7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70"/>
      <c r="J32" s="120"/>
      <c r="K32" s="128"/>
      <c r="L32" s="108"/>
      <c r="M32" s="108"/>
      <c r="N32" s="108"/>
      <c r="O32" s="108"/>
      <c r="P32" s="70"/>
      <c r="Q32" s="120"/>
      <c r="R32" s="120"/>
      <c r="S32" s="108"/>
      <c r="T32" s="108"/>
      <c r="U32" s="108"/>
      <c r="V32" s="108"/>
      <c r="W32" s="108"/>
      <c r="X32" s="128"/>
      <c r="Y32" s="128"/>
      <c r="Z32" s="108"/>
      <c r="AA32" s="108"/>
      <c r="AB32" s="108"/>
      <c r="AC32" s="108"/>
      <c r="AD32" s="108"/>
      <c r="AE32" s="128"/>
      <c r="AF32" s="128"/>
      <c r="AG32" s="10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70"/>
      <c r="J33" s="120"/>
      <c r="K33" s="120"/>
      <c r="L33" s="70"/>
      <c r="M33" s="70"/>
      <c r="N33" s="70"/>
      <c r="O33" s="70"/>
      <c r="P33" s="70"/>
      <c r="Q33" s="120"/>
      <c r="R33" s="120"/>
      <c r="S33" s="70"/>
      <c r="T33" s="70"/>
      <c r="U33" s="70"/>
      <c r="V33" s="70"/>
      <c r="W33" s="70"/>
      <c r="X33" s="120"/>
      <c r="Y33" s="120"/>
      <c r="Z33" s="70"/>
      <c r="AA33" s="70"/>
      <c r="AB33" s="70"/>
      <c r="AC33" s="70"/>
      <c r="AD33" s="70"/>
      <c r="AE33" s="120"/>
      <c r="AF33" s="120"/>
      <c r="AG33" s="70"/>
      <c r="AH33" s="7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70"/>
      <c r="J34" s="120"/>
      <c r="K34" s="120"/>
      <c r="L34" s="70"/>
      <c r="M34" s="70"/>
      <c r="N34" s="70"/>
      <c r="O34" s="70"/>
      <c r="P34" s="70"/>
      <c r="Q34" s="120"/>
      <c r="R34" s="120"/>
      <c r="S34" s="70"/>
      <c r="T34" s="70"/>
      <c r="U34" s="70"/>
      <c r="V34" s="70"/>
      <c r="W34" s="70"/>
      <c r="X34" s="120"/>
      <c r="Y34" s="120"/>
      <c r="Z34" s="70"/>
      <c r="AA34" s="70"/>
      <c r="AB34" s="70"/>
      <c r="AC34" s="70"/>
      <c r="AD34" s="70"/>
      <c r="AE34" s="120"/>
      <c r="AF34" s="120"/>
      <c r="AG34" s="70"/>
      <c r="AH34" s="7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70"/>
      <c r="J35" s="120"/>
      <c r="K35" s="120"/>
      <c r="L35" s="70"/>
      <c r="M35" s="70"/>
      <c r="N35" s="70"/>
      <c r="O35" s="70"/>
      <c r="P35" s="70"/>
      <c r="Q35" s="120"/>
      <c r="R35" s="120"/>
      <c r="S35" s="70"/>
      <c r="T35" s="70"/>
      <c r="U35" s="70"/>
      <c r="V35" s="70"/>
      <c r="W35" s="70"/>
      <c r="X35" s="120"/>
      <c r="Y35" s="120"/>
      <c r="Z35" s="70"/>
      <c r="AA35" s="70"/>
      <c r="AB35" s="70"/>
      <c r="AC35" s="70"/>
      <c r="AD35" s="70"/>
      <c r="AE35" s="120"/>
      <c r="AF35" s="120"/>
      <c r="AG35" s="7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70"/>
      <c r="J36" s="120"/>
      <c r="K36" s="120"/>
      <c r="L36" s="70"/>
      <c r="M36" s="70"/>
      <c r="N36" s="70"/>
      <c r="O36" s="70"/>
      <c r="P36" s="70"/>
      <c r="Q36" s="120"/>
      <c r="R36" s="120"/>
      <c r="S36" s="70"/>
      <c r="T36" s="70"/>
      <c r="U36" s="70"/>
      <c r="V36" s="70"/>
      <c r="W36" s="70"/>
      <c r="X36" s="120"/>
      <c r="Y36" s="120"/>
      <c r="Z36" s="70"/>
      <c r="AA36" s="70"/>
      <c r="AB36" s="70"/>
      <c r="AC36" s="70"/>
      <c r="AD36" s="70"/>
      <c r="AE36" s="120"/>
      <c r="AF36" s="120"/>
      <c r="AG36" s="7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4"/>
      <c r="J37" s="68"/>
      <c r="K37" s="68"/>
      <c r="L37" s="64"/>
      <c r="M37" s="64"/>
      <c r="N37" s="64"/>
      <c r="O37" s="64"/>
      <c r="P37" s="64"/>
      <c r="Q37" s="68"/>
      <c r="R37" s="68"/>
      <c r="S37" s="64"/>
      <c r="T37" s="64"/>
      <c r="U37" s="64"/>
      <c r="V37" s="64"/>
      <c r="W37" s="64"/>
      <c r="X37" s="68"/>
      <c r="Y37" s="68"/>
      <c r="Z37" s="64"/>
      <c r="AA37" s="64"/>
      <c r="AB37" s="64"/>
      <c r="AC37" s="64"/>
      <c r="AD37" s="64"/>
      <c r="AE37" s="68"/>
      <c r="AF37" s="68"/>
      <c r="AG37" s="64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4"/>
      <c r="J38" s="68"/>
      <c r="K38" s="68"/>
      <c r="L38" s="64"/>
      <c r="M38" s="64"/>
      <c r="N38" s="64"/>
      <c r="O38" s="64"/>
      <c r="P38" s="64"/>
      <c r="Q38" s="68"/>
      <c r="R38" s="68"/>
      <c r="S38" s="64"/>
      <c r="T38" s="64"/>
      <c r="U38" s="64"/>
      <c r="V38" s="64"/>
      <c r="W38" s="64"/>
      <c r="X38" s="68"/>
      <c r="Y38" s="68"/>
      <c r="Z38" s="64"/>
      <c r="AA38" s="64"/>
      <c r="AB38" s="64"/>
      <c r="AC38" s="64"/>
      <c r="AD38" s="64"/>
      <c r="AE38" s="68"/>
      <c r="AF38" s="68"/>
      <c r="AG38" s="64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70"/>
      <c r="J39" s="120"/>
      <c r="K39" s="120"/>
      <c r="L39" s="70"/>
      <c r="M39" s="70"/>
      <c r="N39" s="70"/>
      <c r="O39" s="70"/>
      <c r="P39" s="70"/>
      <c r="Q39" s="120"/>
      <c r="R39" s="120"/>
      <c r="S39" s="70"/>
      <c r="T39" s="70"/>
      <c r="U39" s="70"/>
      <c r="V39" s="70"/>
      <c r="W39" s="70"/>
      <c r="X39" s="120"/>
      <c r="Y39" s="120"/>
      <c r="Z39" s="70"/>
      <c r="AA39" s="70"/>
      <c r="AB39" s="70"/>
      <c r="AC39" s="70"/>
      <c r="AD39" s="70"/>
      <c r="AE39" s="120"/>
      <c r="AF39" s="120"/>
      <c r="AG39" s="70"/>
      <c r="AH39" s="7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92"/>
      <c r="J40" s="124"/>
      <c r="K40" s="124"/>
      <c r="L40" s="92"/>
      <c r="M40" s="92"/>
      <c r="N40" s="92"/>
      <c r="O40" s="92"/>
      <c r="P40" s="92"/>
      <c r="Q40" s="124"/>
      <c r="R40" s="124"/>
      <c r="S40" s="92"/>
      <c r="T40" s="92"/>
      <c r="U40" s="92"/>
      <c r="V40" s="92"/>
      <c r="W40" s="92"/>
      <c r="X40" s="124"/>
      <c r="Y40" s="124"/>
      <c r="Z40" s="92"/>
      <c r="AA40" s="92"/>
      <c r="AB40" s="92"/>
      <c r="AC40" s="92"/>
      <c r="AD40" s="92"/>
      <c r="AE40" s="124"/>
      <c r="AF40" s="124"/>
      <c r="AG40" s="92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62"/>
      <c r="J42" s="127"/>
      <c r="K42" s="127"/>
      <c r="L42" s="64"/>
      <c r="M42" s="64"/>
      <c r="N42" s="62"/>
      <c r="O42" s="62"/>
      <c r="P42" s="62"/>
      <c r="Q42" s="127"/>
      <c r="R42" s="127"/>
      <c r="S42" s="64"/>
      <c r="T42" s="64"/>
      <c r="U42" s="62"/>
      <c r="V42" s="62"/>
      <c r="W42" s="62"/>
      <c r="X42" s="127"/>
      <c r="Y42" s="127"/>
      <c r="Z42" s="64"/>
      <c r="AA42" s="64"/>
      <c r="AB42" s="62"/>
      <c r="AC42" s="62"/>
      <c r="AD42" s="62"/>
      <c r="AE42" s="127"/>
      <c r="AF42" s="127"/>
      <c r="AG42" s="64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62"/>
      <c r="J43" s="127"/>
      <c r="K43" s="127"/>
      <c r="N43" s="62"/>
      <c r="O43" s="62"/>
      <c r="P43" s="62"/>
      <c r="Q43" s="127"/>
      <c r="R43" s="127"/>
      <c r="U43" s="62"/>
      <c r="V43" s="62"/>
      <c r="W43" s="62"/>
      <c r="X43" s="127"/>
      <c r="Y43" s="127"/>
      <c r="AB43" s="62"/>
      <c r="AC43" s="62"/>
      <c r="AD43" s="62"/>
      <c r="AE43" s="127"/>
      <c r="AF43" s="127"/>
      <c r="AH43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62"/>
      <c r="J44" s="127"/>
      <c r="K44" s="127"/>
      <c r="L44" s="64"/>
      <c r="M44" s="64"/>
      <c r="N44" s="62"/>
      <c r="O44" s="62"/>
      <c r="P44" s="62"/>
      <c r="Q44" s="127"/>
      <c r="R44" s="127"/>
      <c r="S44" s="64"/>
      <c r="T44" s="64"/>
      <c r="U44" s="62"/>
      <c r="V44" s="62"/>
      <c r="W44" s="62"/>
      <c r="X44" s="127"/>
      <c r="Y44" s="127"/>
      <c r="Z44" s="64"/>
      <c r="AA44" s="64"/>
      <c r="AB44" s="62"/>
      <c r="AC44" s="62"/>
      <c r="AD44" s="62"/>
      <c r="AE44" s="127"/>
      <c r="AF44" s="127"/>
      <c r="AG44" s="64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62"/>
      <c r="J45" s="127"/>
      <c r="K45" s="127"/>
      <c r="L45" s="64"/>
      <c r="M45" s="64"/>
      <c r="N45" s="62"/>
      <c r="O45" s="62"/>
      <c r="P45" s="62"/>
      <c r="Q45" s="127"/>
      <c r="R45" s="127"/>
      <c r="S45" s="64"/>
      <c r="T45" s="64"/>
      <c r="U45" s="62"/>
      <c r="V45" s="62"/>
      <c r="W45" s="62"/>
      <c r="X45" s="127"/>
      <c r="Y45" s="127"/>
      <c r="Z45" s="64"/>
      <c r="AA45" s="64"/>
      <c r="AB45" s="62"/>
      <c r="AC45" s="62"/>
      <c r="AD45" s="62"/>
      <c r="AE45" s="127"/>
      <c r="AF45" s="127"/>
      <c r="AG45" s="64"/>
      <c r="AH4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62"/>
      <c r="J46" s="127"/>
      <c r="K46" s="127"/>
      <c r="L46" s="64"/>
      <c r="M46" s="64"/>
      <c r="N46" s="62"/>
      <c r="O46" s="62"/>
      <c r="P46" s="62"/>
      <c r="Q46" s="127"/>
      <c r="R46" s="127"/>
      <c r="S46" s="64"/>
      <c r="T46" s="64"/>
      <c r="U46" s="62"/>
      <c r="V46" s="62"/>
      <c r="W46" s="62"/>
      <c r="X46" s="127"/>
      <c r="Y46" s="127"/>
      <c r="Z46" s="64"/>
      <c r="AA46" s="64"/>
      <c r="AB46" s="62"/>
      <c r="AC46" s="62"/>
      <c r="AD46" s="62"/>
      <c r="AE46" s="127"/>
      <c r="AF46" s="127"/>
      <c r="AG46" s="64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62"/>
      <c r="J47" s="127"/>
      <c r="K47" s="127"/>
      <c r="L47" s="64"/>
      <c r="M47" s="64"/>
      <c r="N47" s="62"/>
      <c r="O47" s="62"/>
      <c r="P47" s="62"/>
      <c r="Q47" s="127"/>
      <c r="R47" s="127"/>
      <c r="S47" s="64"/>
      <c r="T47" s="64"/>
      <c r="U47" s="62"/>
      <c r="V47" s="62"/>
      <c r="W47" s="62"/>
      <c r="X47" s="127"/>
      <c r="Y47" s="127"/>
      <c r="Z47" s="64"/>
      <c r="AA47" s="64"/>
      <c r="AB47" s="62"/>
      <c r="AC47" s="62"/>
      <c r="AD47" s="62"/>
      <c r="AE47" s="127"/>
      <c r="AF47" s="127"/>
      <c r="AG47" s="64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62"/>
      <c r="J48" s="127"/>
      <c r="K48" s="127"/>
      <c r="L48" s="64"/>
      <c r="M48" s="64"/>
      <c r="N48" s="62"/>
      <c r="O48" s="62"/>
      <c r="P48" s="62"/>
      <c r="Q48" s="127"/>
      <c r="R48" s="127"/>
      <c r="S48" s="64"/>
      <c r="T48" s="64"/>
      <c r="U48" s="62"/>
      <c r="V48" s="62"/>
      <c r="W48" s="62"/>
      <c r="X48" s="127"/>
      <c r="Y48" s="127"/>
      <c r="Z48" s="64"/>
      <c r="AA48" s="64"/>
      <c r="AB48" s="62"/>
      <c r="AC48" s="62"/>
      <c r="AD48" s="62"/>
      <c r="AE48" s="127"/>
      <c r="AF48" s="127"/>
      <c r="AG48" s="64"/>
      <c r="AH48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62"/>
      <c r="J49" s="127"/>
      <c r="K49" s="127"/>
      <c r="L49" s="64"/>
      <c r="M49" s="64"/>
      <c r="N49" s="62"/>
      <c r="O49" s="62"/>
      <c r="P49" s="62"/>
      <c r="Q49" s="127"/>
      <c r="R49" s="127"/>
      <c r="S49" s="64"/>
      <c r="T49" s="64"/>
      <c r="U49" s="62"/>
      <c r="V49" s="62"/>
      <c r="W49" s="62"/>
      <c r="X49" s="127"/>
      <c r="Y49" s="127"/>
      <c r="Z49" s="64"/>
      <c r="AA49" s="64"/>
      <c r="AB49" s="62"/>
      <c r="AC49" s="62"/>
      <c r="AD49" s="62"/>
      <c r="AE49" s="127"/>
      <c r="AF49" s="127"/>
      <c r="AG49" s="64"/>
      <c r="AH49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62"/>
      <c r="J50" s="127"/>
      <c r="K50" s="127"/>
      <c r="L50" s="64"/>
      <c r="M50" s="64"/>
      <c r="N50" s="62"/>
      <c r="O50" s="62"/>
      <c r="P50" s="62"/>
      <c r="Q50" s="127"/>
      <c r="R50" s="127"/>
      <c r="S50" s="64"/>
      <c r="T50" s="64"/>
      <c r="U50" s="62"/>
      <c r="V50" s="62"/>
      <c r="W50" s="62"/>
      <c r="X50" s="127"/>
      <c r="Y50" s="127"/>
      <c r="Z50" s="64"/>
      <c r="AA50" s="64"/>
      <c r="AB50" s="62"/>
      <c r="AC50" s="62"/>
      <c r="AD50" s="62"/>
      <c r="AE50" s="127"/>
      <c r="AF50" s="127"/>
      <c r="AG50" s="64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62"/>
      <c r="J51" s="127"/>
      <c r="K51" s="127"/>
      <c r="L51" s="64"/>
      <c r="M51" s="64"/>
      <c r="N51" s="62"/>
      <c r="O51" s="62"/>
      <c r="P51" s="62"/>
      <c r="Q51" s="127"/>
      <c r="R51" s="127"/>
      <c r="S51" s="64"/>
      <c r="T51" s="64"/>
      <c r="U51" s="62"/>
      <c r="V51" s="62"/>
      <c r="W51" s="62"/>
      <c r="X51" s="127"/>
      <c r="Y51" s="127"/>
      <c r="Z51" s="64"/>
      <c r="AA51" s="64"/>
      <c r="AB51" s="62"/>
      <c r="AC51" s="62"/>
      <c r="AD51" s="62"/>
      <c r="AE51" s="127"/>
      <c r="AF51" s="127"/>
      <c r="AG51" s="64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62"/>
      <c r="J52" s="127"/>
      <c r="K52" s="127"/>
      <c r="L52" s="64"/>
      <c r="M52" s="64"/>
      <c r="N52" s="62"/>
      <c r="O52" s="62"/>
      <c r="P52" s="62"/>
      <c r="Q52" s="127"/>
      <c r="R52" s="127"/>
      <c r="S52" s="64"/>
      <c r="T52" s="64"/>
      <c r="U52" s="62"/>
      <c r="V52" s="62"/>
      <c r="W52" s="62"/>
      <c r="X52" s="127"/>
      <c r="Y52" s="127"/>
      <c r="Z52" s="64"/>
      <c r="AA52" s="64"/>
      <c r="AB52" s="62"/>
      <c r="AC52" s="62"/>
      <c r="AD52" s="62"/>
      <c r="AE52" s="127"/>
      <c r="AF52" s="127"/>
      <c r="AG52" s="64"/>
      <c r="AH52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62"/>
      <c r="J53" s="127"/>
      <c r="K53" s="127"/>
      <c r="L53" s="64"/>
      <c r="M53" s="64"/>
      <c r="N53" s="62"/>
      <c r="O53" s="62"/>
      <c r="P53" s="62"/>
      <c r="Q53" s="127"/>
      <c r="R53" s="127"/>
      <c r="S53" s="64"/>
      <c r="T53" s="64"/>
      <c r="U53" s="62"/>
      <c r="V53" s="62"/>
      <c r="W53" s="62"/>
      <c r="X53" s="127"/>
      <c r="Y53" s="127"/>
      <c r="Z53" s="64"/>
      <c r="AA53" s="64"/>
      <c r="AB53" s="62"/>
      <c r="AC53" s="62"/>
      <c r="AD53" s="62"/>
      <c r="AE53" s="127"/>
      <c r="AF53" s="127"/>
      <c r="AG53" s="64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62"/>
      <c r="J54" s="127"/>
      <c r="K54" s="127"/>
      <c r="L54" s="64"/>
      <c r="M54" s="64"/>
      <c r="N54" s="62"/>
      <c r="O54" s="62"/>
      <c r="P54" s="62"/>
      <c r="Q54" s="127"/>
      <c r="R54" s="127"/>
      <c r="S54" s="64"/>
      <c r="T54" s="64"/>
      <c r="U54" s="62"/>
      <c r="V54" s="62"/>
      <c r="W54" s="62"/>
      <c r="X54" s="127"/>
      <c r="Y54" s="127"/>
      <c r="Z54" s="64"/>
      <c r="AA54" s="64"/>
      <c r="AB54" s="62"/>
      <c r="AC54" s="62"/>
      <c r="AD54" s="62"/>
      <c r="AE54" s="127"/>
      <c r="AF54" s="127"/>
      <c r="AG54" s="64"/>
      <c r="AH54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62"/>
      <c r="I55" s="62"/>
      <c r="J55" s="127"/>
      <c r="K55" s="127"/>
      <c r="L55" s="64"/>
      <c r="M55" s="64"/>
      <c r="N55" s="62"/>
      <c r="O55" s="62"/>
      <c r="P55" s="62"/>
      <c r="Q55" s="127"/>
      <c r="R55" s="127"/>
      <c r="S55" s="64"/>
      <c r="T55" s="64"/>
      <c r="U55" s="62"/>
      <c r="V55" s="62"/>
      <c r="W55" s="62"/>
      <c r="X55" s="127"/>
      <c r="Y55" s="127"/>
      <c r="Z55" s="64"/>
      <c r="AA55" s="64"/>
      <c r="AB55" s="62"/>
      <c r="AC55" s="62"/>
      <c r="AD55" s="62"/>
      <c r="AE55" s="127"/>
      <c r="AF55" s="127"/>
      <c r="AG55" s="64"/>
      <c r="AH5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62"/>
      <c r="I56" s="62"/>
      <c r="J56" s="127"/>
      <c r="K56" s="127"/>
      <c r="L56" s="64"/>
      <c r="M56" s="64"/>
      <c r="N56" s="62"/>
      <c r="O56" s="62"/>
      <c r="P56" s="62"/>
      <c r="Q56" s="127"/>
      <c r="R56" s="127"/>
      <c r="S56" s="64"/>
      <c r="T56" s="64"/>
      <c r="U56" s="62"/>
      <c r="V56" s="62"/>
      <c r="W56" s="62"/>
      <c r="X56" s="127"/>
      <c r="Y56" s="127"/>
      <c r="Z56" s="64"/>
      <c r="AA56" s="64"/>
      <c r="AB56" s="62"/>
      <c r="AC56" s="62"/>
      <c r="AD56" s="62"/>
      <c r="AE56" s="127"/>
      <c r="AF56" s="127"/>
      <c r="AG56" s="64"/>
      <c r="AH56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62"/>
      <c r="J57" s="127"/>
      <c r="K57" s="127"/>
      <c r="L57" s="64"/>
      <c r="M57" s="64"/>
      <c r="N57" s="62"/>
      <c r="O57" s="62"/>
      <c r="P57" s="62"/>
      <c r="Q57" s="127"/>
      <c r="R57" s="127"/>
      <c r="S57" s="64"/>
      <c r="T57" s="64"/>
      <c r="U57" s="62"/>
      <c r="V57" s="62"/>
      <c r="W57" s="62"/>
      <c r="X57" s="127"/>
      <c r="Y57" s="127"/>
      <c r="Z57" s="64"/>
      <c r="AA57" s="64"/>
      <c r="AB57" s="62"/>
      <c r="AC57" s="62"/>
      <c r="AD57" s="62"/>
      <c r="AE57" s="127"/>
      <c r="AF57" s="127"/>
      <c r="AG57" s="64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62"/>
      <c r="I58" s="62"/>
      <c r="J58" s="127"/>
      <c r="K58" s="127"/>
      <c r="L58" s="64"/>
      <c r="M58" s="64"/>
      <c r="N58" s="62"/>
      <c r="O58" s="62"/>
      <c r="P58" s="62"/>
      <c r="Q58" s="127"/>
      <c r="R58" s="127"/>
      <c r="S58" s="64"/>
      <c r="T58" s="64"/>
      <c r="U58" s="62"/>
      <c r="V58" s="62"/>
      <c r="W58" s="62"/>
      <c r="X58" s="127"/>
      <c r="Y58" s="127"/>
      <c r="Z58" s="64"/>
      <c r="AA58" s="64"/>
      <c r="AB58" s="62"/>
      <c r="AC58" s="62"/>
      <c r="AD58" s="62"/>
      <c r="AE58" s="127"/>
      <c r="AF58" s="127"/>
      <c r="AG58" s="64"/>
      <c r="AH58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70"/>
      <c r="J59" s="120"/>
      <c r="M59" s="70"/>
      <c r="N59" s="70"/>
      <c r="O59" s="70"/>
      <c r="P59" s="70"/>
      <c r="Q59" s="120"/>
      <c r="T59" s="70"/>
      <c r="U59" s="70"/>
      <c r="V59" s="70"/>
      <c r="W59" s="70"/>
      <c r="X59" s="120"/>
      <c r="AA59" s="70"/>
      <c r="AB59" s="70"/>
      <c r="AC59" s="70"/>
      <c r="AD59" s="70"/>
      <c r="AE59" s="12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73"/>
      <c r="J60" s="121"/>
      <c r="K60" s="124"/>
      <c r="L60" s="92"/>
      <c r="M60" s="73"/>
      <c r="N60" s="73"/>
      <c r="O60" s="73"/>
      <c r="P60" s="73"/>
      <c r="Q60" s="121"/>
      <c r="R60" s="124"/>
      <c r="S60" s="92"/>
      <c r="T60" s="73"/>
      <c r="U60" s="73"/>
      <c r="V60" s="73"/>
      <c r="W60" s="73"/>
      <c r="X60" s="121"/>
      <c r="Y60" s="124"/>
      <c r="Z60" s="92"/>
      <c r="AA60" s="73"/>
      <c r="AB60" s="73"/>
      <c r="AC60" s="73"/>
      <c r="AD60" s="73"/>
      <c r="AE60" s="121"/>
      <c r="AF60" s="124"/>
      <c r="AG60" s="92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70"/>
      <c r="J61" s="120"/>
      <c r="M61" s="70"/>
      <c r="N61" s="70"/>
      <c r="O61" s="70"/>
      <c r="P61" s="70"/>
      <c r="Q61" s="120"/>
      <c r="T61" s="70"/>
      <c r="U61" s="70"/>
      <c r="V61" s="70"/>
      <c r="W61" s="70"/>
      <c r="X61" s="120"/>
      <c r="AA61" s="70"/>
      <c r="AB61" s="70"/>
      <c r="AC61" s="70"/>
      <c r="AD61" s="70"/>
      <c r="AE61" s="12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70"/>
      <c r="N74" s="70"/>
      <c r="O74" s="70"/>
      <c r="P74" s="70"/>
      <c r="R74" s="120"/>
      <c r="S74" s="70"/>
      <c r="T74" s="70"/>
      <c r="U74" s="70"/>
      <c r="V74" s="70"/>
      <c r="W74" s="70"/>
      <c r="X74" s="120"/>
      <c r="Y74" s="120"/>
      <c r="Z74" s="70"/>
      <c r="AA74" s="70"/>
      <c r="AB74" s="70"/>
      <c r="AC74" s="70"/>
      <c r="AD74" s="70"/>
      <c r="AE74" s="120"/>
      <c r="AF74" s="120"/>
      <c r="AG74" s="7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00"/>
      <c r="J76" s="126"/>
      <c r="K76" s="126"/>
      <c r="L76" s="92"/>
      <c r="M76" s="92"/>
      <c r="N76" s="100"/>
      <c r="O76" s="100"/>
      <c r="P76" s="100"/>
      <c r="Q76" s="126"/>
      <c r="R76" s="126"/>
      <c r="S76" s="92"/>
      <c r="T76" s="92"/>
      <c r="U76" s="100"/>
      <c r="V76" s="100"/>
      <c r="W76" s="100"/>
      <c r="X76" s="126"/>
      <c r="Y76" s="126"/>
      <c r="Z76" s="92"/>
      <c r="AA76" s="92"/>
      <c r="AB76" s="100"/>
      <c r="AC76" s="100"/>
      <c r="AD76" s="100"/>
      <c r="AE76" s="126"/>
      <c r="AF76" s="126"/>
      <c r="AG76" s="92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12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120"/>
      <c r="Z83" s="70"/>
      <c r="AC83" s="70"/>
      <c r="AD83" s="70"/>
      <c r="AF83" s="120"/>
      <c r="AG83" s="7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12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12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92"/>
      <c r="J87" s="124"/>
      <c r="K87" s="124"/>
      <c r="L87" s="92"/>
      <c r="M87" s="92"/>
      <c r="N87" s="92"/>
      <c r="O87" s="92"/>
      <c r="P87" s="92"/>
      <c r="Q87" s="124"/>
      <c r="R87" s="124"/>
      <c r="S87" s="92"/>
      <c r="T87" s="92"/>
      <c r="U87" s="92"/>
      <c r="V87" s="73"/>
      <c r="W87" s="92"/>
      <c r="X87" s="124"/>
      <c r="Y87" s="121"/>
      <c r="Z87" s="92"/>
      <c r="AA87" s="92"/>
      <c r="AB87" s="92"/>
      <c r="AC87" s="92"/>
      <c r="AD87" s="92"/>
      <c r="AE87" s="124"/>
      <c r="AF87" s="124"/>
      <c r="AG87" s="92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4"/>
      <c r="J88" s="68"/>
      <c r="K88" s="68"/>
      <c r="L88" s="64"/>
      <c r="M88" s="64"/>
      <c r="N88" s="64"/>
      <c r="O88" s="64"/>
      <c r="P88" s="64"/>
      <c r="Q88" s="68"/>
      <c r="R88" s="68"/>
      <c r="S88" s="64"/>
      <c r="T88" s="64"/>
      <c r="U88" s="64"/>
      <c r="V88" s="64"/>
      <c r="W88"/>
      <c r="X88" s="125"/>
      <c r="Y88" s="68"/>
      <c r="Z88" s="64"/>
      <c r="AA88"/>
      <c r="AB88" s="64"/>
      <c r="AC88" s="64"/>
      <c r="AD88" s="64"/>
      <c r="AE88" s="68"/>
      <c r="AF88" s="68"/>
      <c r="AG88" s="64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70"/>
      <c r="J89" s="120"/>
      <c r="K89" s="120"/>
      <c r="L89" s="70"/>
      <c r="M89" s="70"/>
      <c r="N89" s="70"/>
      <c r="O89" s="64"/>
      <c r="P89" s="70"/>
      <c r="Q89" s="120"/>
      <c r="R89" s="120"/>
      <c r="S89" s="70"/>
      <c r="T89" s="70"/>
      <c r="U89" s="64"/>
      <c r="V89" s="64"/>
      <c r="W89" s="64"/>
      <c r="X89" s="68"/>
      <c r="Y89" s="120"/>
      <c r="Z89" s="70"/>
      <c r="AA89" s="70"/>
      <c r="AB89" s="70"/>
      <c r="AC89" s="64"/>
      <c r="AD89" s="70"/>
      <c r="AE89" s="68"/>
      <c r="AF89" s="120"/>
      <c r="AG89" s="7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70"/>
      <c r="J90" s="120"/>
      <c r="K90" s="120"/>
      <c r="L90" s="70"/>
      <c r="M90" s="70"/>
      <c r="N90" s="70"/>
      <c r="O90" s="70"/>
      <c r="P90" s="70"/>
      <c r="Q90" s="120"/>
      <c r="R90" s="120"/>
      <c r="S90" s="70"/>
      <c r="T90" s="70"/>
      <c r="U90" s="70"/>
      <c r="V90" s="70"/>
      <c r="W90" s="70"/>
      <c r="X90" s="120"/>
      <c r="Y90" s="120"/>
      <c r="Z90" s="70"/>
      <c r="AA90" s="70"/>
      <c r="AB90" s="70"/>
      <c r="AC90" s="70"/>
      <c r="AD90" s="70"/>
      <c r="AE90" s="120"/>
      <c r="AF90" s="120"/>
      <c r="AG90" s="7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70"/>
      <c r="J91" s="120"/>
      <c r="K91" s="120"/>
      <c r="L91" s="70"/>
      <c r="M91" s="70"/>
      <c r="N91" s="70"/>
      <c r="O91" s="70"/>
      <c r="P91" s="70"/>
      <c r="Q91" s="120"/>
      <c r="R91" s="120"/>
      <c r="S91" s="70"/>
      <c r="T91" s="70"/>
      <c r="U91" s="70"/>
      <c r="V91" s="70"/>
      <c r="W91" s="70"/>
      <c r="X91" s="120"/>
      <c r="Y91" s="120"/>
      <c r="Z91" s="70"/>
      <c r="AA91" s="70"/>
      <c r="AB91" s="70"/>
      <c r="AC91" s="70"/>
      <c r="AD91" s="70"/>
      <c r="AE91" s="120"/>
      <c r="AF91" s="120"/>
      <c r="AG91" s="7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70"/>
      <c r="J92" s="120"/>
      <c r="K92" s="120"/>
      <c r="L92" s="70"/>
      <c r="M92" s="70"/>
      <c r="N92" s="70"/>
      <c r="O92" s="70"/>
      <c r="P92" s="70"/>
      <c r="Q92" s="120"/>
      <c r="R92" s="120"/>
      <c r="S92" s="70"/>
      <c r="T92" s="70"/>
      <c r="U92" s="70"/>
      <c r="V92" s="70"/>
      <c r="W92" s="70"/>
      <c r="X92" s="120"/>
      <c r="Y92" s="120"/>
      <c r="Z92" s="70"/>
      <c r="AA92" s="70"/>
      <c r="AB92" s="70"/>
      <c r="AC92" s="70"/>
      <c r="AD92" s="70"/>
      <c r="AE92" s="120"/>
      <c r="AF92" s="120"/>
      <c r="AG92" s="7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70"/>
      <c r="J93" s="120"/>
      <c r="K93" s="120"/>
      <c r="L93" s="70"/>
      <c r="M93" s="70"/>
      <c r="N93" s="70"/>
      <c r="O93" s="70"/>
      <c r="P93" s="70"/>
      <c r="Q93" s="120"/>
      <c r="R93" s="120"/>
      <c r="S93" s="70"/>
      <c r="T93" s="70"/>
      <c r="U93" s="70"/>
      <c r="V93" s="70"/>
      <c r="W93" s="70"/>
      <c r="X93" s="120"/>
      <c r="Y93" s="120"/>
      <c r="Z93" s="70"/>
      <c r="AA93" s="70"/>
      <c r="AB93" s="70"/>
      <c r="AC93" s="70"/>
      <c r="AD93" s="70"/>
      <c r="AE93" s="120"/>
      <c r="AF93" s="120"/>
      <c r="AG93" s="7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70"/>
      <c r="J94" s="120"/>
      <c r="K94" s="120"/>
      <c r="L94" s="70"/>
      <c r="M94" s="70"/>
      <c r="N94" s="70"/>
      <c r="O94" s="70"/>
      <c r="P94" s="70"/>
      <c r="Q94" s="120"/>
      <c r="R94" s="120"/>
      <c r="S94" s="70"/>
      <c r="T94" s="70"/>
      <c r="U94" s="70"/>
      <c r="V94" s="70"/>
      <c r="W94" s="70"/>
      <c r="X94" s="120"/>
      <c r="Y94" s="120"/>
      <c r="Z94" s="70"/>
      <c r="AA94" s="70"/>
      <c r="AB94" s="70"/>
      <c r="AC94" s="70"/>
      <c r="AD94" s="70"/>
      <c r="AE94" s="120"/>
      <c r="AF94" s="120"/>
      <c r="AG94" s="7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70"/>
      <c r="J95" s="120"/>
      <c r="K95" s="120"/>
      <c r="L95" s="70"/>
      <c r="M95" s="70"/>
      <c r="N95" s="70"/>
      <c r="O95" s="70"/>
      <c r="P95" s="70"/>
      <c r="Q95" s="120"/>
      <c r="R95" s="120"/>
      <c r="S95" s="70"/>
      <c r="T95" s="70"/>
      <c r="U95" s="70"/>
      <c r="V95" s="70"/>
      <c r="W95" s="70"/>
      <c r="X95" s="120"/>
      <c r="Y95" s="120"/>
      <c r="Z95" s="70"/>
      <c r="AA95" s="70"/>
      <c r="AB95" s="70"/>
      <c r="AC95" s="70"/>
      <c r="AD95" s="70"/>
      <c r="AE95" s="120"/>
      <c r="AF95" s="120"/>
      <c r="AG95" s="7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4"/>
      <c r="J105" s="68"/>
      <c r="K105" s="68"/>
      <c r="L105" s="64"/>
      <c r="M105" s="64"/>
      <c r="N105" s="64"/>
      <c r="O105" s="64"/>
      <c r="P105" s="64"/>
      <c r="Q105" s="68"/>
      <c r="R105" s="68"/>
      <c r="S105" s="64"/>
      <c r="T105" s="64"/>
      <c r="U105" s="64"/>
      <c r="V105" s="64"/>
      <c r="W105" s="64"/>
      <c r="X105" s="68"/>
      <c r="Y105" s="68"/>
      <c r="Z105" s="64"/>
      <c r="AA105" s="64"/>
      <c r="AB105" s="64"/>
      <c r="AC105" s="64"/>
      <c r="AD105" s="64"/>
      <c r="AE105" s="68"/>
      <c r="AF105" s="68"/>
      <c r="AG105" s="64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4"/>
      <c r="J106" s="68"/>
      <c r="K106" s="68"/>
      <c r="L106" s="64"/>
      <c r="M106" s="64"/>
      <c r="N106" s="64"/>
      <c r="O106" s="64"/>
      <c r="P106" s="64"/>
      <c r="Q106" s="68"/>
      <c r="R106" s="68"/>
      <c r="S106" s="64"/>
      <c r="T106" s="64"/>
      <c r="U106" s="64"/>
      <c r="V106" s="64"/>
      <c r="W106" s="64"/>
      <c r="X106" s="68"/>
      <c r="Y106" s="68"/>
      <c r="Z106" s="64"/>
      <c r="AA106" s="64"/>
      <c r="AB106" s="64"/>
      <c r="AC106" s="64"/>
      <c r="AD106" s="64"/>
      <c r="AE106" s="68"/>
      <c r="AF106" s="68"/>
      <c r="AG106" s="64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4"/>
      <c r="J107" s="68"/>
      <c r="K107" s="68"/>
      <c r="L107" s="64"/>
      <c r="M107" s="64"/>
      <c r="N107" s="64"/>
      <c r="O107" s="64"/>
      <c r="P107" s="64"/>
      <c r="Q107" s="68"/>
      <c r="R107" s="68"/>
      <c r="S107" s="64"/>
      <c r="T107" s="64"/>
      <c r="U107" s="64"/>
      <c r="V107" s="64"/>
      <c r="W107" s="64"/>
      <c r="X107" s="68"/>
      <c r="Y107" s="68"/>
      <c r="Z107" s="64"/>
      <c r="AA107" s="64"/>
      <c r="AB107" s="64"/>
      <c r="AC107" s="64"/>
      <c r="AD107" s="64"/>
      <c r="AE107" s="68"/>
      <c r="AF107" s="68"/>
      <c r="AG107" s="64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4"/>
      <c r="J108" s="68"/>
      <c r="K108" s="68"/>
      <c r="L108" s="64"/>
      <c r="M108" s="64"/>
      <c r="N108" s="64"/>
      <c r="O108" s="64"/>
      <c r="P108" s="64"/>
      <c r="Q108" s="68"/>
      <c r="R108" s="68"/>
      <c r="S108" s="64"/>
      <c r="T108" s="64"/>
      <c r="U108" s="64"/>
      <c r="V108" s="64"/>
      <c r="W108" s="64"/>
      <c r="X108" s="68"/>
      <c r="Y108" s="68"/>
      <c r="Z108" s="64"/>
      <c r="AA108" s="64"/>
      <c r="AB108" s="64"/>
      <c r="AC108" s="64"/>
      <c r="AD108" s="64"/>
      <c r="AE108" s="68"/>
      <c r="AF108" s="68"/>
      <c r="AG108" s="64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4"/>
      <c r="J109" s="68"/>
      <c r="K109" s="68"/>
      <c r="L109" s="64"/>
      <c r="M109" s="64"/>
      <c r="N109" s="64"/>
      <c r="O109" s="64"/>
      <c r="P109" s="64"/>
      <c r="Q109" s="68"/>
      <c r="R109" s="68"/>
      <c r="S109" s="64"/>
      <c r="T109" s="64"/>
      <c r="U109" s="64"/>
      <c r="V109" s="64"/>
      <c r="W109" s="64"/>
      <c r="X109" s="68"/>
      <c r="Y109" s="68"/>
      <c r="Z109" s="64"/>
      <c r="AA109" s="64"/>
      <c r="AB109" s="64"/>
      <c r="AC109" s="64"/>
      <c r="AD109" s="64"/>
      <c r="AE109" s="68"/>
      <c r="AF109" s="68"/>
      <c r="AG109" s="64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4"/>
      <c r="J110" s="68"/>
      <c r="K110" s="68"/>
      <c r="L110" s="64"/>
      <c r="M110" s="64"/>
      <c r="N110" s="64"/>
      <c r="O110" s="64"/>
      <c r="P110" s="64"/>
      <c r="Q110" s="68"/>
      <c r="R110" s="68"/>
      <c r="S110" s="64"/>
      <c r="T110" s="64"/>
      <c r="U110" s="64"/>
      <c r="V110" s="64"/>
      <c r="W110" s="64"/>
      <c r="X110" s="68"/>
      <c r="Y110" s="68"/>
      <c r="Z110" s="64"/>
      <c r="AA110" s="64"/>
      <c r="AB110" s="64"/>
      <c r="AC110" s="64"/>
      <c r="AD110" s="64"/>
      <c r="AE110" s="68"/>
      <c r="AF110" s="68"/>
      <c r="AG110" s="64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4"/>
      <c r="J111" s="68"/>
      <c r="K111" s="68"/>
      <c r="L111" s="64"/>
      <c r="M111" s="64"/>
      <c r="N111" s="64"/>
      <c r="O111" s="64"/>
      <c r="P111" s="64"/>
      <c r="Q111" s="68"/>
      <c r="R111" s="68"/>
      <c r="S111" s="64"/>
      <c r="T111" s="64"/>
      <c r="U111" s="64"/>
      <c r="V111" s="64"/>
      <c r="W111" s="64"/>
      <c r="X111" s="68"/>
      <c r="Y111" s="68"/>
      <c r="Z111" s="64"/>
      <c r="AA111" s="64"/>
      <c r="AB111" s="64"/>
      <c r="AC111" s="64"/>
      <c r="AD111" s="64"/>
      <c r="AE111" s="68"/>
      <c r="AF111" s="68"/>
      <c r="AG111" s="64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4"/>
      <c r="J112" s="68"/>
      <c r="K112" s="68"/>
      <c r="L112" s="64"/>
      <c r="M112" s="64"/>
      <c r="N112" s="64"/>
      <c r="O112" s="64"/>
      <c r="P112" s="64"/>
      <c r="Q112" s="68"/>
      <c r="R112" s="68"/>
      <c r="S112" s="64"/>
      <c r="T112" s="64"/>
      <c r="U112" s="64"/>
      <c r="V112" s="64"/>
      <c r="W112" s="64"/>
      <c r="X112" s="68"/>
      <c r="Y112" s="68"/>
      <c r="Z112" s="64"/>
      <c r="AA112" s="64"/>
      <c r="AB112" s="64"/>
      <c r="AC112" s="64"/>
      <c r="AD112" s="64"/>
      <c r="AE112" s="68"/>
      <c r="AF112" s="68"/>
      <c r="AG112" s="64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4"/>
      <c r="J113" s="68"/>
      <c r="K113" s="68"/>
      <c r="L113" s="64"/>
      <c r="M113" s="64"/>
      <c r="N113" s="64"/>
      <c r="O113" s="64"/>
      <c r="P113" s="64"/>
      <c r="Q113" s="68"/>
      <c r="R113" s="68"/>
      <c r="S113" s="64"/>
      <c r="T113" s="64"/>
      <c r="U113" s="64"/>
      <c r="V113" s="64"/>
      <c r="W113" s="64"/>
      <c r="X113" s="68"/>
      <c r="Y113" s="68"/>
      <c r="Z113" s="64"/>
      <c r="AA113" s="64"/>
      <c r="AB113" s="64"/>
      <c r="AC113" s="64"/>
      <c r="AD113" s="64"/>
      <c r="AE113" s="68"/>
      <c r="AF113" s="68"/>
      <c r="AG113" s="64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4"/>
      <c r="J114" s="68"/>
      <c r="K114" s="68"/>
      <c r="L114" s="64"/>
      <c r="M114" s="64"/>
      <c r="N114" s="64"/>
      <c r="O114" s="64"/>
      <c r="P114" s="64"/>
      <c r="Q114" s="68"/>
      <c r="R114" s="68"/>
      <c r="S114" s="64"/>
      <c r="T114" s="64"/>
      <c r="U114" s="64"/>
      <c r="V114" s="64"/>
      <c r="W114" s="64"/>
      <c r="X114" s="68"/>
      <c r="Y114" s="68"/>
      <c r="Z114" s="64"/>
      <c r="AA114" s="64"/>
      <c r="AB114" s="64"/>
      <c r="AC114" s="64"/>
      <c r="AD114" s="64"/>
      <c r="AE114" s="68"/>
      <c r="AF114" s="68"/>
      <c r="AG114" s="64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4"/>
      <c r="J115" s="68"/>
      <c r="K115" s="68"/>
      <c r="L115" s="64"/>
      <c r="M115" s="64"/>
      <c r="N115" s="64"/>
      <c r="O115" s="64"/>
      <c r="P115" s="64"/>
      <c r="Q115" s="68"/>
      <c r="R115" s="68"/>
      <c r="S115" s="64"/>
      <c r="T115" s="64"/>
      <c r="U115" s="64"/>
      <c r="V115" s="64"/>
      <c r="W115" s="64"/>
      <c r="X115" s="68"/>
      <c r="Y115" s="68"/>
      <c r="Z115" s="64"/>
      <c r="AA115" s="64"/>
      <c r="AB115" s="64"/>
      <c r="AC115" s="64"/>
      <c r="AD115" s="64"/>
      <c r="AE115" s="68"/>
      <c r="AF115" s="68"/>
      <c r="AG115" s="64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4"/>
      <c r="J116" s="68"/>
      <c r="K116" s="68"/>
      <c r="L116" s="64"/>
      <c r="M116" s="64"/>
      <c r="N116" s="64"/>
      <c r="O116" s="64"/>
      <c r="P116" s="64"/>
      <c r="Q116" s="68"/>
      <c r="R116" s="68"/>
      <c r="S116" s="64"/>
      <c r="T116" s="64"/>
      <c r="U116" s="64"/>
      <c r="V116" s="64"/>
      <c r="W116" s="64"/>
      <c r="X116" s="68"/>
      <c r="Y116" s="68"/>
      <c r="Z116" s="64"/>
      <c r="AA116" s="64"/>
      <c r="AB116" s="64"/>
      <c r="AC116" s="64"/>
      <c r="AD116" s="64"/>
      <c r="AE116" s="68"/>
      <c r="AF116" s="68"/>
      <c r="AG116" s="64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92"/>
      <c r="J117" s="124"/>
      <c r="K117" s="124"/>
      <c r="L117" s="92"/>
      <c r="M117" s="92"/>
      <c r="N117" s="92"/>
      <c r="O117" s="92"/>
      <c r="P117" s="92"/>
      <c r="Q117" s="124"/>
      <c r="R117" s="124"/>
      <c r="S117" s="92"/>
      <c r="T117" s="92"/>
      <c r="U117" s="92"/>
      <c r="V117" s="92"/>
      <c r="W117" s="92"/>
      <c r="X117" s="124"/>
      <c r="Y117" s="124"/>
      <c r="Z117" s="92"/>
      <c r="AA117" s="92"/>
      <c r="AB117" s="92"/>
      <c r="AC117" s="92"/>
      <c r="AD117" s="92"/>
      <c r="AE117" s="124"/>
      <c r="AF117" s="124"/>
      <c r="AG117" s="92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120"/>
      <c r="Z118" s="70"/>
      <c r="AC118" s="70"/>
      <c r="AD118" s="70"/>
      <c r="AF118" s="120"/>
      <c r="AG118" s="7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56"/>
      <c r="AE119" s="12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4"/>
      <c r="J122" s="68"/>
      <c r="K122" s="68"/>
      <c r="L122" s="64"/>
      <c r="M122" s="64"/>
      <c r="N122" s="64"/>
      <c r="O122" s="64"/>
      <c r="P122" s="64"/>
      <c r="Q122" s="122"/>
      <c r="R122" s="120"/>
      <c r="S122" s="64"/>
      <c r="T122" s="64"/>
      <c r="U122" s="70"/>
      <c r="V122" s="64"/>
      <c r="W122" s="64"/>
      <c r="X122" s="68"/>
      <c r="Y122" s="68"/>
      <c r="Z122" s="64"/>
      <c r="AA122" s="64"/>
      <c r="AB122" s="64"/>
      <c r="AC122" s="80"/>
      <c r="AD122" s="64"/>
      <c r="AE122" s="68"/>
      <c r="AF122" s="68"/>
      <c r="AG122" s="64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120"/>
      <c r="S125" s="7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4"/>
      <c r="J126" s="68"/>
      <c r="K126" s="68"/>
      <c r="L126" s="64"/>
      <c r="M126" s="70"/>
      <c r="N126" s="64"/>
      <c r="O126" s="64"/>
      <c r="P126" s="64"/>
      <c r="Q126" s="120"/>
      <c r="R126" s="68"/>
      <c r="S126" s="70"/>
      <c r="T126" s="64"/>
      <c r="U126" s="64"/>
      <c r="V126" s="64"/>
      <c r="W126" s="70"/>
      <c r="X126" s="68"/>
      <c r="Y126" s="68"/>
      <c r="Z126" s="64"/>
      <c r="AA126" s="64"/>
      <c r="AB126" s="64"/>
      <c r="AC126" s="64"/>
      <c r="AD126" s="64"/>
      <c r="AE126" s="68"/>
      <c r="AF126" s="68"/>
      <c r="AG126" s="64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70"/>
      <c r="J128" s="120"/>
      <c r="M128" s="70"/>
      <c r="N128" s="70"/>
      <c r="O128" s="70"/>
      <c r="P128" s="70"/>
      <c r="Q128" s="120"/>
      <c r="R128" s="120"/>
      <c r="S128" s="70"/>
      <c r="T128" s="70"/>
      <c r="V128" s="70"/>
      <c r="W128" s="70"/>
      <c r="X128" s="120"/>
      <c r="Z128" s="70"/>
      <c r="AA128" s="70"/>
      <c r="AB128" s="70"/>
      <c r="AC128" s="70"/>
      <c r="AD128" s="70"/>
      <c r="AE128" s="120"/>
      <c r="AF128" s="120"/>
      <c r="AG128" s="7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70"/>
      <c r="J134" s="120"/>
      <c r="M134" s="70"/>
      <c r="N134" s="70"/>
      <c r="O134" s="70"/>
      <c r="P134" s="70"/>
      <c r="Q134" s="120"/>
      <c r="R134" s="120"/>
      <c r="T134" s="70"/>
      <c r="U134" s="70"/>
      <c r="V134" s="70"/>
      <c r="Y134" s="120"/>
      <c r="Z134" s="70"/>
      <c r="AA134" s="70"/>
      <c r="AB134" s="70"/>
      <c r="AC134" s="7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0"/>
      <c r="AD135" s="70"/>
      <c r="AF135" s="12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73"/>
      <c r="J136" s="121"/>
      <c r="K136" s="121"/>
      <c r="L136" s="73"/>
      <c r="M136" s="73"/>
      <c r="N136" s="73"/>
      <c r="O136" s="73"/>
      <c r="P136" s="73"/>
      <c r="Q136" s="121"/>
      <c r="R136" s="121"/>
      <c r="S136" s="73"/>
      <c r="T136" s="73"/>
      <c r="U136" s="73"/>
      <c r="V136" s="73"/>
      <c r="W136" s="73"/>
      <c r="X136" s="121"/>
      <c r="Y136" s="121"/>
      <c r="Z136" s="73"/>
      <c r="AA136" s="73"/>
      <c r="AB136" s="73"/>
      <c r="AC136" s="73"/>
      <c r="AD136" s="73"/>
      <c r="AE136" s="121"/>
      <c r="AF136" s="121"/>
      <c r="AG136" s="73"/>
      <c r="AH136" s="73"/>
      <c r="AI136" s="73"/>
      <c r="AJ136" s="73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70"/>
      <c r="J137" s="120"/>
      <c r="K137" s="120"/>
      <c r="L137" s="70"/>
      <c r="M137" s="70"/>
      <c r="N137" s="70"/>
      <c r="O137" s="70"/>
      <c r="P137" s="70"/>
      <c r="Q137" s="120"/>
      <c r="R137" s="120"/>
      <c r="S137" s="70"/>
      <c r="T137" s="70"/>
      <c r="U137" s="70"/>
      <c r="V137" s="70"/>
      <c r="W137" s="70"/>
      <c r="X137" s="120"/>
      <c r="Y137" s="120"/>
      <c r="Z137" s="70"/>
      <c r="AA137" s="70"/>
      <c r="AB137" s="70"/>
      <c r="AC137" s="70"/>
      <c r="AD137" s="64"/>
      <c r="AE137" s="68"/>
      <c r="AF137" s="68"/>
      <c r="AG137" s="64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4"/>
      <c r="J138" s="68"/>
      <c r="K138" s="68"/>
      <c r="L138" s="64"/>
      <c r="M138" s="64"/>
      <c r="N138" s="64"/>
      <c r="O138" s="64"/>
      <c r="P138" s="64"/>
      <c r="Q138" s="68"/>
      <c r="R138" s="68"/>
      <c r="S138" s="64"/>
      <c r="T138" s="64"/>
      <c r="U138" s="64"/>
      <c r="V138" s="64"/>
      <c r="W138" s="64"/>
      <c r="X138" s="68"/>
      <c r="Y138" s="68"/>
      <c r="Z138" s="64"/>
      <c r="AA138" s="64"/>
      <c r="AB138" s="64"/>
      <c r="AC138" s="64"/>
      <c r="AD138" s="64"/>
      <c r="AE138" s="68"/>
      <c r="AF138" s="68"/>
      <c r="AG138" s="64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I146" s="64"/>
      <c r="L146" s="64"/>
      <c r="M146" s="64"/>
      <c r="N146" s="64"/>
      <c r="O146" s="64"/>
      <c r="P146" s="64"/>
      <c r="S146" s="64"/>
      <c r="T146" s="64"/>
      <c r="U146" s="64"/>
      <c r="V146" s="64"/>
      <c r="W146" s="64"/>
      <c r="Z146" s="64"/>
      <c r="AA146" s="64"/>
      <c r="AB146" s="64"/>
      <c r="AC146" s="64"/>
      <c r="AD146" s="64"/>
      <c r="AG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I147" s="64"/>
      <c r="L147" s="64"/>
      <c r="M147" s="64"/>
      <c r="N147" s="64"/>
      <c r="O147" s="64"/>
      <c r="P147" s="64"/>
      <c r="S147" s="64"/>
      <c r="T147" s="64"/>
      <c r="U147" s="64"/>
      <c r="V147" s="64"/>
      <c r="W147" s="64"/>
      <c r="Z147" s="64"/>
      <c r="AA147" s="64"/>
      <c r="AB147" s="64"/>
      <c r="AC147" s="64"/>
      <c r="AD147" s="64"/>
      <c r="AG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I148" s="64"/>
      <c r="L148" s="64"/>
      <c r="M148" s="64"/>
      <c r="N148" s="64"/>
      <c r="O148" s="64"/>
      <c r="P148" s="64"/>
      <c r="S148" s="64"/>
      <c r="T148" s="64"/>
      <c r="U148" s="64"/>
      <c r="V148" s="64"/>
      <c r="W148" s="64"/>
      <c r="Z148" s="64"/>
      <c r="AA148" s="64"/>
      <c r="AB148" s="64"/>
      <c r="AC148" s="64"/>
      <c r="AD148" s="64"/>
      <c r="AG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I149" s="64"/>
      <c r="L149" s="64"/>
      <c r="M149" s="64"/>
      <c r="N149" s="64"/>
      <c r="O149" s="64"/>
      <c r="P149" s="64"/>
      <c r="S149" s="64"/>
      <c r="T149" s="64"/>
      <c r="U149" s="64"/>
      <c r="V149" s="64"/>
      <c r="W149" s="64"/>
      <c r="Z149" s="64"/>
      <c r="AA149" s="64"/>
      <c r="AB149" s="64"/>
      <c r="AC149" s="64"/>
      <c r="AD149" s="64"/>
      <c r="AG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I150" s="64"/>
      <c r="L150" s="64"/>
      <c r="M150" s="64"/>
      <c r="N150" s="64"/>
      <c r="O150" s="64"/>
      <c r="P150" s="64"/>
      <c r="S150" s="64"/>
      <c r="T150" s="64"/>
      <c r="U150" s="64"/>
      <c r="V150" s="64"/>
      <c r="W150" s="64"/>
      <c r="Z150" s="64"/>
      <c r="AA150" s="64"/>
      <c r="AB150" s="64"/>
      <c r="AC150" s="64"/>
      <c r="AD150" s="64"/>
      <c r="AG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I151" s="64"/>
      <c r="L151" s="64"/>
      <c r="M151" s="64"/>
      <c r="N151" s="64"/>
      <c r="O151" s="64"/>
      <c r="P151" s="64"/>
      <c r="S151" s="64"/>
      <c r="T151" s="64"/>
      <c r="U151" s="64"/>
      <c r="V151" s="64"/>
      <c r="W151" s="64"/>
      <c r="Z151" s="64"/>
      <c r="AA151" s="64"/>
      <c r="AB151" s="64"/>
      <c r="AC151" s="64"/>
      <c r="AD151" s="64"/>
      <c r="AG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I152" s="64"/>
      <c r="L152" s="64"/>
      <c r="M152" s="64"/>
      <c r="N152" s="64"/>
      <c r="O152" s="64"/>
      <c r="P152" s="64"/>
      <c r="S152" s="64"/>
      <c r="T152" s="64"/>
      <c r="U152" s="64"/>
      <c r="V152" s="64"/>
      <c r="W152" s="64"/>
      <c r="Z152" s="64"/>
      <c r="AA152" s="64"/>
      <c r="AB152" s="64"/>
      <c r="AC152" s="64"/>
      <c r="AD152" s="64"/>
      <c r="AG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I153" s="64"/>
      <c r="L153" s="64"/>
      <c r="M153" s="64"/>
      <c r="N153" s="64"/>
      <c r="O153" s="64"/>
      <c r="P153" s="64"/>
      <c r="S153" s="64"/>
      <c r="T153" s="64"/>
      <c r="U153" s="64"/>
      <c r="V153" s="64"/>
      <c r="W153" s="64"/>
      <c r="Z153" s="64"/>
      <c r="AA153" s="64"/>
      <c r="AB153" s="64"/>
      <c r="AC153" s="64"/>
      <c r="AD153" s="64"/>
      <c r="AG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I154" s="64"/>
      <c r="L154" s="64"/>
      <c r="M154" s="64"/>
      <c r="N154" s="64"/>
      <c r="O154" s="64"/>
      <c r="P154" s="64"/>
      <c r="S154" s="64"/>
      <c r="T154" s="64"/>
      <c r="U154" s="64"/>
      <c r="V154" s="64"/>
      <c r="W154" s="64"/>
      <c r="Z154" s="64"/>
      <c r="AA154" s="64"/>
      <c r="AB154" s="64"/>
      <c r="AC154" s="64"/>
      <c r="AD154" s="64"/>
      <c r="AG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I155" s="64"/>
      <c r="L155" s="64"/>
      <c r="M155" s="64"/>
      <c r="N155" s="64"/>
      <c r="O155" s="64"/>
      <c r="P155" s="64"/>
      <c r="S155" s="64"/>
      <c r="T155" s="64"/>
      <c r="U155" s="64"/>
      <c r="V155" s="64"/>
      <c r="W155" s="64"/>
      <c r="Z155" s="64"/>
      <c r="AA155" s="64"/>
      <c r="AB155" s="64"/>
      <c r="AC155" s="64"/>
      <c r="AD155" s="64"/>
      <c r="AG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I156" s="64"/>
      <c r="L156" s="64"/>
      <c r="M156" s="64"/>
      <c r="N156" s="64"/>
      <c r="O156" s="64"/>
      <c r="P156" s="64"/>
      <c r="S156" s="64"/>
      <c r="T156" s="64"/>
      <c r="U156" s="64"/>
      <c r="V156" s="64"/>
      <c r="W156" s="64"/>
      <c r="Z156" s="64"/>
      <c r="AA156" s="64"/>
      <c r="AB156" s="64"/>
      <c r="AC156" s="64"/>
      <c r="AD156" s="64"/>
      <c r="AG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I157" s="64"/>
      <c r="L157" s="64"/>
      <c r="M157" s="64"/>
      <c r="N157" s="64"/>
      <c r="O157" s="64"/>
      <c r="P157" s="64"/>
      <c r="S157" s="64"/>
      <c r="T157" s="64"/>
      <c r="U157" s="64"/>
      <c r="V157" s="64"/>
      <c r="W157" s="64"/>
      <c r="Z157" s="64"/>
      <c r="AA157" s="64"/>
      <c r="AB157" s="64"/>
      <c r="AC157" s="64"/>
      <c r="AD157" s="64"/>
      <c r="AG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I158" s="64"/>
      <c r="L158" s="64"/>
      <c r="M158" s="64"/>
      <c r="N158" s="64"/>
      <c r="O158" s="64"/>
      <c r="P158" s="64"/>
      <c r="S158" s="64"/>
      <c r="T158" s="64"/>
      <c r="U158" s="64"/>
      <c r="V158" s="64"/>
      <c r="W158" s="64"/>
      <c r="Z158" s="64"/>
      <c r="AA158" s="64"/>
      <c r="AB158" s="64"/>
      <c r="AC158" s="64"/>
      <c r="AD158" s="64"/>
      <c r="AG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I159" s="64"/>
      <c r="L159" s="64"/>
      <c r="M159" s="64"/>
      <c r="N159" s="64"/>
      <c r="O159" s="64"/>
      <c r="P159" s="64"/>
      <c r="S159" s="64"/>
      <c r="T159" s="64"/>
      <c r="U159" s="64"/>
      <c r="V159" s="64"/>
      <c r="W159" s="64"/>
      <c r="Z159" s="64"/>
      <c r="AA159" s="64"/>
      <c r="AB159" s="64"/>
      <c r="AC159" s="64"/>
      <c r="AD159" s="64"/>
      <c r="AG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I160" s="64"/>
      <c r="L160" s="64"/>
      <c r="M160" s="64"/>
      <c r="N160" s="64"/>
      <c r="O160" s="64"/>
      <c r="P160" s="64"/>
      <c r="S160" s="64"/>
      <c r="T160" s="64"/>
      <c r="U160" s="64"/>
      <c r="V160" s="64"/>
      <c r="W160" s="64"/>
      <c r="Z160" s="64"/>
      <c r="AA160" s="64"/>
      <c r="AB160" s="64"/>
      <c r="AC160" s="64"/>
      <c r="AD160" s="64"/>
      <c r="AG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I161" s="64"/>
      <c r="L161" s="64"/>
      <c r="M161" s="64"/>
      <c r="N161" s="64"/>
      <c r="O161" s="64"/>
      <c r="P161" s="64"/>
      <c r="S161" s="64"/>
      <c r="T161" s="64"/>
      <c r="U161" s="64"/>
      <c r="V161" s="64"/>
      <c r="W161" s="64"/>
      <c r="Z161" s="64"/>
      <c r="AA161" s="64"/>
      <c r="AB161" s="64"/>
      <c r="AC161" s="64"/>
      <c r="AD161" s="64"/>
      <c r="AG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I162" s="64"/>
      <c r="L162" s="64"/>
      <c r="M162" s="64"/>
      <c r="N162" s="64"/>
      <c r="O162" s="64"/>
      <c r="P162" s="64"/>
      <c r="S162" s="64"/>
      <c r="T162" s="64"/>
      <c r="U162" s="64"/>
      <c r="V162" s="64"/>
      <c r="W162" s="64"/>
      <c r="Z162" s="64"/>
      <c r="AA162" s="64"/>
      <c r="AB162" s="64"/>
      <c r="AC162" s="64"/>
      <c r="AD162" s="64"/>
      <c r="AG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I163" s="64"/>
      <c r="L163" s="64"/>
      <c r="M163" s="64"/>
      <c r="N163" s="64"/>
      <c r="O163" s="64"/>
      <c r="P163" s="64"/>
      <c r="S163" s="64"/>
      <c r="T163" s="64"/>
      <c r="U163" s="64"/>
      <c r="V163" s="64"/>
      <c r="W163" s="64"/>
      <c r="Z163" s="64"/>
      <c r="AA163" s="64"/>
      <c r="AB163" s="64"/>
      <c r="AC163" s="64"/>
      <c r="AD163" s="64"/>
      <c r="AG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I164" s="64"/>
      <c r="L164" s="64"/>
      <c r="M164" s="64"/>
      <c r="N164" s="64"/>
      <c r="O164" s="64"/>
      <c r="P164" s="64"/>
      <c r="S164" s="64"/>
      <c r="T164" s="64"/>
      <c r="U164" s="64"/>
      <c r="V164" s="64"/>
      <c r="W164" s="64"/>
      <c r="Z164" s="64"/>
      <c r="AA164" s="64"/>
      <c r="AB164" s="64"/>
      <c r="AC164" s="64"/>
      <c r="AD164" s="64"/>
      <c r="AG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I165" s="64"/>
      <c r="L165" s="64"/>
      <c r="M165" s="64"/>
      <c r="N165" s="64"/>
      <c r="O165" s="64"/>
      <c r="P165" s="64"/>
      <c r="S165" s="64"/>
      <c r="T165" s="64"/>
      <c r="U165" s="64"/>
      <c r="V165" s="64"/>
      <c r="W165" s="64"/>
      <c r="Z165" s="64"/>
      <c r="AA165" s="64"/>
      <c r="AB165" s="64"/>
      <c r="AC165" s="64"/>
      <c r="AD165" s="64"/>
      <c r="AG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I166" s="64"/>
      <c r="L166" s="64"/>
      <c r="M166" s="64"/>
      <c r="N166" s="64"/>
      <c r="O166" s="64"/>
      <c r="P166" s="64"/>
      <c r="S166" s="64"/>
      <c r="T166" s="64"/>
      <c r="U166" s="64"/>
      <c r="V166" s="64"/>
      <c r="W166" s="64"/>
      <c r="Z166" s="64"/>
      <c r="AA166" s="64"/>
      <c r="AB166" s="64"/>
      <c r="AC166" s="64"/>
      <c r="AD166" s="64"/>
      <c r="AG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I167" s="64"/>
      <c r="L167" s="64"/>
      <c r="M167" s="64"/>
      <c r="N167" s="64"/>
      <c r="O167" s="64"/>
      <c r="P167" s="64"/>
      <c r="S167" s="64"/>
      <c r="T167" s="64"/>
      <c r="U167" s="64"/>
      <c r="V167" s="64"/>
      <c r="W167" s="64"/>
      <c r="Z167" s="64"/>
      <c r="AA167" s="64"/>
      <c r="AB167" s="64"/>
      <c r="AC167" s="64"/>
      <c r="AD167" s="64"/>
      <c r="AG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I168" s="64"/>
      <c r="L168" s="64"/>
      <c r="M168" s="64"/>
      <c r="N168" s="64"/>
      <c r="O168" s="64"/>
      <c r="P168" s="64"/>
      <c r="S168" s="64"/>
      <c r="T168" s="64"/>
      <c r="U168" s="64"/>
      <c r="V168" s="64"/>
      <c r="W168" s="64"/>
      <c r="Z168" s="64"/>
      <c r="AA168" s="64"/>
      <c r="AB168" s="64"/>
      <c r="AC168" s="64"/>
      <c r="AD168" s="64"/>
      <c r="AG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I169" s="64"/>
      <c r="L169" s="64"/>
      <c r="M169" s="64"/>
      <c r="N169" s="64"/>
      <c r="O169" s="64"/>
      <c r="P169" s="64"/>
      <c r="S169" s="64"/>
      <c r="T169" s="64"/>
      <c r="U169" s="64"/>
      <c r="V169" s="64"/>
      <c r="W169" s="64"/>
      <c r="Z169" s="64"/>
      <c r="AA169" s="64"/>
      <c r="AB169" s="64"/>
      <c r="AC169" s="64"/>
      <c r="AD169" s="64"/>
      <c r="AG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I170" s="64"/>
      <c r="L170" s="64"/>
      <c r="M170" s="64"/>
      <c r="N170" s="64"/>
      <c r="O170" s="64"/>
      <c r="P170" s="64"/>
      <c r="S170" s="64"/>
      <c r="T170" s="64"/>
      <c r="U170" s="64"/>
      <c r="V170" s="64"/>
      <c r="W170" s="64"/>
      <c r="Z170" s="64"/>
      <c r="AA170" s="64"/>
      <c r="AB170" s="64"/>
      <c r="AC170" s="64"/>
      <c r="AD170" s="64"/>
      <c r="AG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I171" s="64"/>
      <c r="L171" s="64"/>
      <c r="M171" s="64"/>
      <c r="N171" s="64"/>
      <c r="O171" s="64"/>
      <c r="P171" s="64"/>
      <c r="S171" s="64"/>
      <c r="T171" s="64"/>
      <c r="U171" s="64"/>
      <c r="V171" s="64"/>
      <c r="W171" s="64"/>
      <c r="Z171" s="64"/>
      <c r="AA171" s="64"/>
      <c r="AB171" s="64"/>
      <c r="AC171" s="64"/>
      <c r="AD171" s="64"/>
      <c r="AG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I172" s="64"/>
      <c r="L172" s="64"/>
      <c r="M172" s="64"/>
      <c r="N172" s="64"/>
      <c r="O172" s="64"/>
      <c r="P172" s="64"/>
      <c r="S172" s="64"/>
      <c r="T172" s="64"/>
      <c r="U172" s="64"/>
      <c r="V172" s="64"/>
      <c r="W172" s="64"/>
      <c r="Z172" s="64"/>
      <c r="AA172" s="64"/>
      <c r="AB172" s="64"/>
      <c r="AC172" s="64"/>
      <c r="AD172" s="64"/>
      <c r="AG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I173" s="64"/>
      <c r="L173" s="64"/>
      <c r="M173" s="64"/>
      <c r="N173" s="64"/>
      <c r="O173" s="64"/>
      <c r="P173" s="64"/>
      <c r="S173" s="64"/>
      <c r="T173" s="64"/>
      <c r="U173" s="64"/>
      <c r="V173" s="64"/>
      <c r="W173" s="64"/>
      <c r="Z173" s="64"/>
      <c r="AA173" s="64"/>
      <c r="AB173" s="64"/>
      <c r="AC173" s="64"/>
      <c r="AD173" s="64"/>
      <c r="AG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I174" s="64"/>
      <c r="L174" s="64"/>
      <c r="M174" s="64"/>
      <c r="N174" s="64"/>
      <c r="O174" s="64"/>
      <c r="P174" s="64"/>
      <c r="S174" s="64"/>
      <c r="T174" s="64"/>
      <c r="U174" s="64"/>
      <c r="V174" s="64"/>
      <c r="W174" s="64"/>
      <c r="Z174" s="64"/>
      <c r="AA174" s="64"/>
      <c r="AB174" s="64"/>
      <c r="AC174" s="64"/>
      <c r="AD174" s="64"/>
      <c r="AG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I175" s="64"/>
      <c r="L175" s="64"/>
      <c r="M175" s="64"/>
      <c r="N175" s="64"/>
      <c r="O175" s="64"/>
      <c r="P175" s="64"/>
      <c r="S175" s="64"/>
      <c r="T175" s="64"/>
      <c r="U175" s="64"/>
      <c r="V175" s="64"/>
      <c r="W175" s="64"/>
      <c r="Z175" s="64"/>
      <c r="AA175" s="64"/>
      <c r="AB175" s="64"/>
      <c r="AC175" s="64"/>
      <c r="AD175" s="64"/>
      <c r="AG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I176" s="64"/>
      <c r="L176" s="64"/>
      <c r="M176" s="64"/>
      <c r="N176" s="64"/>
      <c r="O176" s="64"/>
      <c r="P176" s="64"/>
      <c r="S176" s="64"/>
      <c r="T176" s="64"/>
      <c r="U176" s="64"/>
      <c r="V176" s="64"/>
      <c r="W176" s="64"/>
      <c r="Z176" s="64"/>
      <c r="AA176" s="64"/>
      <c r="AB176" s="64"/>
      <c r="AC176" s="64"/>
      <c r="AD176" s="64"/>
      <c r="AG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I177" s="64"/>
      <c r="L177" s="64"/>
      <c r="M177" s="64"/>
      <c r="N177" s="64"/>
      <c r="O177" s="64"/>
      <c r="P177" s="64"/>
      <c r="S177" s="64"/>
      <c r="T177" s="64"/>
      <c r="U177" s="64"/>
      <c r="V177" s="64"/>
      <c r="W177" s="64"/>
      <c r="Z177" s="64"/>
      <c r="AA177" s="64"/>
      <c r="AB177" s="64"/>
      <c r="AC177" s="64"/>
      <c r="AD177" s="64"/>
      <c r="AG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I178" s="64"/>
      <c r="L178" s="64"/>
      <c r="M178" s="64"/>
      <c r="N178" s="64"/>
      <c r="O178" s="64"/>
      <c r="P178" s="64"/>
      <c r="S178" s="64"/>
      <c r="T178" s="64"/>
      <c r="U178" s="64"/>
      <c r="V178" s="64"/>
      <c r="W178" s="64"/>
      <c r="Z178" s="64"/>
      <c r="AA178" s="64"/>
      <c r="AB178" s="64"/>
      <c r="AC178" s="64"/>
      <c r="AD178" s="64"/>
      <c r="AG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I179" s="64"/>
      <c r="L179" s="64"/>
      <c r="M179" s="64"/>
      <c r="N179" s="64"/>
      <c r="O179" s="64"/>
      <c r="P179" s="64"/>
      <c r="S179" s="64"/>
      <c r="T179" s="64"/>
      <c r="U179" s="64"/>
      <c r="V179" s="64"/>
      <c r="W179" s="64"/>
      <c r="Z179" s="64"/>
      <c r="AA179" s="64"/>
      <c r="AB179" s="64"/>
      <c r="AC179" s="64"/>
      <c r="AD179" s="64"/>
      <c r="AG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I180" s="64"/>
      <c r="L180" s="64"/>
      <c r="M180" s="64"/>
      <c r="N180" s="64"/>
      <c r="O180" s="64"/>
      <c r="P180" s="64"/>
      <c r="S180" s="64"/>
      <c r="T180" s="64"/>
      <c r="U180" s="64"/>
      <c r="V180" s="64"/>
      <c r="W180" s="64"/>
      <c r="Z180" s="64"/>
      <c r="AA180" s="64"/>
      <c r="AB180" s="64"/>
      <c r="AC180" s="64"/>
      <c r="AD180" s="64"/>
      <c r="AG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I181" s="64"/>
      <c r="L181" s="64"/>
      <c r="M181" s="64"/>
      <c r="N181" s="64"/>
      <c r="O181" s="64"/>
      <c r="P181" s="64"/>
      <c r="S181" s="64"/>
      <c r="T181" s="64"/>
      <c r="U181" s="64"/>
      <c r="V181" s="64"/>
      <c r="W181" s="64"/>
      <c r="Z181" s="64"/>
      <c r="AA181" s="64"/>
      <c r="AB181" s="64"/>
      <c r="AC181" s="64"/>
      <c r="AD181" s="64"/>
      <c r="AG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I182" s="64"/>
      <c r="L182" s="64"/>
      <c r="M182" s="64"/>
      <c r="N182" s="64"/>
      <c r="O182" s="64"/>
      <c r="P182" s="64"/>
      <c r="S182" s="64"/>
      <c r="T182" s="64"/>
      <c r="U182" s="64"/>
      <c r="V182" s="64"/>
      <c r="W182" s="64"/>
      <c r="Z182" s="64"/>
      <c r="AA182" s="64"/>
      <c r="AB182" s="64"/>
      <c r="AC182" s="64"/>
      <c r="AD182" s="64"/>
      <c r="AG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I183" s="64"/>
      <c r="L183" s="64"/>
      <c r="M183" s="64"/>
      <c r="N183" s="64"/>
      <c r="O183" s="64"/>
      <c r="P183" s="64"/>
      <c r="S183" s="64"/>
      <c r="T183" s="64"/>
      <c r="U183" s="64"/>
      <c r="V183" s="64"/>
      <c r="W183" s="64"/>
      <c r="Z183" s="64"/>
      <c r="AA183" s="64"/>
      <c r="AB183" s="64"/>
      <c r="AC183" s="64"/>
      <c r="AD183" s="64"/>
      <c r="AG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I184" s="64"/>
      <c r="L184" s="64"/>
      <c r="M184" s="64"/>
      <c r="N184" s="64"/>
      <c r="O184" s="64"/>
      <c r="P184" s="64"/>
      <c r="S184" s="64"/>
      <c r="T184" s="64"/>
      <c r="U184" s="64"/>
      <c r="V184" s="64"/>
      <c r="W184" s="64"/>
      <c r="Z184" s="64"/>
      <c r="AA184" s="64"/>
      <c r="AB184" s="64"/>
      <c r="AC184" s="64"/>
      <c r="AD184" s="64"/>
      <c r="AG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I185" s="64"/>
      <c r="L185" s="64"/>
      <c r="M185" s="64"/>
      <c r="N185" s="64"/>
      <c r="O185" s="64"/>
      <c r="P185" s="64"/>
      <c r="S185" s="64"/>
      <c r="T185" s="64"/>
      <c r="U185" s="64"/>
      <c r="V185" s="64"/>
      <c r="W185" s="64"/>
      <c r="Z185" s="64"/>
      <c r="AA185" s="64"/>
      <c r="AB185" s="64"/>
      <c r="AC185" s="64"/>
      <c r="AD185" s="64"/>
      <c r="AG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I186" s="64"/>
      <c r="L186" s="64"/>
      <c r="M186" s="64"/>
      <c r="N186" s="64"/>
      <c r="O186" s="64"/>
      <c r="P186" s="64"/>
      <c r="S186" s="64"/>
      <c r="T186" s="64"/>
      <c r="U186" s="64"/>
      <c r="V186" s="64"/>
      <c r="W186" s="64"/>
      <c r="Z186" s="64"/>
      <c r="AA186" s="64"/>
      <c r="AB186" s="64"/>
      <c r="AC186" s="64"/>
      <c r="AD186" s="64"/>
      <c r="AG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I187" s="64"/>
      <c r="L187" s="64"/>
      <c r="M187" s="64"/>
      <c r="N187" s="64"/>
      <c r="O187" s="64"/>
      <c r="P187" s="64"/>
      <c r="S187" s="64"/>
      <c r="T187" s="64"/>
      <c r="U187" s="64"/>
      <c r="V187" s="64"/>
      <c r="W187" s="64"/>
      <c r="Z187" s="64"/>
      <c r="AA187" s="64"/>
      <c r="AB187" s="64"/>
      <c r="AC187" s="64"/>
      <c r="AD187" s="64"/>
      <c r="AG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I188" s="64"/>
      <c r="L188" s="64"/>
      <c r="M188" s="64"/>
      <c r="N188" s="64"/>
      <c r="O188" s="64"/>
      <c r="P188" s="64"/>
      <c r="S188" s="64"/>
      <c r="T188" s="64"/>
      <c r="U188" s="64"/>
      <c r="V188" s="64"/>
      <c r="W188" s="64"/>
      <c r="Z188" s="64"/>
      <c r="AA188" s="64"/>
      <c r="AB188" s="64"/>
      <c r="AC188" s="64"/>
      <c r="AD188" s="64"/>
      <c r="AG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I189" s="64"/>
      <c r="L189" s="64"/>
      <c r="M189" s="64"/>
      <c r="N189" s="64"/>
      <c r="O189" s="64"/>
      <c r="P189" s="64"/>
      <c r="S189" s="64"/>
      <c r="T189" s="64"/>
      <c r="U189" s="64"/>
      <c r="V189" s="64"/>
      <c r="W189" s="64"/>
      <c r="Z189" s="64"/>
      <c r="AA189" s="64"/>
      <c r="AB189" s="64"/>
      <c r="AC189" s="64"/>
      <c r="AD189" s="64"/>
      <c r="AG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I190" s="64"/>
      <c r="L190" s="64"/>
      <c r="M190" s="64"/>
      <c r="N190" s="64"/>
      <c r="O190" s="64"/>
      <c r="P190" s="64"/>
      <c r="S190" s="64"/>
      <c r="T190" s="64"/>
      <c r="U190" s="64"/>
      <c r="V190" s="64"/>
      <c r="W190" s="64"/>
      <c r="Z190" s="64"/>
      <c r="AA190" s="64"/>
      <c r="AB190" s="64"/>
      <c r="AC190" s="64"/>
      <c r="AD190" s="64"/>
      <c r="AG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I191" s="64"/>
      <c r="L191" s="64"/>
      <c r="M191" s="64"/>
      <c r="N191" s="64"/>
      <c r="O191" s="64"/>
      <c r="P191" s="64"/>
      <c r="S191" s="64"/>
      <c r="T191" s="64"/>
      <c r="U191" s="64"/>
      <c r="V191" s="64"/>
      <c r="W191" s="64"/>
      <c r="Z191" s="64"/>
      <c r="AA191" s="64"/>
      <c r="AB191" s="64"/>
      <c r="AC191" s="64"/>
      <c r="AD191" s="64"/>
      <c r="AG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I192" s="64"/>
      <c r="L192" s="64"/>
      <c r="M192" s="64"/>
      <c r="N192" s="64"/>
      <c r="O192" s="64"/>
      <c r="P192" s="64"/>
      <c r="S192" s="64"/>
      <c r="T192" s="64"/>
      <c r="U192" s="64"/>
      <c r="V192" s="64"/>
      <c r="W192" s="64"/>
      <c r="Z192" s="64"/>
      <c r="AA192" s="64"/>
      <c r="AB192" s="64"/>
      <c r="AC192" s="64"/>
      <c r="AD192" s="64"/>
      <c r="AG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I193" s="64"/>
      <c r="L193" s="64"/>
      <c r="M193" s="64"/>
      <c r="N193" s="64"/>
      <c r="O193" s="64"/>
      <c r="P193" s="64"/>
      <c r="S193" s="64"/>
      <c r="T193" s="64"/>
      <c r="U193" s="64"/>
      <c r="V193" s="64"/>
      <c r="W193" s="64"/>
      <c r="Z193" s="64"/>
      <c r="AA193" s="64"/>
      <c r="AB193" s="64"/>
      <c r="AC193" s="64"/>
      <c r="AD193" s="64"/>
      <c r="AG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I194" s="64"/>
      <c r="L194" s="64"/>
      <c r="M194" s="64"/>
      <c r="N194" s="64"/>
      <c r="O194" s="64"/>
      <c r="P194" s="64"/>
      <c r="S194" s="64"/>
      <c r="T194" s="64"/>
      <c r="U194" s="64"/>
      <c r="V194" s="64"/>
      <c r="W194" s="64"/>
      <c r="Z194" s="64"/>
      <c r="AA194" s="64"/>
      <c r="AB194" s="64"/>
      <c r="AC194" s="64"/>
      <c r="AD194" s="64"/>
      <c r="AG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I195" s="64"/>
      <c r="L195" s="64"/>
      <c r="M195" s="64"/>
      <c r="N195" s="64"/>
      <c r="O195" s="64"/>
      <c r="P195" s="64"/>
      <c r="S195" s="64"/>
      <c r="T195" s="64"/>
      <c r="U195" s="64"/>
      <c r="V195" s="64"/>
      <c r="W195" s="64"/>
      <c r="Z195" s="64"/>
      <c r="AA195" s="64"/>
      <c r="AB195" s="64"/>
      <c r="AC195" s="64"/>
      <c r="AD195" s="64"/>
      <c r="AG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I196" s="64"/>
      <c r="L196" s="64"/>
      <c r="M196" s="64"/>
      <c r="N196" s="64"/>
      <c r="O196" s="64"/>
      <c r="P196" s="64"/>
      <c r="S196" s="64"/>
      <c r="T196" s="64"/>
      <c r="U196" s="64"/>
      <c r="V196" s="64"/>
      <c r="W196" s="64"/>
      <c r="Z196" s="64"/>
      <c r="AA196" s="64"/>
      <c r="AB196" s="64"/>
      <c r="AC196" s="64"/>
      <c r="AD196" s="64"/>
      <c r="AG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I197" s="64"/>
      <c r="L197" s="64"/>
      <c r="M197" s="64"/>
      <c r="N197" s="64"/>
      <c r="O197" s="64"/>
      <c r="P197" s="64"/>
      <c r="S197" s="64"/>
      <c r="T197" s="64"/>
      <c r="U197" s="64"/>
      <c r="V197" s="64"/>
      <c r="W197" s="64"/>
      <c r="Z197" s="64"/>
      <c r="AA197" s="64"/>
      <c r="AB197" s="64"/>
      <c r="AC197" s="64"/>
      <c r="AD197" s="64"/>
      <c r="AG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I198" s="64"/>
      <c r="L198" s="64"/>
      <c r="M198" s="64"/>
      <c r="N198" s="64"/>
      <c r="O198" s="64"/>
      <c r="P198" s="64"/>
      <c r="S198" s="64"/>
      <c r="T198" s="64"/>
      <c r="U198" s="64"/>
      <c r="V198" s="64"/>
      <c r="W198" s="64"/>
      <c r="Z198" s="64"/>
      <c r="AA198" s="64"/>
      <c r="AB198" s="64"/>
      <c r="AC198" s="64"/>
      <c r="AD198" s="64"/>
      <c r="AG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I199" s="64"/>
      <c r="L199" s="64"/>
      <c r="M199" s="64"/>
      <c r="N199" s="64"/>
      <c r="O199" s="64"/>
      <c r="P199" s="64"/>
      <c r="S199" s="64"/>
      <c r="T199" s="64"/>
      <c r="U199" s="64"/>
      <c r="V199" s="64"/>
      <c r="W199" s="64"/>
      <c r="Z199" s="64"/>
      <c r="AA199" s="64"/>
      <c r="AB199" s="64"/>
      <c r="AC199" s="64"/>
      <c r="AD199" s="64"/>
      <c r="AG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I200" s="64"/>
      <c r="L200" s="64"/>
      <c r="M200" s="64"/>
      <c r="N200" s="64"/>
      <c r="O200" s="64"/>
      <c r="P200" s="64"/>
      <c r="S200" s="64"/>
      <c r="T200" s="64"/>
      <c r="U200" s="64"/>
      <c r="V200" s="64"/>
      <c r="W200" s="64"/>
      <c r="Z200" s="64"/>
      <c r="AA200" s="64"/>
      <c r="AB200" s="64"/>
      <c r="AC200" s="64"/>
      <c r="AD200" s="64"/>
      <c r="AG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I201" s="64"/>
      <c r="L201" s="64"/>
      <c r="M201" s="64"/>
      <c r="N201" s="64"/>
      <c r="O201" s="64"/>
      <c r="P201" s="64"/>
      <c r="S201" s="64"/>
      <c r="T201" s="64"/>
      <c r="U201" s="64"/>
      <c r="V201" s="64"/>
      <c r="W201" s="64"/>
      <c r="Z201" s="64"/>
      <c r="AA201" s="64"/>
      <c r="AB201" s="64"/>
      <c r="AC201" s="64"/>
      <c r="AD201" s="64"/>
      <c r="AG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I202" s="64"/>
      <c r="L202" s="64"/>
      <c r="M202" s="64"/>
      <c r="N202" s="64"/>
      <c r="O202" s="64"/>
      <c r="P202" s="64"/>
      <c r="S202" s="64"/>
      <c r="T202" s="64"/>
      <c r="U202" s="64"/>
      <c r="V202" s="64"/>
      <c r="W202" s="64"/>
      <c r="Z202" s="64"/>
      <c r="AA202" s="64"/>
      <c r="AB202" s="64"/>
      <c r="AC202" s="64"/>
      <c r="AD202" s="64"/>
      <c r="AG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I203" s="64"/>
      <c r="L203" s="64"/>
      <c r="M203" s="64"/>
      <c r="N203" s="64"/>
      <c r="O203" s="64"/>
      <c r="P203" s="64"/>
      <c r="S203" s="64"/>
      <c r="T203" s="64"/>
      <c r="U203" s="64"/>
      <c r="V203" s="64"/>
      <c r="W203" s="64"/>
      <c r="Z203" s="64"/>
      <c r="AA203" s="64"/>
      <c r="AB203" s="64"/>
      <c r="AC203" s="64"/>
      <c r="AD203" s="64"/>
      <c r="AG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I204" s="64"/>
      <c r="L204" s="64"/>
      <c r="M204" s="64"/>
      <c r="N204" s="64"/>
      <c r="O204" s="64"/>
      <c r="P204" s="64"/>
      <c r="S204" s="64"/>
      <c r="T204" s="64"/>
      <c r="U204" s="64"/>
      <c r="V204" s="64"/>
      <c r="W204" s="64"/>
      <c r="Z204" s="64"/>
      <c r="AA204" s="64"/>
      <c r="AB204" s="64"/>
      <c r="AC204" s="64"/>
      <c r="AD204" s="64"/>
      <c r="AG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I205" s="64"/>
      <c r="L205" s="64"/>
      <c r="M205" s="64"/>
      <c r="N205" s="64"/>
      <c r="O205" s="64"/>
      <c r="P205" s="64"/>
      <c r="S205" s="64"/>
      <c r="T205" s="64"/>
      <c r="U205" s="64"/>
      <c r="V205" s="64"/>
      <c r="W205" s="64"/>
      <c r="Z205" s="64"/>
      <c r="AA205" s="64"/>
      <c r="AB205" s="64"/>
      <c r="AC205" s="64"/>
      <c r="AD205" s="64"/>
      <c r="AG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I206" s="64"/>
      <c r="L206" s="64"/>
      <c r="M206" s="64"/>
      <c r="N206" s="64"/>
      <c r="O206" s="64"/>
      <c r="P206" s="64"/>
      <c r="S206" s="64"/>
      <c r="T206" s="64"/>
      <c r="U206" s="64"/>
      <c r="V206" s="64"/>
      <c r="W206" s="64"/>
      <c r="Z206" s="64"/>
      <c r="AA206" s="64"/>
      <c r="AB206" s="64"/>
      <c r="AC206" s="64"/>
      <c r="AD206" s="64"/>
      <c r="AG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I207" s="64"/>
      <c r="L207" s="64"/>
      <c r="M207" s="64"/>
      <c r="N207" s="64"/>
      <c r="O207" s="64"/>
      <c r="P207" s="64"/>
      <c r="S207" s="64"/>
      <c r="T207" s="64"/>
      <c r="U207" s="64"/>
      <c r="V207" s="64"/>
      <c r="W207" s="64"/>
      <c r="Z207" s="64"/>
      <c r="AA207" s="64"/>
      <c r="AB207" s="64"/>
      <c r="AC207" s="64"/>
      <c r="AD207" s="64"/>
      <c r="AG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I208" s="64"/>
      <c r="L208" s="64"/>
      <c r="M208" s="64"/>
      <c r="N208" s="64"/>
      <c r="O208" s="64"/>
      <c r="P208" s="64"/>
      <c r="S208" s="64"/>
      <c r="T208" s="64"/>
      <c r="U208" s="64"/>
      <c r="V208" s="64"/>
      <c r="W208" s="64"/>
      <c r="Z208" s="64"/>
      <c r="AA208" s="64"/>
      <c r="AB208" s="64"/>
      <c r="AC208" s="64"/>
      <c r="AD208" s="64"/>
      <c r="AG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I209" s="64"/>
      <c r="L209" s="64"/>
      <c r="M209" s="64"/>
      <c r="N209" s="64"/>
      <c r="O209" s="64"/>
      <c r="P209" s="64"/>
      <c r="S209" s="64"/>
      <c r="T209" s="64"/>
      <c r="U209" s="64"/>
      <c r="V209" s="64"/>
      <c r="W209" s="64"/>
      <c r="Z209" s="64"/>
      <c r="AA209" s="64"/>
      <c r="AB209" s="64"/>
      <c r="AC209" s="64"/>
      <c r="AD209" s="64"/>
      <c r="AG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I210" s="64"/>
      <c r="L210" s="64"/>
      <c r="M210" s="64"/>
      <c r="N210" s="64"/>
      <c r="O210" s="64"/>
      <c r="P210" s="64"/>
      <c r="S210" s="64"/>
      <c r="T210" s="64"/>
      <c r="U210" s="64"/>
      <c r="V210" s="64"/>
      <c r="W210" s="64"/>
      <c r="Z210" s="64"/>
      <c r="AA210" s="64"/>
      <c r="AB210" s="64"/>
      <c r="AC210" s="64"/>
      <c r="AD210" s="64"/>
      <c r="AG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I211" s="64"/>
      <c r="L211" s="64"/>
      <c r="M211" s="64"/>
      <c r="N211" s="64"/>
      <c r="O211" s="64"/>
      <c r="P211" s="64"/>
      <c r="S211" s="64"/>
      <c r="T211" s="64"/>
      <c r="U211" s="64"/>
      <c r="V211" s="64"/>
      <c r="W211" s="64"/>
      <c r="Z211" s="64"/>
      <c r="AA211" s="64"/>
      <c r="AB211" s="64"/>
      <c r="AC211" s="64"/>
      <c r="AD211" s="64"/>
      <c r="AG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I212" s="64"/>
      <c r="L212" s="64"/>
      <c r="M212" s="64"/>
      <c r="N212" s="64"/>
      <c r="O212" s="64"/>
      <c r="P212" s="64"/>
      <c r="S212" s="64"/>
      <c r="T212" s="64"/>
      <c r="U212" s="64"/>
      <c r="V212" s="64"/>
      <c r="W212" s="64"/>
      <c r="Z212" s="64"/>
      <c r="AA212" s="64"/>
      <c r="AB212" s="64"/>
      <c r="AC212" s="64"/>
      <c r="AD212" s="64"/>
      <c r="AG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I213" s="64"/>
      <c r="L213" s="64"/>
      <c r="M213" s="64"/>
      <c r="N213" s="64"/>
      <c r="O213" s="64"/>
      <c r="P213" s="64"/>
      <c r="S213" s="64"/>
      <c r="T213" s="64"/>
      <c r="U213" s="64"/>
      <c r="V213" s="64"/>
      <c r="W213" s="64"/>
      <c r="Z213" s="64"/>
      <c r="AA213" s="64"/>
      <c r="AB213" s="64"/>
      <c r="AC213" s="64"/>
      <c r="AD213" s="64"/>
      <c r="AG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I214" s="64"/>
      <c r="L214" s="64"/>
      <c r="M214" s="64"/>
      <c r="N214" s="64"/>
      <c r="O214" s="64"/>
      <c r="P214" s="64"/>
      <c r="S214" s="64"/>
      <c r="T214" s="64"/>
      <c r="U214" s="64"/>
      <c r="V214" s="64"/>
      <c r="W214" s="64"/>
      <c r="Z214" s="64"/>
      <c r="AA214" s="64"/>
      <c r="AB214" s="64"/>
      <c r="AC214" s="64"/>
      <c r="AD214" s="64"/>
      <c r="AG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I215" s="64"/>
      <c r="L215" s="64"/>
      <c r="M215" s="64"/>
      <c r="N215" s="64"/>
      <c r="O215" s="64"/>
      <c r="P215" s="64"/>
      <c r="S215" s="64"/>
      <c r="T215" s="64"/>
      <c r="U215" s="64"/>
      <c r="V215" s="64"/>
      <c r="W215" s="64"/>
      <c r="Z215" s="64"/>
      <c r="AA215" s="64"/>
      <c r="AB215" s="64"/>
      <c r="AC215" s="64"/>
      <c r="AD215" s="64"/>
      <c r="AG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I216" s="64"/>
      <c r="L216" s="64"/>
      <c r="M216" s="64"/>
      <c r="N216" s="64"/>
      <c r="O216" s="64"/>
      <c r="P216" s="64"/>
      <c r="S216" s="64"/>
      <c r="T216" s="64"/>
      <c r="U216" s="64"/>
      <c r="V216" s="64"/>
      <c r="W216" s="64"/>
      <c r="Z216" s="64"/>
      <c r="AA216" s="64"/>
      <c r="AB216" s="64"/>
      <c r="AC216" s="64"/>
      <c r="AD216" s="64"/>
      <c r="AG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I217" s="64"/>
      <c r="L217" s="64"/>
      <c r="M217" s="64"/>
      <c r="N217" s="64"/>
      <c r="O217" s="64"/>
      <c r="P217" s="64"/>
      <c r="S217" s="64"/>
      <c r="T217" s="64"/>
      <c r="U217" s="64"/>
      <c r="V217" s="64"/>
      <c r="W217" s="64"/>
      <c r="Z217" s="64"/>
      <c r="AA217" s="64"/>
      <c r="AB217" s="64"/>
      <c r="AC217" s="64"/>
      <c r="AD217" s="64"/>
      <c r="AG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I218" s="64"/>
      <c r="L218" s="64"/>
      <c r="M218" s="64"/>
      <c r="N218" s="64"/>
      <c r="O218" s="64"/>
      <c r="P218" s="64"/>
      <c r="S218" s="64"/>
      <c r="T218" s="64"/>
      <c r="U218" s="64"/>
      <c r="V218" s="64"/>
      <c r="W218" s="64"/>
      <c r="Z218" s="64"/>
      <c r="AA218" s="64"/>
      <c r="AB218" s="64"/>
      <c r="AC218" s="64"/>
      <c r="AD218" s="64"/>
      <c r="AG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I219" s="64"/>
      <c r="L219" s="64"/>
      <c r="M219" s="64"/>
      <c r="N219" s="64"/>
      <c r="O219" s="64"/>
      <c r="P219" s="64"/>
      <c r="S219" s="64"/>
      <c r="T219" s="64"/>
      <c r="U219" s="64"/>
      <c r="V219" s="64"/>
      <c r="W219" s="64"/>
      <c r="Z219" s="64"/>
      <c r="AA219" s="64"/>
      <c r="AB219" s="64"/>
      <c r="AC219" s="64"/>
      <c r="AD219" s="64"/>
      <c r="AG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I220" s="64"/>
      <c r="L220" s="64"/>
      <c r="M220" s="64"/>
      <c r="N220" s="64"/>
      <c r="O220" s="64"/>
      <c r="P220" s="64"/>
      <c r="S220" s="64"/>
      <c r="T220" s="64"/>
      <c r="U220" s="64"/>
      <c r="V220" s="64"/>
      <c r="W220" s="64"/>
      <c r="Z220" s="64"/>
      <c r="AA220" s="64"/>
      <c r="AB220" s="64"/>
      <c r="AC220" s="64"/>
      <c r="AD220" s="64"/>
      <c r="AG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I221" s="64"/>
      <c r="L221" s="64"/>
      <c r="M221" s="64"/>
      <c r="N221" s="64"/>
      <c r="O221" s="64"/>
      <c r="P221" s="64"/>
      <c r="S221" s="64"/>
      <c r="T221" s="64"/>
      <c r="U221" s="64"/>
      <c r="V221" s="64"/>
      <c r="W221" s="64"/>
      <c r="Z221" s="64"/>
      <c r="AA221" s="64"/>
      <c r="AB221" s="64"/>
      <c r="AC221" s="64"/>
      <c r="AD221" s="64"/>
      <c r="AG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I222" s="64"/>
      <c r="L222" s="64"/>
      <c r="M222" s="64"/>
      <c r="N222" s="64"/>
      <c r="O222" s="64"/>
      <c r="P222" s="64"/>
      <c r="S222" s="64"/>
      <c r="T222" s="64"/>
      <c r="U222" s="64"/>
      <c r="V222" s="64"/>
      <c r="W222" s="64"/>
      <c r="Z222" s="64"/>
      <c r="AA222" s="64"/>
      <c r="AB222" s="64"/>
      <c r="AC222" s="64"/>
      <c r="AD222" s="64"/>
      <c r="AG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I223" s="64"/>
      <c r="L223" s="64"/>
      <c r="M223" s="64"/>
      <c r="N223" s="64"/>
      <c r="O223" s="64"/>
      <c r="P223" s="64"/>
      <c r="S223" s="64"/>
      <c r="T223" s="64"/>
      <c r="U223" s="64"/>
      <c r="V223" s="64"/>
      <c r="W223" s="64"/>
      <c r="Z223" s="64"/>
      <c r="AA223" s="64"/>
      <c r="AB223" s="64"/>
      <c r="AC223" s="64"/>
      <c r="AD223" s="64"/>
      <c r="AG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I224" s="64"/>
      <c r="L224" s="64"/>
      <c r="M224" s="64"/>
      <c r="N224" s="64"/>
      <c r="O224" s="64"/>
      <c r="P224" s="64"/>
      <c r="S224" s="64"/>
      <c r="T224" s="64"/>
      <c r="U224" s="64"/>
      <c r="V224" s="64"/>
      <c r="W224" s="64"/>
      <c r="Z224" s="64"/>
      <c r="AA224" s="64"/>
      <c r="AB224" s="64"/>
      <c r="AC224" s="64"/>
      <c r="AD224" s="64"/>
      <c r="AG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I225" s="64"/>
      <c r="L225" s="64"/>
      <c r="M225" s="64"/>
      <c r="N225" s="64"/>
      <c r="O225" s="64"/>
      <c r="P225" s="64"/>
      <c r="S225" s="64"/>
      <c r="T225" s="64"/>
      <c r="U225" s="64"/>
      <c r="V225" s="64"/>
      <c r="W225" s="64"/>
      <c r="Z225" s="64"/>
      <c r="AA225" s="64"/>
      <c r="AB225" s="64"/>
      <c r="AC225" s="64"/>
      <c r="AD225" s="64"/>
      <c r="AG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I226" s="64"/>
      <c r="L226" s="64"/>
      <c r="M226" s="64"/>
      <c r="N226" s="64"/>
      <c r="O226" s="64"/>
      <c r="P226" s="64"/>
      <c r="S226" s="64"/>
      <c r="T226" s="64"/>
      <c r="U226" s="64"/>
      <c r="V226" s="64"/>
      <c r="W226" s="64"/>
      <c r="Z226" s="64"/>
      <c r="AA226" s="64"/>
      <c r="AB226" s="64"/>
      <c r="AC226" s="64"/>
      <c r="AD226" s="64"/>
      <c r="AG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I227" s="64"/>
      <c r="L227" s="64"/>
      <c r="M227" s="64"/>
      <c r="N227" s="64"/>
      <c r="O227" s="64"/>
      <c r="P227" s="64"/>
      <c r="S227" s="64"/>
      <c r="T227" s="64"/>
      <c r="U227" s="64"/>
      <c r="V227" s="64"/>
      <c r="W227" s="64"/>
      <c r="Z227" s="64"/>
      <c r="AA227" s="64"/>
      <c r="AB227" s="64"/>
      <c r="AC227" s="64"/>
      <c r="AD227" s="64"/>
      <c r="AG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I228" s="64"/>
      <c r="L228" s="64"/>
      <c r="M228" s="64"/>
      <c r="N228" s="64"/>
      <c r="O228" s="64"/>
      <c r="P228" s="64"/>
      <c r="S228" s="64"/>
      <c r="T228" s="64"/>
      <c r="U228" s="64"/>
      <c r="V228" s="64"/>
      <c r="W228" s="64"/>
      <c r="Z228" s="64"/>
      <c r="AA228" s="64"/>
      <c r="AB228" s="64"/>
      <c r="AC228" s="64"/>
      <c r="AD228" s="64"/>
      <c r="AG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I229" s="64"/>
      <c r="L229" s="64"/>
      <c r="M229" s="64"/>
      <c r="N229" s="64"/>
      <c r="O229" s="64"/>
      <c r="P229" s="64"/>
      <c r="S229" s="64"/>
      <c r="T229" s="64"/>
      <c r="U229" s="64"/>
      <c r="V229" s="64"/>
      <c r="W229" s="64"/>
      <c r="Z229" s="64"/>
      <c r="AA229" s="64"/>
      <c r="AB229" s="64"/>
      <c r="AC229" s="64"/>
      <c r="AD229" s="64"/>
      <c r="AG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I230" s="64"/>
      <c r="L230" s="64"/>
      <c r="M230" s="64"/>
      <c r="N230" s="64"/>
      <c r="O230" s="64"/>
      <c r="P230" s="64"/>
      <c r="S230" s="64"/>
      <c r="T230" s="64"/>
      <c r="U230" s="64"/>
      <c r="V230" s="64"/>
      <c r="W230" s="64"/>
      <c r="Z230" s="64"/>
      <c r="AA230" s="64"/>
      <c r="AB230" s="64"/>
      <c r="AC230" s="64"/>
      <c r="AD230" s="64"/>
      <c r="AG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I231" s="64"/>
      <c r="L231" s="64"/>
      <c r="M231" s="64"/>
      <c r="N231" s="64"/>
      <c r="O231" s="64"/>
      <c r="P231" s="64"/>
      <c r="S231" s="64"/>
      <c r="T231" s="64"/>
      <c r="U231" s="64"/>
      <c r="V231" s="64"/>
      <c r="W231" s="64"/>
      <c r="Z231" s="64"/>
      <c r="AA231" s="64"/>
      <c r="AB231" s="64"/>
      <c r="AC231" s="64"/>
      <c r="AD231" s="64"/>
      <c r="AG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I232" s="64"/>
      <c r="L232" s="64"/>
      <c r="M232" s="64"/>
      <c r="N232" s="64"/>
      <c r="O232" s="64"/>
      <c r="P232" s="64"/>
      <c r="S232" s="64"/>
      <c r="T232" s="64"/>
      <c r="U232" s="64"/>
      <c r="V232" s="64"/>
      <c r="W232" s="64"/>
      <c r="Z232" s="64"/>
      <c r="AA232" s="64"/>
      <c r="AB232" s="64"/>
      <c r="AC232" s="64"/>
      <c r="AD232" s="64"/>
      <c r="AG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I233" s="64"/>
      <c r="L233" s="64"/>
      <c r="M233" s="64"/>
      <c r="N233" s="64"/>
      <c r="O233" s="64"/>
      <c r="P233" s="64"/>
      <c r="S233" s="64"/>
      <c r="T233" s="64"/>
      <c r="U233" s="64"/>
      <c r="V233" s="64"/>
      <c r="W233" s="64"/>
      <c r="Z233" s="64"/>
      <c r="AA233" s="64"/>
      <c r="AB233" s="64"/>
      <c r="AC233" s="64"/>
      <c r="AD233" s="64"/>
      <c r="AG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I234" s="64"/>
      <c r="L234" s="64"/>
      <c r="M234" s="64"/>
      <c r="N234" s="64"/>
      <c r="O234" s="64"/>
      <c r="P234" s="64"/>
      <c r="S234" s="64"/>
      <c r="T234" s="64"/>
      <c r="U234" s="64"/>
      <c r="V234" s="64"/>
      <c r="W234" s="64"/>
      <c r="Z234" s="64"/>
      <c r="AA234" s="64"/>
      <c r="AB234" s="64"/>
      <c r="AC234" s="64"/>
      <c r="AD234" s="64"/>
      <c r="AG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I235" s="64"/>
      <c r="L235" s="64"/>
      <c r="M235" s="64"/>
      <c r="N235" s="64"/>
      <c r="O235" s="64"/>
      <c r="P235" s="64"/>
      <c r="S235" s="64"/>
      <c r="T235" s="64"/>
      <c r="U235" s="64"/>
      <c r="V235" s="64"/>
      <c r="W235" s="64"/>
      <c r="Z235" s="64"/>
      <c r="AA235" s="64"/>
      <c r="AB235" s="64"/>
      <c r="AC235" s="64"/>
      <c r="AD235" s="64"/>
      <c r="AG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I236" s="64"/>
      <c r="L236" s="64"/>
      <c r="M236" s="64"/>
      <c r="N236" s="64"/>
      <c r="O236" s="64"/>
      <c r="P236" s="64"/>
      <c r="S236" s="64"/>
      <c r="T236" s="64"/>
      <c r="U236" s="64"/>
      <c r="V236" s="64"/>
      <c r="W236" s="64"/>
      <c r="Z236" s="64"/>
      <c r="AA236" s="64"/>
      <c r="AB236" s="64"/>
      <c r="AC236" s="64"/>
      <c r="AD236" s="64"/>
      <c r="AG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I237" s="64"/>
      <c r="L237" s="64"/>
      <c r="M237" s="64"/>
      <c r="N237" s="64"/>
      <c r="O237" s="64"/>
      <c r="P237" s="64"/>
      <c r="S237" s="64"/>
      <c r="T237" s="64"/>
      <c r="U237" s="64"/>
      <c r="V237" s="64"/>
      <c r="W237" s="64"/>
      <c r="Z237" s="64"/>
      <c r="AA237" s="64"/>
      <c r="AB237" s="64"/>
      <c r="AC237" s="64"/>
      <c r="AD237" s="64"/>
      <c r="AG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I238" s="64"/>
      <c r="L238" s="64"/>
      <c r="M238" s="64"/>
      <c r="N238" s="64"/>
      <c r="O238" s="64"/>
      <c r="P238" s="64"/>
      <c r="S238" s="64"/>
      <c r="T238" s="64"/>
      <c r="U238" s="64"/>
      <c r="V238" s="64"/>
      <c r="W238" s="64"/>
      <c r="Z238" s="64"/>
      <c r="AA238" s="64"/>
      <c r="AB238" s="64"/>
      <c r="AC238" s="64"/>
      <c r="AD238" s="64"/>
      <c r="AG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I239" s="64"/>
      <c r="L239" s="64"/>
      <c r="M239" s="64"/>
      <c r="N239" s="64"/>
      <c r="O239" s="64"/>
      <c r="P239" s="64"/>
      <c r="S239" s="64"/>
      <c r="T239" s="64"/>
      <c r="U239" s="64"/>
      <c r="V239" s="64"/>
      <c r="W239" s="64"/>
      <c r="Z239" s="64"/>
      <c r="AA239" s="64"/>
      <c r="AB239" s="64"/>
      <c r="AC239" s="64"/>
      <c r="AD239" s="64"/>
      <c r="AG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I240" s="64"/>
      <c r="L240" s="64"/>
      <c r="M240" s="64"/>
      <c r="N240" s="64"/>
      <c r="O240" s="64"/>
      <c r="P240" s="64"/>
      <c r="S240" s="64"/>
      <c r="T240" s="64"/>
      <c r="U240" s="64"/>
      <c r="V240" s="64"/>
      <c r="W240" s="64"/>
      <c r="Z240" s="64"/>
      <c r="AA240" s="64"/>
      <c r="AB240" s="64"/>
      <c r="AC240" s="64"/>
      <c r="AD240" s="64"/>
      <c r="AG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I241" s="64"/>
      <c r="L241" s="64"/>
      <c r="M241" s="64"/>
      <c r="N241" s="64"/>
      <c r="O241" s="64"/>
      <c r="P241" s="64"/>
      <c r="S241" s="64"/>
      <c r="T241" s="64"/>
      <c r="U241" s="64"/>
      <c r="V241" s="64"/>
      <c r="W241" s="64"/>
      <c r="Z241" s="64"/>
      <c r="AA241" s="64"/>
      <c r="AB241" s="64"/>
      <c r="AC241" s="64"/>
      <c r="AD241" s="64"/>
      <c r="AG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I242" s="64"/>
      <c r="L242" s="64"/>
      <c r="M242" s="64"/>
      <c r="N242" s="64"/>
      <c r="O242" s="64"/>
      <c r="P242" s="64"/>
      <c r="S242" s="64"/>
      <c r="T242" s="64"/>
      <c r="U242" s="64"/>
      <c r="V242" s="64"/>
      <c r="W242" s="64"/>
      <c r="Z242" s="64"/>
      <c r="AA242" s="64"/>
      <c r="AB242" s="64"/>
      <c r="AC242" s="64"/>
      <c r="AD242" s="64"/>
      <c r="AG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I243" s="64"/>
      <c r="L243" s="64"/>
      <c r="M243" s="64"/>
      <c r="N243" s="64"/>
      <c r="O243" s="64"/>
      <c r="P243" s="64"/>
      <c r="S243" s="64"/>
      <c r="T243" s="64"/>
      <c r="U243" s="64"/>
      <c r="V243" s="64"/>
      <c r="W243" s="64"/>
      <c r="Z243" s="64"/>
      <c r="AA243" s="64"/>
      <c r="AB243" s="64"/>
      <c r="AC243" s="64"/>
      <c r="AD243" s="64"/>
      <c r="AG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I244" s="64"/>
      <c r="L244" s="64"/>
      <c r="M244" s="64"/>
      <c r="N244" s="64"/>
      <c r="O244" s="64"/>
      <c r="P244" s="64"/>
      <c r="S244" s="64"/>
      <c r="T244" s="64"/>
      <c r="U244" s="64"/>
      <c r="V244" s="64"/>
      <c r="W244" s="64"/>
      <c r="Z244" s="64"/>
      <c r="AA244" s="64"/>
      <c r="AB244" s="64"/>
      <c r="AC244" s="64"/>
      <c r="AD244" s="64"/>
      <c r="AG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I245" s="64"/>
      <c r="L245" s="64"/>
      <c r="M245" s="64"/>
      <c r="N245" s="64"/>
      <c r="O245" s="64"/>
      <c r="P245" s="64"/>
      <c r="S245" s="64"/>
      <c r="T245" s="64"/>
      <c r="U245" s="64"/>
      <c r="V245" s="64"/>
      <c r="W245" s="64"/>
      <c r="Z245" s="64"/>
      <c r="AA245" s="64"/>
      <c r="AB245" s="64"/>
      <c r="AC245" s="64"/>
      <c r="AD245" s="64"/>
      <c r="AG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I246" s="64"/>
      <c r="L246" s="64"/>
      <c r="M246" s="64"/>
      <c r="N246" s="64"/>
      <c r="O246" s="64"/>
      <c r="P246" s="64"/>
      <c r="S246" s="64"/>
      <c r="T246" s="64"/>
      <c r="U246" s="64"/>
      <c r="V246" s="64"/>
      <c r="W246" s="64"/>
      <c r="Z246" s="64"/>
      <c r="AA246" s="64"/>
      <c r="AB246" s="64"/>
      <c r="AC246" s="64"/>
      <c r="AD246" s="64"/>
      <c r="AG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I247" s="64"/>
      <c r="L247" s="64"/>
      <c r="M247" s="64"/>
      <c r="N247" s="64"/>
      <c r="O247" s="64"/>
      <c r="P247" s="64"/>
      <c r="S247" s="64"/>
      <c r="T247" s="64"/>
      <c r="U247" s="64"/>
      <c r="V247" s="64"/>
      <c r="W247" s="64"/>
      <c r="Z247" s="64"/>
      <c r="AA247" s="64"/>
      <c r="AB247" s="64"/>
      <c r="AC247" s="64"/>
      <c r="AD247" s="64"/>
      <c r="AG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I248" s="64"/>
      <c r="L248" s="64"/>
      <c r="M248" s="64"/>
      <c r="N248" s="64"/>
      <c r="O248" s="64"/>
      <c r="P248" s="64"/>
      <c r="S248" s="64"/>
      <c r="T248" s="64"/>
      <c r="U248" s="64"/>
      <c r="V248" s="64"/>
      <c r="W248" s="64"/>
      <c r="Z248" s="64"/>
      <c r="AA248" s="64"/>
      <c r="AB248" s="64"/>
      <c r="AC248" s="64"/>
      <c r="AD248" s="64"/>
      <c r="AG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I249" s="64"/>
      <c r="L249" s="64"/>
      <c r="M249" s="64"/>
      <c r="N249" s="64"/>
      <c r="O249" s="64"/>
      <c r="P249" s="64"/>
      <c r="S249" s="64"/>
      <c r="T249" s="64"/>
      <c r="U249" s="64"/>
      <c r="V249" s="64"/>
      <c r="W249" s="64"/>
      <c r="Z249" s="64"/>
      <c r="AA249" s="64"/>
      <c r="AB249" s="64"/>
      <c r="AC249" s="64"/>
      <c r="AD249" s="64"/>
      <c r="AG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I250" s="64"/>
      <c r="L250" s="64"/>
      <c r="M250" s="64"/>
      <c r="N250" s="64"/>
      <c r="O250" s="64"/>
      <c r="P250" s="64"/>
      <c r="S250" s="64"/>
      <c r="T250" s="64"/>
      <c r="U250" s="64"/>
      <c r="V250" s="64"/>
      <c r="W250" s="64"/>
      <c r="Z250" s="64"/>
      <c r="AA250" s="64"/>
      <c r="AB250" s="64"/>
      <c r="AC250" s="64"/>
      <c r="AD250" s="64"/>
      <c r="AG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I251" s="64"/>
      <c r="L251" s="64"/>
      <c r="M251" s="64"/>
      <c r="N251" s="64"/>
      <c r="O251" s="64"/>
      <c r="P251" s="64"/>
      <c r="S251" s="64"/>
      <c r="T251" s="64"/>
      <c r="U251" s="64"/>
      <c r="V251" s="64"/>
      <c r="W251" s="64"/>
      <c r="Z251" s="64"/>
      <c r="AA251" s="64"/>
      <c r="AB251" s="64"/>
      <c r="AC251" s="64"/>
      <c r="AD251" s="64"/>
      <c r="AG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I252" s="64"/>
      <c r="L252" s="64"/>
      <c r="M252" s="64"/>
      <c r="N252" s="64"/>
      <c r="O252" s="64"/>
      <c r="P252" s="64"/>
      <c r="S252" s="64"/>
      <c r="T252" s="64"/>
      <c r="U252" s="64"/>
      <c r="V252" s="64"/>
      <c r="W252" s="64"/>
      <c r="Z252" s="64"/>
      <c r="AA252" s="64"/>
      <c r="AB252" s="64"/>
      <c r="AC252" s="64"/>
      <c r="AD252" s="64"/>
      <c r="AG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I253" s="64"/>
      <c r="L253" s="64"/>
      <c r="M253" s="64"/>
      <c r="N253" s="64"/>
      <c r="O253" s="64"/>
      <c r="P253" s="64"/>
      <c r="S253" s="64"/>
      <c r="T253" s="64"/>
      <c r="U253" s="64"/>
      <c r="V253" s="64"/>
      <c r="W253" s="64"/>
      <c r="Z253" s="64"/>
      <c r="AA253" s="64"/>
      <c r="AB253" s="64"/>
      <c r="AC253" s="64"/>
      <c r="AD253" s="64"/>
      <c r="AG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I254" s="64"/>
      <c r="L254" s="64"/>
      <c r="M254" s="64"/>
      <c r="N254" s="64"/>
      <c r="O254" s="64"/>
      <c r="P254" s="64"/>
      <c r="S254" s="64"/>
      <c r="T254" s="64"/>
      <c r="U254" s="64"/>
      <c r="V254" s="64"/>
      <c r="W254" s="64"/>
      <c r="Z254" s="64"/>
      <c r="AA254" s="64"/>
      <c r="AB254" s="64"/>
      <c r="AC254" s="64"/>
      <c r="AD254" s="64"/>
      <c r="AG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I255" s="64"/>
      <c r="L255" s="64"/>
      <c r="M255" s="64"/>
      <c r="N255" s="64"/>
      <c r="O255" s="64"/>
      <c r="P255" s="64"/>
      <c r="S255" s="64"/>
      <c r="T255" s="64"/>
      <c r="U255" s="64"/>
      <c r="V255" s="64"/>
      <c r="W255" s="64"/>
      <c r="Z255" s="64"/>
      <c r="AA255" s="64"/>
      <c r="AB255" s="64"/>
      <c r="AC255" s="64"/>
      <c r="AD255" s="64"/>
      <c r="AG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I256" s="64"/>
      <c r="L256" s="64"/>
      <c r="M256" s="64"/>
      <c r="N256" s="64"/>
      <c r="O256" s="64"/>
      <c r="P256" s="64"/>
      <c r="S256" s="64"/>
      <c r="T256" s="64"/>
      <c r="U256" s="64"/>
      <c r="V256" s="64"/>
      <c r="W256" s="64"/>
      <c r="Z256" s="64"/>
      <c r="AA256" s="64"/>
      <c r="AB256" s="64"/>
      <c r="AC256" s="64"/>
      <c r="AD256" s="64"/>
      <c r="AG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I257" s="64"/>
      <c r="L257" s="64"/>
      <c r="M257" s="64"/>
      <c r="N257" s="64"/>
      <c r="O257" s="64"/>
      <c r="P257" s="64"/>
      <c r="S257" s="64"/>
      <c r="T257" s="64"/>
      <c r="U257" s="64"/>
      <c r="V257" s="64"/>
      <c r="W257" s="64"/>
      <c r="Z257" s="64"/>
      <c r="AA257" s="64"/>
      <c r="AB257" s="64"/>
      <c r="AC257" s="64"/>
      <c r="AD257" s="64"/>
      <c r="AG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I258" s="64"/>
      <c r="L258" s="64"/>
      <c r="M258" s="64"/>
      <c r="N258" s="64"/>
      <c r="O258" s="64"/>
      <c r="P258" s="64"/>
      <c r="S258" s="64"/>
      <c r="T258" s="64"/>
      <c r="U258" s="64"/>
      <c r="V258" s="64"/>
      <c r="W258" s="64"/>
      <c r="Z258" s="64"/>
      <c r="AA258" s="64"/>
      <c r="AB258" s="64"/>
      <c r="AC258" s="64"/>
      <c r="AD258" s="64"/>
      <c r="AG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I259" s="64"/>
      <c r="L259" s="64"/>
      <c r="M259" s="64"/>
      <c r="N259" s="64"/>
      <c r="O259" s="64"/>
      <c r="P259" s="64"/>
      <c r="S259" s="64"/>
      <c r="T259" s="64"/>
      <c r="U259" s="64"/>
      <c r="V259" s="64"/>
      <c r="W259" s="64"/>
      <c r="Z259" s="64"/>
      <c r="AA259" s="64"/>
      <c r="AB259" s="64"/>
      <c r="AC259" s="64"/>
      <c r="AD259" s="64"/>
      <c r="AG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I260" s="64"/>
      <c r="L260" s="64"/>
      <c r="M260" s="64"/>
      <c r="N260" s="64"/>
      <c r="O260" s="64"/>
      <c r="P260" s="64"/>
      <c r="S260" s="64"/>
      <c r="T260" s="64"/>
      <c r="U260" s="64"/>
      <c r="V260" s="64"/>
      <c r="W260" s="64"/>
      <c r="Z260" s="64"/>
      <c r="AA260" s="64"/>
      <c r="AB260" s="64"/>
      <c r="AC260" s="64"/>
      <c r="AD260" s="64"/>
      <c r="AG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I261" s="64"/>
      <c r="L261" s="64"/>
      <c r="M261" s="64"/>
      <c r="N261" s="64"/>
      <c r="O261" s="64"/>
      <c r="P261" s="64"/>
      <c r="S261" s="64"/>
      <c r="T261" s="64"/>
      <c r="U261" s="64"/>
      <c r="V261" s="64"/>
      <c r="W261" s="64"/>
      <c r="Z261" s="64"/>
      <c r="AA261" s="64"/>
      <c r="AB261" s="64"/>
      <c r="AC261" s="64"/>
      <c r="AD261" s="64"/>
      <c r="AG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I262" s="64"/>
      <c r="L262" s="64"/>
      <c r="M262" s="64"/>
      <c r="N262" s="64"/>
      <c r="O262" s="64"/>
      <c r="P262" s="64"/>
      <c r="S262" s="64"/>
      <c r="T262" s="64"/>
      <c r="U262" s="64"/>
      <c r="V262" s="64"/>
      <c r="W262" s="64"/>
      <c r="Z262" s="64"/>
      <c r="AA262" s="64"/>
      <c r="AB262" s="64"/>
      <c r="AC262" s="64"/>
      <c r="AD262" s="64"/>
      <c r="AG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I263" s="64"/>
      <c r="L263" s="64"/>
      <c r="M263" s="64"/>
      <c r="N263" s="64"/>
      <c r="O263" s="64"/>
      <c r="P263" s="64"/>
      <c r="S263" s="64"/>
      <c r="T263" s="64"/>
      <c r="U263" s="64"/>
      <c r="V263" s="64"/>
      <c r="W263" s="64"/>
      <c r="Z263" s="64"/>
      <c r="AA263" s="64"/>
      <c r="AB263" s="64"/>
      <c r="AC263" s="64"/>
      <c r="AD263" s="64"/>
      <c r="AG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I264" s="64"/>
      <c r="L264" s="64"/>
      <c r="M264" s="64"/>
      <c r="N264" s="64"/>
      <c r="O264" s="64"/>
      <c r="P264" s="64"/>
      <c r="S264" s="64"/>
      <c r="T264" s="64"/>
      <c r="U264" s="64"/>
      <c r="V264" s="64"/>
      <c r="W264" s="64"/>
      <c r="Z264" s="64"/>
      <c r="AA264" s="64"/>
      <c r="AB264" s="64"/>
      <c r="AC264" s="64"/>
      <c r="AD264" s="64"/>
      <c r="AG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I265" s="64"/>
      <c r="L265" s="64"/>
      <c r="M265" s="64"/>
      <c r="N265" s="64"/>
      <c r="O265" s="64"/>
      <c r="P265" s="64"/>
      <c r="S265" s="64"/>
      <c r="T265" s="64"/>
      <c r="U265" s="64"/>
      <c r="V265" s="64"/>
      <c r="W265" s="64"/>
      <c r="Z265" s="64"/>
      <c r="AA265" s="64"/>
      <c r="AB265" s="64"/>
      <c r="AC265" s="64"/>
      <c r="AD265" s="64"/>
      <c r="AG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I266" s="64"/>
      <c r="L266" s="64"/>
      <c r="M266" s="64"/>
      <c r="N266" s="64"/>
      <c r="O266" s="64"/>
      <c r="P266" s="64"/>
      <c r="S266" s="64"/>
      <c r="T266" s="64"/>
      <c r="U266" s="64"/>
      <c r="V266" s="64"/>
      <c r="W266" s="64"/>
      <c r="Z266" s="64"/>
      <c r="AA266" s="64"/>
      <c r="AB266" s="64"/>
      <c r="AC266" s="64"/>
      <c r="AD266" s="64"/>
      <c r="AG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I267" s="64"/>
      <c r="L267" s="64"/>
      <c r="M267" s="64"/>
      <c r="N267" s="64"/>
      <c r="O267" s="64"/>
      <c r="P267" s="64"/>
      <c r="S267" s="64"/>
      <c r="T267" s="64"/>
      <c r="U267" s="64"/>
      <c r="V267" s="64"/>
      <c r="W267" s="64"/>
      <c r="Z267" s="64"/>
      <c r="AA267" s="64"/>
      <c r="AB267" s="64"/>
      <c r="AC267" s="64"/>
      <c r="AD267" s="64"/>
      <c r="AG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I268" s="64"/>
      <c r="L268" s="64"/>
      <c r="M268" s="64"/>
      <c r="N268" s="64"/>
      <c r="O268" s="64"/>
      <c r="P268" s="64"/>
      <c r="S268" s="64"/>
      <c r="T268" s="64"/>
      <c r="U268" s="64"/>
      <c r="V268" s="64"/>
      <c r="W268" s="64"/>
      <c r="Z268" s="64"/>
      <c r="AA268" s="64"/>
      <c r="AB268" s="64"/>
      <c r="AC268" s="64"/>
      <c r="AD268" s="64"/>
      <c r="AG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I269" s="64"/>
      <c r="L269" s="64"/>
      <c r="M269" s="64"/>
      <c r="N269" s="64"/>
      <c r="O269" s="64"/>
      <c r="P269" s="64"/>
      <c r="S269" s="64"/>
      <c r="T269" s="64"/>
      <c r="U269" s="64"/>
      <c r="V269" s="64"/>
      <c r="W269" s="64"/>
      <c r="Z269" s="64"/>
      <c r="AA269" s="64"/>
      <c r="AB269" s="64"/>
      <c r="AC269" s="64"/>
      <c r="AD269" s="64"/>
      <c r="AG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I270" s="64"/>
      <c r="L270" s="64"/>
      <c r="M270" s="64"/>
      <c r="N270" s="64"/>
      <c r="O270" s="64"/>
      <c r="P270" s="64"/>
      <c r="S270" s="64"/>
      <c r="T270" s="64"/>
      <c r="U270" s="64"/>
      <c r="V270" s="64"/>
      <c r="W270" s="64"/>
      <c r="Z270" s="64"/>
      <c r="AA270" s="64"/>
      <c r="AB270" s="64"/>
      <c r="AC270" s="64"/>
      <c r="AD270" s="64"/>
      <c r="AG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I271" s="64"/>
      <c r="L271" s="64"/>
      <c r="M271" s="64"/>
      <c r="N271" s="64"/>
      <c r="O271" s="64"/>
      <c r="P271" s="64"/>
      <c r="S271" s="64"/>
      <c r="T271" s="64"/>
      <c r="U271" s="64"/>
      <c r="V271" s="64"/>
      <c r="W271" s="64"/>
      <c r="Z271" s="64"/>
      <c r="AA271" s="64"/>
      <c r="AB271" s="64"/>
      <c r="AC271" s="64"/>
      <c r="AD271" s="64"/>
      <c r="AG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I272" s="64"/>
      <c r="L272" s="64"/>
      <c r="M272" s="64"/>
      <c r="N272" s="64"/>
      <c r="O272" s="64"/>
      <c r="P272" s="64"/>
      <c r="S272" s="64"/>
      <c r="T272" s="64"/>
      <c r="U272" s="64"/>
      <c r="V272" s="64"/>
      <c r="W272" s="64"/>
      <c r="Z272" s="64"/>
      <c r="AA272" s="64"/>
      <c r="AB272" s="64"/>
      <c r="AC272" s="64"/>
      <c r="AD272" s="64"/>
      <c r="AG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I273" s="64"/>
      <c r="L273" s="64"/>
      <c r="M273" s="64"/>
      <c r="N273" s="64"/>
      <c r="O273" s="64"/>
      <c r="P273" s="64"/>
      <c r="S273" s="64"/>
      <c r="T273" s="64"/>
      <c r="U273" s="64"/>
      <c r="V273" s="64"/>
      <c r="W273" s="64"/>
      <c r="Z273" s="64"/>
      <c r="AA273" s="64"/>
      <c r="AB273" s="64"/>
      <c r="AC273" s="64"/>
      <c r="AD273" s="64"/>
      <c r="AG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I274" s="64"/>
      <c r="L274" s="64"/>
      <c r="M274" s="64"/>
      <c r="N274" s="64"/>
      <c r="O274" s="64"/>
      <c r="P274" s="64"/>
      <c r="S274" s="64"/>
      <c r="T274" s="64"/>
      <c r="U274" s="64"/>
      <c r="V274" s="64"/>
      <c r="W274" s="64"/>
      <c r="Z274" s="64"/>
      <c r="AA274" s="64"/>
      <c r="AB274" s="64"/>
      <c r="AC274" s="64"/>
      <c r="AD274" s="64"/>
      <c r="AG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I275" s="64"/>
      <c r="L275" s="64"/>
      <c r="M275" s="64"/>
      <c r="N275" s="64"/>
      <c r="O275" s="64"/>
      <c r="P275" s="64"/>
      <c r="S275" s="64"/>
      <c r="T275" s="64"/>
      <c r="U275" s="64"/>
      <c r="V275" s="64"/>
      <c r="W275" s="64"/>
      <c r="Z275" s="64"/>
      <c r="AA275" s="64"/>
      <c r="AB275" s="64"/>
      <c r="AC275" s="64"/>
      <c r="AD275" s="64"/>
      <c r="AG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I276" s="64"/>
      <c r="L276" s="64"/>
      <c r="M276" s="64"/>
      <c r="N276" s="64"/>
      <c r="O276" s="64"/>
      <c r="P276" s="64"/>
      <c r="S276" s="64"/>
      <c r="T276" s="64"/>
      <c r="U276" s="64"/>
      <c r="V276" s="64"/>
      <c r="W276" s="64"/>
      <c r="Z276" s="64"/>
      <c r="AA276" s="64"/>
      <c r="AB276" s="64"/>
      <c r="AC276" s="64"/>
      <c r="AD276" s="64"/>
      <c r="AG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I277" s="64"/>
      <c r="L277" s="64"/>
      <c r="M277" s="64"/>
      <c r="N277" s="64"/>
      <c r="O277" s="64"/>
      <c r="P277" s="64"/>
      <c r="S277" s="64"/>
      <c r="T277" s="64"/>
      <c r="U277" s="64"/>
      <c r="V277" s="64"/>
      <c r="W277" s="64"/>
      <c r="Z277" s="64"/>
      <c r="AA277" s="64"/>
      <c r="AB277" s="64"/>
      <c r="AC277" s="64"/>
      <c r="AD277" s="64"/>
      <c r="AG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I278" s="64"/>
      <c r="L278" s="64"/>
      <c r="M278" s="64"/>
      <c r="N278" s="64"/>
      <c r="O278" s="64"/>
      <c r="P278" s="64"/>
      <c r="S278" s="64"/>
      <c r="T278" s="64"/>
      <c r="U278" s="64"/>
      <c r="V278" s="64"/>
      <c r="W278" s="64"/>
      <c r="Z278" s="64"/>
      <c r="AA278" s="64"/>
      <c r="AB278" s="64"/>
      <c r="AC278" s="64"/>
      <c r="AD278" s="64"/>
      <c r="AG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I279" s="64"/>
      <c r="L279" s="64"/>
      <c r="M279" s="64"/>
      <c r="N279" s="64"/>
      <c r="O279" s="64"/>
      <c r="P279" s="64"/>
      <c r="S279" s="64"/>
      <c r="T279" s="64"/>
      <c r="U279" s="64"/>
      <c r="V279" s="64"/>
      <c r="W279" s="64"/>
      <c r="Z279" s="64"/>
      <c r="AA279" s="64"/>
      <c r="AB279" s="64"/>
      <c r="AC279" s="64"/>
      <c r="AD279" s="64"/>
      <c r="AG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I280" s="64"/>
      <c r="L280" s="64"/>
      <c r="M280" s="64"/>
      <c r="N280" s="64"/>
      <c r="O280" s="64"/>
      <c r="P280" s="64"/>
      <c r="S280" s="64"/>
      <c r="T280" s="64"/>
      <c r="U280" s="64"/>
      <c r="V280" s="64"/>
      <c r="W280" s="64"/>
      <c r="Z280" s="64"/>
      <c r="AA280" s="64"/>
      <c r="AB280" s="64"/>
      <c r="AC280" s="64"/>
      <c r="AD280" s="64"/>
      <c r="AG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I281" s="64"/>
      <c r="L281" s="64"/>
      <c r="M281" s="64"/>
      <c r="N281" s="64"/>
      <c r="O281" s="64"/>
      <c r="P281" s="64"/>
      <c r="S281" s="64"/>
      <c r="T281" s="64"/>
      <c r="U281" s="64"/>
      <c r="V281" s="64"/>
      <c r="W281" s="64"/>
      <c r="Z281" s="64"/>
      <c r="AA281" s="64"/>
      <c r="AB281" s="64"/>
      <c r="AC281" s="64"/>
      <c r="AD281" s="64"/>
      <c r="AG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I282" s="64"/>
      <c r="L282" s="64"/>
      <c r="M282" s="64"/>
      <c r="N282" s="64"/>
      <c r="O282" s="64"/>
      <c r="P282" s="64"/>
      <c r="S282" s="64"/>
      <c r="T282" s="64"/>
      <c r="U282" s="64"/>
      <c r="V282" s="64"/>
      <c r="W282" s="64"/>
      <c r="Z282" s="64"/>
      <c r="AA282" s="64"/>
      <c r="AB282" s="64"/>
      <c r="AC282" s="64"/>
      <c r="AD282" s="64"/>
      <c r="AG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I283" s="64"/>
      <c r="L283" s="64"/>
      <c r="M283" s="64"/>
      <c r="N283" s="64"/>
      <c r="O283" s="64"/>
      <c r="P283" s="64"/>
      <c r="S283" s="64"/>
      <c r="T283" s="64"/>
      <c r="U283" s="64"/>
      <c r="V283" s="64"/>
      <c r="W283" s="64"/>
      <c r="Z283" s="64"/>
      <c r="AA283" s="64"/>
      <c r="AB283" s="64"/>
      <c r="AC283" s="64"/>
      <c r="AD283" s="64"/>
      <c r="AG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I284" s="64"/>
      <c r="L284" s="64"/>
      <c r="M284" s="64"/>
      <c r="N284" s="64"/>
      <c r="O284" s="64"/>
      <c r="P284" s="64"/>
      <c r="S284" s="64"/>
      <c r="T284" s="64"/>
      <c r="U284" s="64"/>
      <c r="V284" s="64"/>
      <c r="W284" s="64"/>
      <c r="Z284" s="64"/>
      <c r="AA284" s="64"/>
      <c r="AB284" s="64"/>
      <c r="AC284" s="64"/>
      <c r="AD284" s="64"/>
      <c r="AG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I285" s="64"/>
      <c r="L285" s="64"/>
      <c r="M285" s="64"/>
      <c r="N285" s="64"/>
      <c r="O285" s="64"/>
      <c r="P285" s="64"/>
      <c r="S285" s="64"/>
      <c r="T285" s="64"/>
      <c r="U285" s="64"/>
      <c r="V285" s="64"/>
      <c r="W285" s="64"/>
      <c r="Z285" s="64"/>
      <c r="AA285" s="64"/>
      <c r="AB285" s="64"/>
      <c r="AC285" s="64"/>
      <c r="AD285" s="64"/>
      <c r="AG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I286" s="64"/>
      <c r="L286" s="64"/>
      <c r="M286" s="64"/>
      <c r="N286" s="64"/>
      <c r="O286" s="64"/>
      <c r="P286" s="64"/>
      <c r="S286" s="64"/>
      <c r="T286" s="64"/>
      <c r="U286" s="64"/>
      <c r="V286" s="64"/>
      <c r="W286" s="64"/>
      <c r="Z286" s="64"/>
      <c r="AA286" s="64"/>
      <c r="AB286" s="64"/>
      <c r="AC286" s="64"/>
      <c r="AD286" s="64"/>
      <c r="AG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I287" s="64"/>
      <c r="L287" s="64"/>
      <c r="M287" s="64"/>
      <c r="N287" s="64"/>
      <c r="O287" s="64"/>
      <c r="P287" s="64"/>
      <c r="S287" s="64"/>
      <c r="T287" s="64"/>
      <c r="U287" s="64"/>
      <c r="V287" s="64"/>
      <c r="W287" s="64"/>
      <c r="Z287" s="64"/>
      <c r="AA287" s="64"/>
      <c r="AB287" s="64"/>
      <c r="AC287" s="64"/>
      <c r="AD287" s="64"/>
      <c r="AG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I288" s="64"/>
      <c r="L288" s="64"/>
      <c r="M288" s="64"/>
      <c r="N288" s="64"/>
      <c r="O288" s="64"/>
      <c r="P288" s="64"/>
      <c r="S288" s="64"/>
      <c r="T288" s="64"/>
      <c r="U288" s="64"/>
      <c r="V288" s="64"/>
      <c r="W288" s="64"/>
      <c r="Z288" s="64"/>
      <c r="AA288" s="64"/>
      <c r="AB288" s="64"/>
      <c r="AC288" s="64"/>
      <c r="AD288" s="64"/>
      <c r="AG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I289" s="64"/>
      <c r="L289" s="64"/>
      <c r="M289" s="64"/>
      <c r="N289" s="64"/>
      <c r="O289" s="64"/>
      <c r="P289" s="64"/>
      <c r="S289" s="64"/>
      <c r="T289" s="64"/>
      <c r="U289" s="64"/>
      <c r="V289" s="64"/>
      <c r="W289" s="64"/>
      <c r="Z289" s="64"/>
      <c r="AA289" s="64"/>
      <c r="AB289" s="64"/>
      <c r="AC289" s="64"/>
      <c r="AD289" s="64"/>
      <c r="AG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I290" s="64"/>
      <c r="L290" s="64"/>
      <c r="M290" s="64"/>
      <c r="N290" s="64"/>
      <c r="O290" s="64"/>
      <c r="P290" s="64"/>
      <c r="S290" s="64"/>
      <c r="T290" s="64"/>
      <c r="U290" s="64"/>
      <c r="V290" s="64"/>
      <c r="W290" s="64"/>
      <c r="Z290" s="64"/>
      <c r="AA290" s="64"/>
      <c r="AB290" s="64"/>
      <c r="AC290" s="64"/>
      <c r="AD290" s="64"/>
      <c r="AG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I291" s="64"/>
      <c r="L291" s="64"/>
      <c r="M291" s="64"/>
      <c r="N291" s="64"/>
      <c r="O291" s="64"/>
      <c r="P291" s="64"/>
      <c r="S291" s="64"/>
      <c r="T291" s="64"/>
      <c r="U291" s="64"/>
      <c r="V291" s="64"/>
      <c r="W291" s="64"/>
      <c r="Z291" s="64"/>
      <c r="AA291" s="64"/>
      <c r="AB291" s="64"/>
      <c r="AC291" s="64"/>
      <c r="AD291" s="64"/>
      <c r="AG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I292" s="64"/>
      <c r="L292" s="64"/>
      <c r="M292" s="64"/>
      <c r="N292" s="64"/>
      <c r="O292" s="64"/>
      <c r="P292" s="64"/>
      <c r="S292" s="64"/>
      <c r="T292" s="64"/>
      <c r="U292" s="64"/>
      <c r="V292" s="64"/>
      <c r="W292" s="64"/>
      <c r="Z292" s="64"/>
      <c r="AA292" s="64"/>
      <c r="AB292" s="64"/>
      <c r="AC292" s="64"/>
      <c r="AD292" s="64"/>
      <c r="AG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I293" s="64"/>
      <c r="L293" s="64"/>
      <c r="M293" s="64"/>
      <c r="N293" s="64"/>
      <c r="O293" s="64"/>
      <c r="P293" s="64"/>
      <c r="S293" s="64"/>
      <c r="T293" s="64"/>
      <c r="U293" s="64"/>
      <c r="V293" s="64"/>
      <c r="W293" s="64"/>
      <c r="Z293" s="64"/>
      <c r="AA293" s="64"/>
      <c r="AB293" s="64"/>
      <c r="AC293" s="64"/>
      <c r="AD293" s="64"/>
      <c r="AG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I294" s="64"/>
      <c r="L294" s="64"/>
      <c r="M294" s="64"/>
      <c r="N294" s="64"/>
      <c r="O294" s="64"/>
      <c r="P294" s="64"/>
      <c r="S294" s="64"/>
      <c r="T294" s="64"/>
      <c r="U294" s="64"/>
      <c r="V294" s="64"/>
      <c r="W294" s="64"/>
      <c r="Z294" s="64"/>
      <c r="AA294" s="64"/>
      <c r="AB294" s="64"/>
      <c r="AC294" s="64"/>
      <c r="AD294" s="64"/>
      <c r="AG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I295" s="64"/>
      <c r="L295" s="64"/>
      <c r="M295" s="64"/>
      <c r="N295" s="64"/>
      <c r="O295" s="64"/>
      <c r="P295" s="64"/>
      <c r="S295" s="64"/>
      <c r="T295" s="64"/>
      <c r="U295" s="64"/>
      <c r="V295" s="64"/>
      <c r="W295" s="64"/>
      <c r="Z295" s="64"/>
      <c r="AA295" s="64"/>
      <c r="AB295" s="64"/>
      <c r="AC295" s="64"/>
      <c r="AD295" s="64"/>
      <c r="AG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I296" s="64"/>
      <c r="L296" s="64"/>
      <c r="M296" s="64"/>
      <c r="N296" s="64"/>
      <c r="O296" s="64"/>
      <c r="P296" s="64"/>
      <c r="S296" s="64"/>
      <c r="T296" s="64"/>
      <c r="U296" s="64"/>
      <c r="V296" s="64"/>
      <c r="W296" s="64"/>
      <c r="Z296" s="64"/>
      <c r="AA296" s="64"/>
      <c r="AB296" s="64"/>
      <c r="AC296" s="64"/>
      <c r="AD296" s="64"/>
      <c r="AG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I297" s="64"/>
      <c r="L297" s="64"/>
      <c r="M297" s="64"/>
      <c r="N297" s="64"/>
      <c r="O297" s="64"/>
      <c r="P297" s="64"/>
      <c r="S297" s="64"/>
      <c r="T297" s="64"/>
      <c r="U297" s="64"/>
      <c r="V297" s="64"/>
      <c r="W297" s="64"/>
      <c r="Z297" s="64"/>
      <c r="AA297" s="64"/>
      <c r="AB297" s="64"/>
      <c r="AC297" s="64"/>
      <c r="AD297" s="64"/>
      <c r="AG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I298" s="64"/>
      <c r="L298" s="64"/>
      <c r="M298" s="64"/>
      <c r="N298" s="64"/>
      <c r="O298" s="64"/>
      <c r="P298" s="64"/>
      <c r="S298" s="64"/>
      <c r="T298" s="64"/>
      <c r="U298" s="64"/>
      <c r="V298" s="64"/>
      <c r="W298" s="64"/>
      <c r="Z298" s="64"/>
      <c r="AA298" s="64"/>
      <c r="AB298" s="64"/>
      <c r="AC298" s="64"/>
      <c r="AD298" s="64"/>
      <c r="AG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I299" s="64"/>
      <c r="L299" s="64"/>
      <c r="M299" s="64"/>
      <c r="N299" s="64"/>
      <c r="O299" s="64"/>
      <c r="P299" s="64"/>
      <c r="S299" s="64"/>
      <c r="T299" s="64"/>
      <c r="U299" s="64"/>
      <c r="V299" s="64"/>
      <c r="W299" s="64"/>
      <c r="Z299" s="64"/>
      <c r="AA299" s="64"/>
      <c r="AB299" s="64"/>
      <c r="AC299" s="64"/>
      <c r="AD299" s="64"/>
      <c r="AG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I300" s="64"/>
      <c r="L300" s="64"/>
      <c r="M300" s="64"/>
      <c r="N300" s="64"/>
      <c r="O300" s="64"/>
      <c r="P300" s="64"/>
      <c r="S300" s="64"/>
      <c r="T300" s="64"/>
      <c r="U300" s="64"/>
      <c r="V300" s="64"/>
      <c r="W300" s="64"/>
      <c r="Z300" s="64"/>
      <c r="AA300" s="64"/>
      <c r="AB300" s="64"/>
      <c r="AC300" s="64"/>
      <c r="AD300" s="64"/>
      <c r="AG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I301" s="64"/>
      <c r="L301" s="64"/>
      <c r="M301" s="64"/>
      <c r="N301" s="64"/>
      <c r="O301" s="64"/>
      <c r="P301" s="64"/>
      <c r="S301" s="64"/>
      <c r="T301" s="64"/>
      <c r="U301" s="64"/>
      <c r="V301" s="64"/>
      <c r="W301" s="64"/>
      <c r="Z301" s="64"/>
      <c r="AA301" s="64"/>
      <c r="AB301" s="64"/>
      <c r="AC301" s="64"/>
      <c r="AD301" s="64"/>
      <c r="AG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I302" s="64"/>
      <c r="L302" s="64"/>
      <c r="M302" s="64"/>
      <c r="N302" s="64"/>
      <c r="O302" s="64"/>
      <c r="P302" s="64"/>
      <c r="S302" s="64"/>
      <c r="T302" s="64"/>
      <c r="U302" s="64"/>
      <c r="V302" s="64"/>
      <c r="W302" s="64"/>
      <c r="Z302" s="64"/>
      <c r="AA302" s="64"/>
      <c r="AB302" s="64"/>
      <c r="AC302" s="64"/>
      <c r="AD302" s="64"/>
      <c r="AG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I303" s="64"/>
      <c r="L303" s="64"/>
      <c r="M303" s="64"/>
      <c r="N303" s="64"/>
      <c r="O303" s="64"/>
      <c r="P303" s="64"/>
      <c r="S303" s="64"/>
      <c r="T303" s="64"/>
      <c r="U303" s="64"/>
      <c r="V303" s="64"/>
      <c r="W303" s="64"/>
      <c r="Z303" s="64"/>
      <c r="AA303" s="64"/>
      <c r="AB303" s="64"/>
      <c r="AC303" s="64"/>
      <c r="AD303" s="64"/>
      <c r="AG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I304" s="64"/>
      <c r="L304" s="64"/>
      <c r="M304" s="64"/>
      <c r="N304" s="64"/>
      <c r="O304" s="64"/>
      <c r="P304" s="64"/>
      <c r="S304" s="64"/>
      <c r="T304" s="64"/>
      <c r="U304" s="64"/>
      <c r="V304" s="64"/>
      <c r="W304" s="64"/>
      <c r="Z304" s="64"/>
      <c r="AA304" s="64"/>
      <c r="AB304" s="64"/>
      <c r="AC304" s="64"/>
      <c r="AD304" s="64"/>
      <c r="AG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I305" s="64"/>
      <c r="L305" s="64"/>
      <c r="M305" s="64"/>
      <c r="N305" s="64"/>
      <c r="O305" s="64"/>
      <c r="P305" s="64"/>
      <c r="S305" s="64"/>
      <c r="T305" s="64"/>
      <c r="U305" s="64"/>
      <c r="V305" s="64"/>
      <c r="W305" s="64"/>
      <c r="Z305" s="64"/>
      <c r="AA305" s="64"/>
      <c r="AB305" s="64"/>
      <c r="AC305" s="64"/>
      <c r="AD305" s="64"/>
      <c r="AG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I306" s="64"/>
      <c r="L306" s="64"/>
      <c r="M306" s="64"/>
      <c r="N306" s="64"/>
      <c r="O306" s="64"/>
      <c r="P306" s="64"/>
      <c r="S306" s="64"/>
      <c r="T306" s="64"/>
      <c r="U306" s="64"/>
      <c r="V306" s="64"/>
      <c r="W306" s="64"/>
      <c r="Z306" s="64"/>
      <c r="AA306" s="64"/>
      <c r="AB306" s="64"/>
      <c r="AC306" s="64"/>
      <c r="AD306" s="64"/>
      <c r="AG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I307" s="64"/>
      <c r="L307" s="64"/>
      <c r="M307" s="64"/>
      <c r="N307" s="64"/>
      <c r="O307" s="64"/>
      <c r="P307" s="64"/>
      <c r="S307" s="64"/>
      <c r="T307" s="64"/>
      <c r="U307" s="64"/>
      <c r="V307" s="64"/>
      <c r="W307" s="64"/>
      <c r="Z307" s="64"/>
      <c r="AA307" s="64"/>
      <c r="AB307" s="64"/>
      <c r="AC307" s="64"/>
      <c r="AD307" s="64"/>
      <c r="AG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I308" s="64"/>
      <c r="L308" s="64"/>
      <c r="M308" s="64"/>
      <c r="N308" s="64"/>
      <c r="O308" s="64"/>
      <c r="P308" s="64"/>
      <c r="S308" s="64"/>
      <c r="T308" s="64"/>
      <c r="U308" s="64"/>
      <c r="V308" s="64"/>
      <c r="W308" s="64"/>
      <c r="Z308" s="64"/>
      <c r="AA308" s="64"/>
      <c r="AB308" s="64"/>
      <c r="AC308" s="64"/>
      <c r="AD308" s="64"/>
      <c r="AG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I309" s="64"/>
      <c r="L309" s="64"/>
      <c r="M309" s="64"/>
      <c r="N309" s="64"/>
      <c r="O309" s="64"/>
      <c r="P309" s="64"/>
      <c r="S309" s="64"/>
      <c r="T309" s="64"/>
      <c r="U309" s="64"/>
      <c r="V309" s="64"/>
      <c r="W309" s="64"/>
      <c r="Z309" s="64"/>
      <c r="AA309" s="64"/>
      <c r="AB309" s="64"/>
      <c r="AC309" s="64"/>
      <c r="AD309" s="64"/>
      <c r="AG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I310" s="64"/>
      <c r="L310" s="64"/>
      <c r="M310" s="64"/>
      <c r="N310" s="64"/>
      <c r="O310" s="64"/>
      <c r="P310" s="64"/>
      <c r="S310" s="64"/>
      <c r="T310" s="64"/>
      <c r="U310" s="64"/>
      <c r="V310" s="64"/>
      <c r="W310" s="64"/>
      <c r="Z310" s="64"/>
      <c r="AA310" s="64"/>
      <c r="AB310" s="64"/>
      <c r="AC310" s="64"/>
      <c r="AD310" s="64"/>
      <c r="AG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I311" s="64"/>
      <c r="L311" s="64"/>
      <c r="M311" s="64"/>
      <c r="N311" s="64"/>
      <c r="O311" s="64"/>
      <c r="P311" s="64"/>
      <c r="S311" s="64"/>
      <c r="T311" s="64"/>
      <c r="U311" s="64"/>
      <c r="V311" s="64"/>
      <c r="W311" s="64"/>
      <c r="Z311" s="64"/>
      <c r="AA311" s="64"/>
      <c r="AB311" s="64"/>
      <c r="AC311" s="64"/>
      <c r="AD311" s="64"/>
      <c r="AG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I312" s="64"/>
      <c r="L312" s="64"/>
      <c r="M312" s="64"/>
      <c r="N312" s="64"/>
      <c r="O312" s="64"/>
      <c r="P312" s="64"/>
      <c r="S312" s="64"/>
      <c r="T312" s="64"/>
      <c r="U312" s="64"/>
      <c r="V312" s="64"/>
      <c r="W312" s="64"/>
      <c r="Z312" s="64"/>
      <c r="AA312" s="64"/>
      <c r="AB312" s="64"/>
      <c r="AC312" s="64"/>
      <c r="AD312" s="64"/>
      <c r="AG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I313" s="64"/>
      <c r="L313" s="64"/>
      <c r="M313" s="64"/>
      <c r="N313" s="64"/>
      <c r="O313" s="64"/>
      <c r="P313" s="64"/>
      <c r="S313" s="64"/>
      <c r="T313" s="64"/>
      <c r="U313" s="64"/>
      <c r="V313" s="64"/>
      <c r="W313" s="64"/>
      <c r="Z313" s="64"/>
      <c r="AA313" s="64"/>
      <c r="AB313" s="64"/>
      <c r="AC313" s="64"/>
      <c r="AD313" s="64"/>
      <c r="AG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I314" s="64"/>
      <c r="L314" s="64"/>
      <c r="M314" s="64"/>
      <c r="N314" s="64"/>
      <c r="O314" s="64"/>
      <c r="P314" s="64"/>
      <c r="S314" s="64"/>
      <c r="T314" s="64"/>
      <c r="U314" s="64"/>
      <c r="V314" s="64"/>
      <c r="W314" s="64"/>
      <c r="Z314" s="64"/>
      <c r="AA314" s="64"/>
      <c r="AB314" s="64"/>
      <c r="AC314" s="64"/>
      <c r="AD314" s="64"/>
      <c r="AG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I315" s="64"/>
      <c r="L315" s="64"/>
      <c r="M315" s="64"/>
      <c r="N315" s="64"/>
      <c r="O315" s="64"/>
      <c r="P315" s="64"/>
      <c r="S315" s="64"/>
      <c r="T315" s="64"/>
      <c r="U315" s="64"/>
      <c r="V315" s="64"/>
      <c r="W315" s="64"/>
      <c r="Z315" s="64"/>
      <c r="AA315" s="64"/>
      <c r="AB315" s="64"/>
      <c r="AC315" s="64"/>
      <c r="AD315" s="64"/>
      <c r="AG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I316" s="64"/>
      <c r="L316" s="64"/>
      <c r="M316" s="64"/>
      <c r="N316" s="64"/>
      <c r="O316" s="64"/>
      <c r="P316" s="64"/>
      <c r="S316" s="64"/>
      <c r="T316" s="64"/>
      <c r="U316" s="64"/>
      <c r="V316" s="64"/>
      <c r="W316" s="64"/>
      <c r="Z316" s="64"/>
      <c r="AA316" s="64"/>
      <c r="AB316" s="64"/>
      <c r="AC316" s="64"/>
      <c r="AD316" s="64"/>
      <c r="AG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I317" s="64"/>
      <c r="L317" s="64"/>
      <c r="M317" s="64"/>
      <c r="N317" s="64"/>
      <c r="O317" s="64"/>
      <c r="P317" s="64"/>
      <c r="S317" s="64"/>
      <c r="T317" s="64"/>
      <c r="U317" s="64"/>
      <c r="V317" s="64"/>
      <c r="W317" s="64"/>
      <c r="Z317" s="64"/>
      <c r="AA317" s="64"/>
      <c r="AB317" s="64"/>
      <c r="AC317" s="64"/>
      <c r="AD317" s="64"/>
      <c r="AG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I318" s="64"/>
      <c r="L318" s="64"/>
      <c r="M318" s="64"/>
      <c r="N318" s="64"/>
      <c r="O318" s="64"/>
      <c r="P318" s="64"/>
      <c r="S318" s="64"/>
      <c r="T318" s="64"/>
      <c r="U318" s="64"/>
      <c r="V318" s="64"/>
      <c r="W318" s="64"/>
      <c r="Z318" s="64"/>
      <c r="AA318" s="64"/>
      <c r="AB318" s="64"/>
      <c r="AC318" s="64"/>
      <c r="AD318" s="64"/>
      <c r="AG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I319" s="64"/>
      <c r="L319" s="64"/>
      <c r="M319" s="64"/>
      <c r="N319" s="64"/>
      <c r="O319" s="64"/>
      <c r="P319" s="64"/>
      <c r="S319" s="64"/>
      <c r="T319" s="64"/>
      <c r="U319" s="64"/>
      <c r="V319" s="64"/>
      <c r="W319" s="64"/>
      <c r="Z319" s="64"/>
      <c r="AA319" s="64"/>
      <c r="AB319" s="64"/>
      <c r="AC319" s="64"/>
      <c r="AD319" s="64"/>
      <c r="AG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I320" s="64"/>
      <c r="L320" s="64"/>
      <c r="M320" s="64"/>
      <c r="N320" s="64"/>
      <c r="O320" s="64"/>
      <c r="P320" s="64"/>
      <c r="S320" s="64"/>
      <c r="T320" s="64"/>
      <c r="U320" s="64"/>
      <c r="V320" s="64"/>
      <c r="W320" s="64"/>
      <c r="Z320" s="64"/>
      <c r="AA320" s="64"/>
      <c r="AB320" s="64"/>
      <c r="AC320" s="64"/>
      <c r="AD320" s="64"/>
      <c r="AG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I321" s="64"/>
      <c r="L321" s="64"/>
      <c r="M321" s="64"/>
      <c r="N321" s="64"/>
      <c r="O321" s="64"/>
      <c r="P321" s="64"/>
      <c r="S321" s="64"/>
      <c r="T321" s="64"/>
      <c r="U321" s="64"/>
      <c r="V321" s="64"/>
      <c r="W321" s="64"/>
      <c r="Z321" s="64"/>
      <c r="AA321" s="64"/>
      <c r="AB321" s="64"/>
      <c r="AC321" s="64"/>
      <c r="AD321" s="64"/>
      <c r="AG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I322" s="64"/>
      <c r="L322" s="64"/>
      <c r="M322" s="64"/>
      <c r="N322" s="64"/>
      <c r="O322" s="64"/>
      <c r="P322" s="64"/>
      <c r="S322" s="64"/>
      <c r="T322" s="64"/>
      <c r="U322" s="64"/>
      <c r="V322" s="64"/>
      <c r="W322" s="64"/>
      <c r="Z322" s="64"/>
      <c r="AA322" s="64"/>
      <c r="AB322" s="64"/>
      <c r="AC322" s="64"/>
      <c r="AD322" s="64"/>
      <c r="AG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I323" s="64"/>
      <c r="L323" s="64"/>
      <c r="M323" s="64"/>
      <c r="N323" s="64"/>
      <c r="O323" s="64"/>
      <c r="P323" s="64"/>
      <c r="S323" s="64"/>
      <c r="T323" s="64"/>
      <c r="U323" s="64"/>
      <c r="V323" s="64"/>
      <c r="W323" s="64"/>
      <c r="Z323" s="64"/>
      <c r="AA323" s="64"/>
      <c r="AB323" s="64"/>
      <c r="AC323" s="64"/>
      <c r="AD323" s="64"/>
      <c r="AG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I324" s="64"/>
      <c r="L324" s="64"/>
      <c r="M324" s="64"/>
      <c r="N324" s="64"/>
      <c r="O324" s="64"/>
      <c r="P324" s="64"/>
      <c r="S324" s="64"/>
      <c r="T324" s="64"/>
      <c r="U324" s="64"/>
      <c r="V324" s="64"/>
      <c r="W324" s="64"/>
      <c r="Z324" s="64"/>
      <c r="AA324" s="64"/>
      <c r="AB324" s="64"/>
      <c r="AC324" s="64"/>
      <c r="AD324" s="64"/>
      <c r="AG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I325" s="64"/>
      <c r="L325" s="64"/>
      <c r="M325" s="64"/>
      <c r="N325" s="64"/>
      <c r="O325" s="64"/>
      <c r="P325" s="64"/>
      <c r="S325" s="64"/>
      <c r="T325" s="64"/>
      <c r="U325" s="64"/>
      <c r="V325" s="64"/>
      <c r="W325" s="64"/>
      <c r="Z325" s="64"/>
      <c r="AA325" s="64"/>
      <c r="AB325" s="64"/>
      <c r="AC325" s="64"/>
      <c r="AD325" s="64"/>
      <c r="AG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I326" s="64"/>
      <c r="L326" s="64"/>
      <c r="M326" s="64"/>
      <c r="N326" s="64"/>
      <c r="O326" s="64"/>
      <c r="P326" s="64"/>
      <c r="S326" s="64"/>
      <c r="T326" s="64"/>
      <c r="U326" s="64"/>
      <c r="V326" s="64"/>
      <c r="W326" s="64"/>
      <c r="Z326" s="64"/>
      <c r="AA326" s="64"/>
      <c r="AB326" s="64"/>
      <c r="AC326" s="64"/>
      <c r="AD326" s="64"/>
      <c r="AG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I327" s="64"/>
      <c r="L327" s="64"/>
      <c r="M327" s="64"/>
      <c r="N327" s="64"/>
      <c r="O327" s="64"/>
      <c r="P327" s="64"/>
      <c r="S327" s="64"/>
      <c r="T327" s="64"/>
      <c r="U327" s="64"/>
      <c r="V327" s="64"/>
      <c r="W327" s="64"/>
      <c r="Z327" s="64"/>
      <c r="AA327" s="64"/>
      <c r="AB327" s="64"/>
      <c r="AC327" s="64"/>
      <c r="AD327" s="64"/>
      <c r="AG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I328" s="64"/>
      <c r="L328" s="64"/>
      <c r="M328" s="64"/>
      <c r="N328" s="64"/>
      <c r="O328" s="64"/>
      <c r="P328" s="64"/>
      <c r="S328" s="64"/>
      <c r="T328" s="64"/>
      <c r="U328" s="64"/>
      <c r="V328" s="64"/>
      <c r="W328" s="64"/>
      <c r="Z328" s="64"/>
      <c r="AA328" s="64"/>
      <c r="AB328" s="64"/>
      <c r="AC328" s="64"/>
      <c r="AD328" s="64"/>
      <c r="AG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I329" s="64"/>
      <c r="L329" s="64"/>
      <c r="M329" s="64"/>
      <c r="N329" s="64"/>
      <c r="O329" s="64"/>
      <c r="P329" s="64"/>
      <c r="S329" s="64"/>
      <c r="T329" s="64"/>
      <c r="U329" s="64"/>
      <c r="V329" s="64"/>
      <c r="W329" s="64"/>
      <c r="Z329" s="64"/>
      <c r="AA329" s="64"/>
      <c r="AB329" s="64"/>
      <c r="AC329" s="64"/>
      <c r="AD329" s="64"/>
      <c r="AG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I330" s="64"/>
      <c r="L330" s="64"/>
      <c r="M330" s="64"/>
      <c r="N330" s="64"/>
      <c r="O330" s="64"/>
      <c r="P330" s="64"/>
      <c r="S330" s="64"/>
      <c r="T330" s="64"/>
      <c r="U330" s="64"/>
      <c r="V330" s="64"/>
      <c r="W330" s="64"/>
      <c r="Z330" s="64"/>
      <c r="AA330" s="64"/>
      <c r="AB330" s="64"/>
      <c r="AC330" s="64"/>
      <c r="AD330" s="64"/>
      <c r="AG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I331" s="64"/>
      <c r="L331" s="64"/>
      <c r="M331" s="64"/>
      <c r="N331" s="64"/>
      <c r="O331" s="64"/>
      <c r="P331" s="64"/>
      <c r="S331" s="64"/>
      <c r="T331" s="64"/>
      <c r="U331" s="64"/>
      <c r="V331" s="64"/>
      <c r="W331" s="64"/>
      <c r="Z331" s="64"/>
      <c r="AA331" s="64"/>
      <c r="AB331" s="64"/>
      <c r="AC331" s="64"/>
      <c r="AD331" s="64"/>
      <c r="AG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I332" s="64"/>
      <c r="L332" s="64"/>
      <c r="M332" s="64"/>
      <c r="N332" s="64"/>
      <c r="O332" s="64"/>
      <c r="P332" s="64"/>
      <c r="S332" s="64"/>
      <c r="T332" s="64"/>
      <c r="U332" s="64"/>
      <c r="V332" s="64"/>
      <c r="W332" s="64"/>
      <c r="Z332" s="64"/>
      <c r="AA332" s="64"/>
      <c r="AB332" s="64"/>
      <c r="AC332" s="64"/>
      <c r="AD332" s="64"/>
      <c r="AG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I333" s="64"/>
      <c r="L333" s="64"/>
      <c r="M333" s="64"/>
      <c r="N333" s="64"/>
      <c r="O333" s="64"/>
      <c r="P333" s="64"/>
      <c r="S333" s="64"/>
      <c r="T333" s="64"/>
      <c r="U333" s="64"/>
      <c r="V333" s="64"/>
      <c r="W333" s="64"/>
      <c r="Z333" s="64"/>
      <c r="AA333" s="64"/>
      <c r="AB333" s="64"/>
      <c r="AC333" s="64"/>
      <c r="AD333" s="64"/>
      <c r="AG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I334" s="64"/>
      <c r="L334" s="64"/>
      <c r="M334" s="64"/>
      <c r="N334" s="64"/>
      <c r="O334" s="64"/>
      <c r="P334" s="64"/>
      <c r="S334" s="64"/>
      <c r="T334" s="64"/>
      <c r="U334" s="64"/>
      <c r="V334" s="64"/>
      <c r="W334" s="64"/>
      <c r="Z334" s="64"/>
      <c r="AA334" s="64"/>
      <c r="AB334" s="64"/>
      <c r="AC334" s="64"/>
      <c r="AD334" s="64"/>
      <c r="AG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I335" s="64"/>
      <c r="L335" s="64"/>
      <c r="M335" s="64"/>
      <c r="N335" s="64"/>
      <c r="O335" s="64"/>
      <c r="P335" s="64"/>
      <c r="S335" s="64"/>
      <c r="T335" s="64"/>
      <c r="U335" s="64"/>
      <c r="V335" s="64"/>
      <c r="W335" s="64"/>
      <c r="Z335" s="64"/>
      <c r="AA335" s="64"/>
      <c r="AB335" s="64"/>
      <c r="AC335" s="64"/>
      <c r="AD335" s="64"/>
      <c r="AG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I336" s="64"/>
      <c r="L336" s="64"/>
      <c r="M336" s="64"/>
      <c r="N336" s="64"/>
      <c r="O336" s="64"/>
      <c r="P336" s="64"/>
      <c r="S336" s="64"/>
      <c r="T336" s="64"/>
      <c r="U336" s="64"/>
      <c r="V336" s="64"/>
      <c r="W336" s="64"/>
      <c r="Z336" s="64"/>
      <c r="AA336" s="64"/>
      <c r="AB336" s="64"/>
      <c r="AC336" s="64"/>
      <c r="AD336" s="64"/>
      <c r="AG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I337" s="64"/>
      <c r="L337" s="64"/>
      <c r="M337" s="64"/>
      <c r="N337" s="64"/>
      <c r="O337" s="64"/>
      <c r="P337" s="64"/>
      <c r="S337" s="64"/>
      <c r="T337" s="64"/>
      <c r="U337" s="64"/>
      <c r="V337" s="64"/>
      <c r="W337" s="64"/>
      <c r="Z337" s="64"/>
      <c r="AA337" s="64"/>
      <c r="AB337" s="64"/>
      <c r="AC337" s="64"/>
      <c r="AD337" s="64"/>
      <c r="AG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I338" s="64"/>
      <c r="L338" s="64"/>
      <c r="M338" s="64"/>
      <c r="N338" s="64"/>
      <c r="O338" s="64"/>
      <c r="P338" s="64"/>
      <c r="S338" s="64"/>
      <c r="T338" s="64"/>
      <c r="U338" s="64"/>
      <c r="V338" s="64"/>
      <c r="W338" s="64"/>
      <c r="Z338" s="64"/>
      <c r="AA338" s="64"/>
      <c r="AB338" s="64"/>
      <c r="AC338" s="64"/>
      <c r="AD338" s="64"/>
      <c r="AG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I339" s="64"/>
      <c r="L339" s="64"/>
      <c r="M339" s="64"/>
      <c r="N339" s="64"/>
      <c r="O339" s="64"/>
      <c r="P339" s="64"/>
      <c r="S339" s="64"/>
      <c r="T339" s="64"/>
      <c r="U339" s="64"/>
      <c r="V339" s="64"/>
      <c r="W339" s="64"/>
      <c r="Z339" s="64"/>
      <c r="AA339" s="64"/>
      <c r="AB339" s="64"/>
      <c r="AC339" s="64"/>
      <c r="AD339" s="64"/>
      <c r="AG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58" priority="8" operator="lessThan">
      <formula>0</formula>
    </cfRule>
  </conditionalFormatting>
  <conditionalFormatting sqref="M80 P80 R80:AJ80 F131:H131 J131">
    <cfRule type="cellIs" dxfId="57" priority="11" operator="lessThan">
      <formula>0</formula>
    </cfRule>
  </conditionalFormatting>
  <conditionalFormatting sqref="M120:X123">
    <cfRule type="cellIs" dxfId="56" priority="9" operator="lessThan">
      <formula>0</formula>
    </cfRule>
  </conditionalFormatting>
  <conditionalFormatting sqref="M128:X132">
    <cfRule type="cellIs" dxfId="55" priority="6" operator="lessThan">
      <formula>0</formula>
    </cfRule>
  </conditionalFormatting>
  <conditionalFormatting sqref="M77:AJ79 F77:L87 M81:AJ87 F88:AK117 M118:AJ119 F118:J130 K118:L132 AK118:AK135 F132:J135 K134:AJ135">
    <cfRule type="cellIs" dxfId="54" priority="7" operator="lessThan">
      <formula>0</formula>
    </cfRule>
  </conditionalFormatting>
  <conditionalFormatting sqref="M124:AJ124 M125:X126 M127:Q127 S127:X127">
    <cfRule type="cellIs" dxfId="53" priority="10" operator="lessThan">
      <formula>0</formula>
    </cfRule>
  </conditionalFormatting>
  <conditionalFormatting sqref="Z120:AJ123">
    <cfRule type="cellIs" dxfId="52" priority="5" operator="lessThan">
      <formula>0</formula>
    </cfRule>
  </conditionalFormatting>
  <conditionalFormatting sqref="Z125:AJ133">
    <cfRule type="cellIs" dxfId="51" priority="4" operator="lessThan">
      <formula>0</formula>
    </cfRule>
  </conditionalFormatting>
  <conditionalFormatting sqref="AK29:AK30">
    <cfRule type="cellIs" dxfId="50" priority="3" operator="lessThan">
      <formula>0</formula>
    </cfRule>
  </conditionalFormatting>
  <conditionalFormatting sqref="F29:AJ30">
    <cfRule type="cellIs" dxfId="4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16D07-8A9D-4828-BB1A-29C23C75ABBC}">
  <dimension ref="A1:AS339"/>
  <sheetViews>
    <sheetView zoomScale="80" zoomScaleNormal="80" workbookViewId="0">
      <pane xSplit="1" ySplit="2" topLeftCell="B8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8" bestFit="1" customWidth="1"/>
    <col min="7" max="7" width="6.140625" style="68" customWidth="1"/>
    <col min="8" max="8" width="4.5703125" style="64" bestFit="1" customWidth="1"/>
    <col min="9" max="11" width="5.5703125" style="64" bestFit="1" customWidth="1"/>
    <col min="12" max="12" width="5.5703125" style="64" customWidth="1"/>
    <col min="13" max="14" width="5.5703125" style="68" bestFit="1" customWidth="1"/>
    <col min="15" max="16" width="5.5703125" style="64" bestFit="1" customWidth="1"/>
    <col min="17" max="17" width="6.140625" style="64" customWidth="1"/>
    <col min="18" max="18" width="5.5703125" style="64" customWidth="1"/>
    <col min="19" max="19" width="6.7109375" style="64" bestFit="1" customWidth="1"/>
    <col min="20" max="20" width="4.5703125" style="68" bestFit="1" customWidth="1"/>
    <col min="21" max="21" width="5.140625" style="68" bestFit="1" customWidth="1"/>
    <col min="22" max="22" width="5.5703125" style="64" bestFit="1" customWidth="1"/>
    <col min="23" max="23" width="4.5703125" style="64" bestFit="1" customWidth="1"/>
    <col min="24" max="26" width="5.5703125" style="64" customWidth="1"/>
    <col min="27" max="27" width="6.7109375" style="68" customWidth="1"/>
    <col min="28" max="28" width="5.140625" style="68" customWidth="1"/>
    <col min="29" max="29" width="5" style="64" customWidth="1"/>
    <col min="30" max="30" width="6.7109375" style="64" customWidth="1"/>
    <col min="31" max="31" width="5.5703125" style="64" customWidth="1"/>
    <col min="32" max="33" width="4.5703125" style="64" bestFit="1" customWidth="1"/>
    <col min="34" max="34" width="5.7109375" style="68" bestFit="1" customWidth="1"/>
    <col min="35" max="35" width="6.28515625" style="68" customWidth="1"/>
    <col min="36" max="36" width="5.140625" style="65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20" t="s">
        <v>336</v>
      </c>
      <c r="G1" s="120" t="s">
        <v>337</v>
      </c>
      <c r="H1" s="116" t="s">
        <v>338</v>
      </c>
      <c r="I1" s="116" t="s">
        <v>339</v>
      </c>
      <c r="J1" s="116" t="s">
        <v>333</v>
      </c>
      <c r="K1" s="116" t="s">
        <v>334</v>
      </c>
      <c r="L1" s="116" t="s">
        <v>335</v>
      </c>
      <c r="M1" s="120" t="s">
        <v>336</v>
      </c>
      <c r="N1" s="120" t="s">
        <v>337</v>
      </c>
      <c r="O1" s="116" t="s">
        <v>338</v>
      </c>
      <c r="P1" s="116" t="s">
        <v>339</v>
      </c>
      <c r="Q1" s="116" t="s">
        <v>333</v>
      </c>
      <c r="R1" s="116" t="s">
        <v>334</v>
      </c>
      <c r="S1" s="116" t="s">
        <v>335</v>
      </c>
      <c r="T1" s="120" t="s">
        <v>336</v>
      </c>
      <c r="U1" s="120" t="s">
        <v>337</v>
      </c>
      <c r="V1" s="116" t="s">
        <v>338</v>
      </c>
      <c r="W1" s="116" t="s">
        <v>339</v>
      </c>
      <c r="X1" s="116" t="s">
        <v>333</v>
      </c>
      <c r="Y1" s="116" t="s">
        <v>334</v>
      </c>
      <c r="Z1" s="116" t="s">
        <v>335</v>
      </c>
      <c r="AA1" s="120" t="s">
        <v>336</v>
      </c>
      <c r="AB1" s="120" t="s">
        <v>337</v>
      </c>
      <c r="AC1" s="116" t="s">
        <v>338</v>
      </c>
      <c r="AD1" s="116" t="s">
        <v>339</v>
      </c>
      <c r="AE1" s="116" t="s">
        <v>333</v>
      </c>
      <c r="AF1" s="116" t="s">
        <v>334</v>
      </c>
      <c r="AG1" s="116" t="s">
        <v>335</v>
      </c>
      <c r="AH1" s="120" t="s">
        <v>336</v>
      </c>
      <c r="AI1" s="120" t="s">
        <v>337</v>
      </c>
      <c r="AJ1" s="79" t="s">
        <v>338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29">
        <v>46508</v>
      </c>
      <c r="G2" s="129">
        <v>46509</v>
      </c>
      <c r="H2" s="112">
        <v>46510</v>
      </c>
      <c r="I2" s="112">
        <v>46511</v>
      </c>
      <c r="J2" s="112">
        <v>46512</v>
      </c>
      <c r="K2" s="112">
        <v>46513</v>
      </c>
      <c r="L2" s="112">
        <v>46514</v>
      </c>
      <c r="M2" s="129">
        <v>46515</v>
      </c>
      <c r="N2" s="129">
        <v>46516</v>
      </c>
      <c r="O2" s="112">
        <v>46517</v>
      </c>
      <c r="P2" s="112">
        <v>46518</v>
      </c>
      <c r="Q2" s="112">
        <v>46519</v>
      </c>
      <c r="R2" s="112">
        <v>46520</v>
      </c>
      <c r="S2" s="112">
        <v>46521</v>
      </c>
      <c r="T2" s="129">
        <v>46522</v>
      </c>
      <c r="U2" s="129">
        <v>46523</v>
      </c>
      <c r="V2" s="112">
        <v>46524</v>
      </c>
      <c r="W2" s="112">
        <v>46525</v>
      </c>
      <c r="X2" s="112">
        <v>46526</v>
      </c>
      <c r="Y2" s="112">
        <v>46527</v>
      </c>
      <c r="Z2" s="112">
        <v>46528</v>
      </c>
      <c r="AA2" s="129">
        <v>46529</v>
      </c>
      <c r="AB2" s="129">
        <v>46530</v>
      </c>
      <c r="AC2" s="112">
        <v>46531</v>
      </c>
      <c r="AD2" s="112">
        <v>46532</v>
      </c>
      <c r="AE2" s="112">
        <v>46533</v>
      </c>
      <c r="AF2" s="112">
        <v>46534</v>
      </c>
      <c r="AG2" s="112">
        <v>46535</v>
      </c>
      <c r="AH2" s="129">
        <v>46536</v>
      </c>
      <c r="AI2" s="129">
        <v>46537</v>
      </c>
      <c r="AJ2" s="113">
        <v>46538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120"/>
      <c r="G4" s="120"/>
      <c r="H4" s="70"/>
      <c r="I4" s="70"/>
      <c r="J4" s="70"/>
      <c r="K4" s="70"/>
      <c r="L4" s="70"/>
      <c r="M4" s="120"/>
      <c r="N4" s="120"/>
      <c r="O4" s="70"/>
      <c r="P4" s="70"/>
      <c r="Q4" s="70"/>
      <c r="R4" s="70"/>
      <c r="S4" s="70"/>
      <c r="T4" s="120"/>
      <c r="U4" s="120"/>
      <c r="V4" s="70"/>
      <c r="W4" s="70"/>
      <c r="X4" s="70"/>
      <c r="Y4" s="70"/>
      <c r="Z4" s="70"/>
      <c r="AA4" s="120"/>
      <c r="AB4" s="120"/>
      <c r="AC4" s="70"/>
      <c r="AD4" s="70"/>
      <c r="AE4" s="70"/>
      <c r="AF4" s="70"/>
      <c r="AG4" s="70"/>
      <c r="AH4" s="120"/>
      <c r="AI4" s="120"/>
      <c r="AJ4" s="79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120"/>
      <c r="G5" s="120"/>
      <c r="H5" s="70"/>
      <c r="I5" s="70"/>
      <c r="J5" s="70"/>
      <c r="K5" s="70"/>
      <c r="L5" s="70"/>
      <c r="M5" s="120"/>
      <c r="N5" s="120"/>
      <c r="O5" s="70"/>
      <c r="P5" s="70"/>
      <c r="Q5" s="70"/>
      <c r="R5" s="70"/>
      <c r="S5" s="70"/>
      <c r="T5" s="120"/>
      <c r="U5" s="120"/>
      <c r="V5" s="70"/>
      <c r="W5" s="70"/>
      <c r="X5" s="70"/>
      <c r="Y5" s="70"/>
      <c r="Z5" s="70"/>
      <c r="AA5" s="120"/>
      <c r="AB5" s="120"/>
      <c r="AC5" s="70"/>
      <c r="AD5" s="70"/>
      <c r="AE5" s="70"/>
      <c r="AF5" s="70"/>
      <c r="AG5" s="70"/>
      <c r="AH5" s="120"/>
      <c r="AI5" s="120"/>
      <c r="AJ5" s="79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120"/>
      <c r="G6" s="120"/>
      <c r="H6" s="70"/>
      <c r="I6" s="70"/>
      <c r="J6" s="70"/>
      <c r="K6" s="70"/>
      <c r="L6" s="70"/>
      <c r="M6" s="120"/>
      <c r="N6" s="120"/>
      <c r="O6" s="70"/>
      <c r="P6" s="70"/>
      <c r="Q6" s="70"/>
      <c r="R6" s="70"/>
      <c r="S6" s="70"/>
      <c r="T6" s="120"/>
      <c r="U6" s="120"/>
      <c r="V6" s="70"/>
      <c r="W6" s="70"/>
      <c r="X6" s="70"/>
      <c r="Y6" s="70"/>
      <c r="Z6" s="70"/>
      <c r="AA6" s="120"/>
      <c r="AB6" s="120"/>
      <c r="AC6" s="70"/>
      <c r="AD6" s="70"/>
      <c r="AE6" s="70"/>
      <c r="AF6" s="70"/>
      <c r="AG6" s="70"/>
      <c r="AH6" s="120"/>
      <c r="AI6" s="120"/>
      <c r="AJ6" s="79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120"/>
      <c r="G7" s="120"/>
      <c r="H7" s="70"/>
      <c r="I7" s="70"/>
      <c r="J7" s="70"/>
      <c r="K7" s="70"/>
      <c r="L7" s="70"/>
      <c r="M7" s="120"/>
      <c r="N7" s="120"/>
      <c r="O7" s="70"/>
      <c r="P7" s="70"/>
      <c r="Q7" s="70"/>
      <c r="R7" s="70"/>
      <c r="S7" s="70"/>
      <c r="T7" s="120"/>
      <c r="U7" s="120"/>
      <c r="V7" s="70"/>
      <c r="W7" s="70"/>
      <c r="X7" s="70"/>
      <c r="Y7" s="70"/>
      <c r="Z7" s="70"/>
      <c r="AA7" s="120"/>
      <c r="AB7" s="120"/>
      <c r="AC7" s="70"/>
      <c r="AD7" s="70"/>
      <c r="AE7" s="70"/>
      <c r="AF7" s="70"/>
      <c r="AG7" s="70"/>
      <c r="AH7" s="120"/>
      <c r="AI7" s="120"/>
      <c r="AJ7" s="79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28"/>
      <c r="G8" s="128"/>
      <c r="I8" s="108"/>
      <c r="J8" s="108"/>
      <c r="K8" s="108"/>
      <c r="L8" s="108"/>
      <c r="M8" s="128"/>
      <c r="N8" s="128"/>
      <c r="O8" s="108"/>
      <c r="P8" s="108"/>
      <c r="Q8" s="108"/>
      <c r="R8" s="108"/>
      <c r="S8" s="108"/>
      <c r="T8" s="128"/>
      <c r="U8" s="120"/>
      <c r="V8" s="108"/>
      <c r="W8" s="70"/>
      <c r="X8" s="70"/>
      <c r="Y8" s="108"/>
      <c r="Z8" s="108"/>
      <c r="AA8" s="128"/>
      <c r="AB8" s="128"/>
      <c r="AC8" s="108"/>
      <c r="AD8" s="70"/>
      <c r="AE8" s="70"/>
      <c r="AF8" s="70"/>
      <c r="AG8" s="70"/>
      <c r="AH8" s="120"/>
      <c r="AI8" s="120"/>
      <c r="AJ8" s="79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120"/>
      <c r="G9" s="120"/>
      <c r="H9" s="70"/>
      <c r="I9" s="70"/>
      <c r="J9" s="70"/>
      <c r="K9" s="70"/>
      <c r="L9" s="70"/>
      <c r="M9" s="120"/>
      <c r="N9" s="120"/>
      <c r="O9" s="70"/>
      <c r="P9" s="70"/>
      <c r="Q9" s="70"/>
      <c r="R9" s="70"/>
      <c r="S9" s="70"/>
      <c r="T9" s="120"/>
      <c r="U9" s="120"/>
      <c r="V9" s="70"/>
      <c r="W9" s="70"/>
      <c r="X9" s="70"/>
      <c r="Y9" s="70"/>
      <c r="Z9" s="70"/>
      <c r="AA9" s="120"/>
      <c r="AB9" s="120"/>
      <c r="AC9" s="70"/>
      <c r="AD9" s="70"/>
      <c r="AE9" s="70"/>
      <c r="AF9" s="70"/>
      <c r="AG9" s="70"/>
      <c r="AH9" s="120"/>
      <c r="AI9" s="120"/>
      <c r="AJ9" s="79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120"/>
      <c r="G10" s="120"/>
      <c r="H10" s="70"/>
      <c r="I10" s="70"/>
      <c r="J10" s="70"/>
      <c r="K10" s="70"/>
      <c r="L10" s="70"/>
      <c r="M10" s="120"/>
      <c r="N10" s="120"/>
      <c r="O10" s="70"/>
      <c r="P10" s="70"/>
      <c r="Q10" s="70"/>
      <c r="R10" s="70"/>
      <c r="S10" s="70"/>
      <c r="T10" s="120"/>
      <c r="U10" s="120"/>
      <c r="V10" s="70"/>
      <c r="W10" s="70"/>
      <c r="X10" s="70"/>
      <c r="Y10" s="70"/>
      <c r="Z10" s="70"/>
      <c r="AA10" s="120"/>
      <c r="AB10" s="120"/>
      <c r="AC10" s="70"/>
      <c r="AD10" s="70"/>
      <c r="AE10" s="70"/>
      <c r="AF10" s="70"/>
      <c r="AG10" s="70"/>
      <c r="AH10" s="120"/>
      <c r="AI10" s="120"/>
      <c r="AJ10" s="79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120"/>
      <c r="G11" s="120"/>
      <c r="H11" s="70"/>
      <c r="I11" s="70"/>
      <c r="J11" s="70"/>
      <c r="K11" s="70"/>
      <c r="L11" s="70"/>
      <c r="M11" s="120"/>
      <c r="N11" s="120"/>
      <c r="O11" s="70"/>
      <c r="P11" s="70"/>
      <c r="Q11" s="70"/>
      <c r="R11" s="70"/>
      <c r="S11" s="70"/>
      <c r="T11" s="120"/>
      <c r="U11" s="120"/>
      <c r="V11" s="70"/>
      <c r="W11" s="70"/>
      <c r="X11" s="70"/>
      <c r="Y11" s="70"/>
      <c r="Z11" s="70"/>
      <c r="AA11" s="120"/>
      <c r="AB11" s="120"/>
      <c r="AC11" s="70"/>
      <c r="AD11" s="70"/>
      <c r="AE11" s="70"/>
      <c r="AF11" s="70"/>
      <c r="AG11" s="70"/>
      <c r="AH11" s="120"/>
      <c r="AI11" s="120"/>
      <c r="AJ11" s="79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120"/>
      <c r="G12" s="120"/>
      <c r="H12" s="70"/>
      <c r="I12" s="70"/>
      <c r="J12" s="70"/>
      <c r="K12" s="70"/>
      <c r="L12" s="70"/>
      <c r="M12" s="120"/>
      <c r="N12" s="120"/>
      <c r="O12" s="70"/>
      <c r="P12" s="70"/>
      <c r="Q12" s="70"/>
      <c r="R12" s="70"/>
      <c r="S12" s="70"/>
      <c r="T12" s="120"/>
      <c r="U12" s="120"/>
      <c r="V12" s="70"/>
      <c r="W12" s="70"/>
      <c r="X12" s="70"/>
      <c r="Y12" s="70"/>
      <c r="Z12" s="70"/>
      <c r="AA12" s="120"/>
      <c r="AB12" s="120"/>
      <c r="AC12" s="70"/>
      <c r="AD12" s="70"/>
      <c r="AE12" s="70"/>
      <c r="AF12" s="70"/>
      <c r="AG12" s="70"/>
      <c r="AH12" s="120"/>
      <c r="AI12" s="120"/>
      <c r="AJ12" s="79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120"/>
      <c r="G13" s="120"/>
      <c r="H13" s="70"/>
      <c r="I13" s="70"/>
      <c r="J13" s="70"/>
      <c r="K13" s="70"/>
      <c r="L13" s="70"/>
      <c r="M13" s="120"/>
      <c r="N13" s="120"/>
      <c r="O13" s="70"/>
      <c r="P13" s="70"/>
      <c r="Q13" s="70"/>
      <c r="R13" s="70"/>
      <c r="S13" s="70"/>
      <c r="T13" s="120"/>
      <c r="U13" s="120"/>
      <c r="V13" s="70"/>
      <c r="W13" s="70"/>
      <c r="X13" s="70"/>
      <c r="Y13" s="70"/>
      <c r="Z13" s="70"/>
      <c r="AA13" s="120"/>
      <c r="AB13" s="120"/>
      <c r="AC13" s="70"/>
      <c r="AD13" s="70"/>
      <c r="AE13" s="70"/>
      <c r="AF13" s="70"/>
      <c r="AG13" s="70"/>
      <c r="AH13" s="120"/>
      <c r="AI13" s="120"/>
      <c r="AJ13" s="79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120"/>
      <c r="G14" s="120"/>
      <c r="H14" s="70"/>
      <c r="I14" s="70"/>
      <c r="J14" s="70"/>
      <c r="K14" s="70"/>
      <c r="L14" s="70"/>
      <c r="M14" s="120"/>
      <c r="N14" s="120"/>
      <c r="O14" s="70"/>
      <c r="P14" s="70"/>
      <c r="Q14" s="70"/>
      <c r="R14" s="70"/>
      <c r="S14" s="70"/>
      <c r="T14" s="120"/>
      <c r="U14" s="120"/>
      <c r="V14" s="70"/>
      <c r="W14" s="70"/>
      <c r="X14" s="70"/>
      <c r="Y14" s="70"/>
      <c r="Z14" s="70"/>
      <c r="AA14" s="120"/>
      <c r="AB14" s="120"/>
      <c r="AC14" s="70"/>
      <c r="AD14" s="70"/>
      <c r="AE14" s="70"/>
      <c r="AF14" s="70"/>
      <c r="AG14" s="70"/>
      <c r="AH14" s="120"/>
      <c r="AI14" s="120"/>
      <c r="AJ14" s="79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120"/>
      <c r="G15" s="120"/>
      <c r="H15" s="70"/>
      <c r="I15" s="70"/>
      <c r="J15" s="70"/>
      <c r="K15" s="70"/>
      <c r="L15" s="70"/>
      <c r="M15" s="120"/>
      <c r="N15" s="120"/>
      <c r="O15" s="70"/>
      <c r="P15" s="70"/>
      <c r="Q15" s="70"/>
      <c r="R15" s="70"/>
      <c r="S15" s="70"/>
      <c r="T15" s="120"/>
      <c r="U15" s="120"/>
      <c r="V15" s="70"/>
      <c r="W15" s="70"/>
      <c r="X15" s="70"/>
      <c r="Y15" s="70"/>
      <c r="Z15" s="70"/>
      <c r="AA15" s="120"/>
      <c r="AB15" s="120"/>
      <c r="AC15" s="70"/>
      <c r="AD15" s="70"/>
      <c r="AE15" s="70"/>
      <c r="AF15" s="70"/>
      <c r="AG15" s="70"/>
      <c r="AH15" s="120"/>
      <c r="AI15" s="120"/>
      <c r="AJ15" s="79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120"/>
      <c r="G16" s="120"/>
      <c r="H16" s="70"/>
      <c r="I16" s="70"/>
      <c r="J16" s="70"/>
      <c r="K16" s="70"/>
      <c r="L16" s="70"/>
      <c r="M16" s="120"/>
      <c r="N16" s="120"/>
      <c r="O16" s="70"/>
      <c r="P16" s="70"/>
      <c r="Q16" s="70"/>
      <c r="R16" s="70"/>
      <c r="S16" s="70"/>
      <c r="T16" s="120"/>
      <c r="U16" s="120"/>
      <c r="V16" s="70"/>
      <c r="W16" s="70"/>
      <c r="X16" s="70"/>
      <c r="Y16" s="70"/>
      <c r="Z16" s="70"/>
      <c r="AA16" s="120"/>
      <c r="AB16" s="120"/>
      <c r="AC16" s="70"/>
      <c r="AD16" s="70"/>
      <c r="AE16" s="70"/>
      <c r="AF16" s="70"/>
      <c r="AG16" s="70"/>
      <c r="AH16" s="120"/>
      <c r="AI16" s="120"/>
      <c r="AJ16" s="79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120"/>
      <c r="G17" s="120"/>
      <c r="H17" s="70"/>
      <c r="I17" s="70"/>
      <c r="J17" s="70"/>
      <c r="K17" s="70"/>
      <c r="L17" s="70"/>
      <c r="M17" s="120"/>
      <c r="N17" s="120"/>
      <c r="O17" s="70"/>
      <c r="P17" s="70"/>
      <c r="Q17" s="70"/>
      <c r="R17" s="70"/>
      <c r="S17" s="70"/>
      <c r="T17" s="120"/>
      <c r="U17" s="120"/>
      <c r="V17" s="70"/>
      <c r="W17" s="70"/>
      <c r="X17" s="70"/>
      <c r="Y17" s="70"/>
      <c r="Z17" s="70"/>
      <c r="AA17" s="120"/>
      <c r="AB17" s="120"/>
      <c r="AC17" s="70"/>
      <c r="AD17" s="70"/>
      <c r="AE17" s="70"/>
      <c r="AF17" s="70"/>
      <c r="AG17" s="70"/>
      <c r="AH17" s="120"/>
      <c r="AI17" s="120"/>
      <c r="AJ17" s="79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120"/>
      <c r="G18" s="120"/>
      <c r="H18" s="70"/>
      <c r="I18" s="70"/>
      <c r="J18" s="70"/>
      <c r="K18" s="70"/>
      <c r="L18" s="70"/>
      <c r="M18" s="120"/>
      <c r="N18" s="120"/>
      <c r="O18" s="70"/>
      <c r="P18" s="70"/>
      <c r="Q18" s="70"/>
      <c r="R18" s="70"/>
      <c r="S18" s="70"/>
      <c r="T18" s="120"/>
      <c r="U18" s="120"/>
      <c r="V18" s="70"/>
      <c r="W18" s="70"/>
      <c r="X18" s="70"/>
      <c r="Y18" s="70"/>
      <c r="Z18" s="70"/>
      <c r="AA18" s="120"/>
      <c r="AB18" s="120"/>
      <c r="AC18" s="70"/>
      <c r="AD18" s="70"/>
      <c r="AE18" s="70"/>
      <c r="AF18" s="70"/>
      <c r="AG18" s="70"/>
      <c r="AH18" s="120"/>
      <c r="AI18" s="120"/>
      <c r="AJ18" s="79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120"/>
      <c r="G19" s="120"/>
      <c r="H19" s="70"/>
      <c r="I19" s="70"/>
      <c r="J19" s="70"/>
      <c r="K19" s="70"/>
      <c r="L19" s="70"/>
      <c r="M19" s="120"/>
      <c r="N19" s="120"/>
      <c r="O19" s="70"/>
      <c r="P19" s="70"/>
      <c r="Q19" s="70"/>
      <c r="R19" s="70"/>
      <c r="S19" s="70"/>
      <c r="T19" s="120"/>
      <c r="U19" s="120"/>
      <c r="V19" s="70"/>
      <c r="W19" s="70"/>
      <c r="X19" s="70"/>
      <c r="Y19" s="70"/>
      <c r="Z19" s="70"/>
      <c r="AA19" s="120"/>
      <c r="AB19" s="120"/>
      <c r="AC19" s="70"/>
      <c r="AD19" s="70"/>
      <c r="AE19" s="70"/>
      <c r="AF19" s="70"/>
      <c r="AG19" s="70"/>
      <c r="AH19" s="120"/>
      <c r="AI19" s="120"/>
      <c r="AJ19" s="79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120"/>
      <c r="G20" s="120"/>
      <c r="H20" s="70"/>
      <c r="I20" s="70"/>
      <c r="J20" s="70"/>
      <c r="K20" s="70"/>
      <c r="L20" s="70"/>
      <c r="M20" s="120"/>
      <c r="N20" s="120"/>
      <c r="O20" s="70"/>
      <c r="P20" s="70"/>
      <c r="Q20" s="70"/>
      <c r="R20" s="70"/>
      <c r="S20" s="70"/>
      <c r="T20" s="120"/>
      <c r="U20" s="120"/>
      <c r="V20" s="70"/>
      <c r="W20" s="70"/>
      <c r="X20" s="70"/>
      <c r="Y20" s="70"/>
      <c r="Z20" s="70"/>
      <c r="AA20" s="120"/>
      <c r="AB20" s="120"/>
      <c r="AC20" s="70"/>
      <c r="AD20" s="70"/>
      <c r="AE20" s="70"/>
      <c r="AF20" s="70"/>
      <c r="AG20" s="70"/>
      <c r="AH20" s="120"/>
      <c r="AI20" s="120"/>
      <c r="AJ20" s="79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120"/>
      <c r="G21" s="120"/>
      <c r="H21" s="70"/>
      <c r="I21" s="70"/>
      <c r="J21" s="70"/>
      <c r="K21" s="70"/>
      <c r="L21" s="70"/>
      <c r="M21" s="120"/>
      <c r="N21" s="120"/>
      <c r="O21" s="70"/>
      <c r="P21" s="70"/>
      <c r="Q21" s="70"/>
      <c r="R21" s="70"/>
      <c r="S21" s="70"/>
      <c r="T21" s="120"/>
      <c r="U21" s="120"/>
      <c r="V21" s="70"/>
      <c r="W21" s="70"/>
      <c r="X21" s="70"/>
      <c r="Y21" s="70"/>
      <c r="Z21" s="70"/>
      <c r="AA21" s="120"/>
      <c r="AB21" s="120"/>
      <c r="AC21" s="70"/>
      <c r="AD21" s="70"/>
      <c r="AE21" s="70"/>
      <c r="AF21" s="70"/>
      <c r="AG21" s="70"/>
      <c r="AH21" s="120"/>
      <c r="AI21" s="120"/>
      <c r="AJ21" s="79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120"/>
      <c r="G22" s="120"/>
      <c r="H22" s="70"/>
      <c r="I22" s="70"/>
      <c r="J22" s="70"/>
      <c r="K22" s="70"/>
      <c r="L22" s="70"/>
      <c r="M22" s="120"/>
      <c r="N22" s="120"/>
      <c r="O22" s="70"/>
      <c r="P22" s="70"/>
      <c r="Q22" s="70"/>
      <c r="R22" s="70"/>
      <c r="S22" s="70"/>
      <c r="T22" s="120"/>
      <c r="U22" s="120"/>
      <c r="V22" s="70"/>
      <c r="W22" s="70"/>
      <c r="X22" s="70"/>
      <c r="Y22" s="70"/>
      <c r="Z22" s="70"/>
      <c r="AA22" s="120"/>
      <c r="AB22" s="120"/>
      <c r="AC22" s="70"/>
      <c r="AD22" s="70"/>
      <c r="AE22" s="70"/>
      <c r="AF22" s="70"/>
      <c r="AG22" s="70"/>
      <c r="AH22" s="120"/>
      <c r="AI22" s="120"/>
      <c r="AJ22" s="79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120"/>
      <c r="G23" s="120"/>
      <c r="H23" s="70"/>
      <c r="I23" s="70"/>
      <c r="J23" s="70"/>
      <c r="K23" s="70"/>
      <c r="L23" s="70"/>
      <c r="M23" s="120"/>
      <c r="N23" s="120"/>
      <c r="O23" s="70"/>
      <c r="P23" s="70"/>
      <c r="Q23" s="70"/>
      <c r="R23" s="70"/>
      <c r="S23" s="70"/>
      <c r="T23" s="120"/>
      <c r="U23" s="120"/>
      <c r="V23" s="70"/>
      <c r="W23" s="70"/>
      <c r="X23" s="70"/>
      <c r="Y23" s="70"/>
      <c r="Z23" s="70"/>
      <c r="AA23" s="120"/>
      <c r="AB23" s="120"/>
      <c r="AC23" s="70"/>
      <c r="AD23" s="70"/>
      <c r="AE23" s="70"/>
      <c r="AF23" s="70"/>
      <c r="AG23" s="70"/>
      <c r="AH23" s="120"/>
      <c r="AI23" s="120"/>
      <c r="AJ23" s="79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120"/>
      <c r="G24" s="120"/>
      <c r="H24" s="70"/>
      <c r="I24" s="70"/>
      <c r="J24" s="70"/>
      <c r="K24" s="70"/>
      <c r="L24" s="70"/>
      <c r="M24" s="120"/>
      <c r="N24" s="120"/>
      <c r="O24" s="70"/>
      <c r="P24" s="70"/>
      <c r="Q24" s="70"/>
      <c r="R24" s="70"/>
      <c r="S24" s="70"/>
      <c r="T24" s="120"/>
      <c r="U24" s="120"/>
      <c r="V24" s="70"/>
      <c r="W24" s="70"/>
      <c r="X24" s="70"/>
      <c r="Y24" s="70"/>
      <c r="Z24" s="70"/>
      <c r="AA24" s="120"/>
      <c r="AB24" s="120"/>
      <c r="AC24" s="70"/>
      <c r="AD24" s="70"/>
      <c r="AE24" s="70"/>
      <c r="AF24" s="70"/>
      <c r="AG24" s="70"/>
      <c r="AH24" s="120"/>
      <c r="AI24" s="120"/>
      <c r="AJ24" s="79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120"/>
      <c r="G25" s="120"/>
      <c r="H25" s="70"/>
      <c r="I25" s="70"/>
      <c r="J25" s="70"/>
      <c r="K25" s="70"/>
      <c r="L25" s="70"/>
      <c r="M25" s="120"/>
      <c r="N25" s="120"/>
      <c r="O25" s="70"/>
      <c r="P25" s="70"/>
      <c r="Q25" s="70"/>
      <c r="R25" s="70"/>
      <c r="S25" s="70"/>
      <c r="T25" s="120"/>
      <c r="U25" s="120"/>
      <c r="V25" s="70"/>
      <c r="W25" s="70"/>
      <c r="X25" s="70"/>
      <c r="Y25" s="70"/>
      <c r="Z25" s="70"/>
      <c r="AA25" s="120"/>
      <c r="AB25" s="120"/>
      <c r="AC25" s="70"/>
      <c r="AD25" s="70"/>
      <c r="AE25" s="70"/>
      <c r="AF25" s="70"/>
      <c r="AG25" s="70"/>
      <c r="AH25" s="120"/>
      <c r="AI25" s="120"/>
      <c r="AJ25" s="79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120"/>
      <c r="G26" s="120"/>
      <c r="H26" s="70"/>
      <c r="I26" s="70"/>
      <c r="J26" s="70"/>
      <c r="K26" s="70"/>
      <c r="L26" s="70"/>
      <c r="M26" s="120"/>
      <c r="N26" s="120"/>
      <c r="O26" s="70"/>
      <c r="P26" s="70"/>
      <c r="Q26" s="70"/>
      <c r="R26" s="70"/>
      <c r="S26" s="70"/>
      <c r="T26" s="120"/>
      <c r="U26" s="120"/>
      <c r="V26" s="70"/>
      <c r="W26" s="70"/>
      <c r="X26" s="70"/>
      <c r="Y26" s="70"/>
      <c r="Z26" s="70"/>
      <c r="AA26" s="120"/>
      <c r="AB26" s="120"/>
      <c r="AC26" s="70"/>
      <c r="AD26" s="70"/>
      <c r="AE26" s="70"/>
      <c r="AF26" s="70"/>
      <c r="AG26" s="70"/>
      <c r="AH26" s="120"/>
      <c r="AI26" s="120"/>
      <c r="AJ26" s="79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120"/>
      <c r="G27" s="120"/>
      <c r="H27" s="70"/>
      <c r="I27" s="70"/>
      <c r="J27" s="70"/>
      <c r="K27" s="70"/>
      <c r="L27" s="70"/>
      <c r="M27" s="120"/>
      <c r="N27" s="120"/>
      <c r="O27" s="70"/>
      <c r="P27" s="70"/>
      <c r="Q27" s="70"/>
      <c r="R27" s="70"/>
      <c r="S27" s="70"/>
      <c r="T27" s="120"/>
      <c r="U27" s="120"/>
      <c r="V27" s="70"/>
      <c r="W27" s="70"/>
      <c r="X27" s="70"/>
      <c r="Y27" s="70"/>
      <c r="Z27" s="70"/>
      <c r="AA27" s="120"/>
      <c r="AB27" s="120"/>
      <c r="AC27" s="70"/>
      <c r="AD27" s="70"/>
      <c r="AE27" s="70"/>
      <c r="AF27" s="70"/>
      <c r="AG27" s="70"/>
      <c r="AH27" s="120"/>
      <c r="AI27" s="120"/>
      <c r="AJ27" s="79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120"/>
      <c r="G28" s="120"/>
      <c r="H28" s="70"/>
      <c r="I28" s="70"/>
      <c r="J28" s="70"/>
      <c r="K28" s="70"/>
      <c r="L28" s="70"/>
      <c r="M28" s="120"/>
      <c r="N28" s="120"/>
      <c r="O28" s="70"/>
      <c r="P28" s="70"/>
      <c r="Q28" s="70"/>
      <c r="R28" s="70"/>
      <c r="S28" s="70"/>
      <c r="T28" s="120"/>
      <c r="U28" s="120"/>
      <c r="V28" s="70"/>
      <c r="W28" s="70"/>
      <c r="X28" s="70"/>
      <c r="Y28" s="70"/>
      <c r="Z28" s="70"/>
      <c r="AA28" s="120"/>
      <c r="AB28" s="120"/>
      <c r="AC28" s="70"/>
      <c r="AD28" s="70"/>
      <c r="AE28" s="70"/>
      <c r="AF28" s="70"/>
      <c r="AG28" s="70"/>
      <c r="AH28" s="120"/>
      <c r="AI28" s="120"/>
      <c r="AJ28" s="79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120"/>
      <c r="G29" s="120"/>
      <c r="H29" s="70"/>
      <c r="I29" s="70"/>
      <c r="J29" s="70"/>
      <c r="K29" s="70"/>
      <c r="L29" s="70"/>
      <c r="M29" s="120"/>
      <c r="N29" s="120"/>
      <c r="O29" s="70"/>
      <c r="P29" s="70"/>
      <c r="Q29" s="70"/>
      <c r="R29" s="70"/>
      <c r="S29" s="70"/>
      <c r="T29" s="120"/>
      <c r="U29" s="120"/>
      <c r="V29" s="70"/>
      <c r="W29" s="70"/>
      <c r="X29" s="70"/>
      <c r="Y29" s="70"/>
      <c r="Z29" s="70"/>
      <c r="AA29" s="120"/>
      <c r="AB29" s="120"/>
      <c r="AC29" s="70"/>
      <c r="AD29" s="70"/>
      <c r="AE29" s="70"/>
      <c r="AF29" s="70"/>
      <c r="AG29" s="70"/>
      <c r="AH29" s="120"/>
      <c r="AI29" s="120"/>
      <c r="AJ29" s="79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120"/>
      <c r="G30" s="120"/>
      <c r="H30" s="70"/>
      <c r="I30" s="70"/>
      <c r="J30" s="70"/>
      <c r="K30" s="70"/>
      <c r="L30" s="70"/>
      <c r="M30" s="120"/>
      <c r="N30" s="120"/>
      <c r="O30" s="70"/>
      <c r="P30" s="70"/>
      <c r="Q30" s="70"/>
      <c r="R30" s="70"/>
      <c r="S30" s="70"/>
      <c r="T30" s="120"/>
      <c r="U30" s="120"/>
      <c r="V30" s="70"/>
      <c r="W30" s="70"/>
      <c r="X30" s="70"/>
      <c r="Y30" s="70"/>
      <c r="Z30" s="70"/>
      <c r="AA30" s="120"/>
      <c r="AB30" s="120"/>
      <c r="AC30" s="70"/>
      <c r="AD30" s="70"/>
      <c r="AE30" s="70"/>
      <c r="AF30" s="70"/>
      <c r="AG30" s="70"/>
      <c r="AH30" s="120"/>
      <c r="AI30" s="120"/>
      <c r="AJ30" s="79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120"/>
      <c r="G31" s="120"/>
      <c r="H31" s="70"/>
      <c r="I31" s="70"/>
      <c r="J31" s="70"/>
      <c r="K31" s="70"/>
      <c r="L31" s="70"/>
      <c r="M31" s="120"/>
      <c r="N31" s="120"/>
      <c r="O31" s="70"/>
      <c r="P31" s="70"/>
      <c r="Q31" s="70"/>
      <c r="R31" s="70"/>
      <c r="S31" s="70"/>
      <c r="T31" s="120"/>
      <c r="U31" s="120"/>
      <c r="V31" s="70"/>
      <c r="W31" s="70"/>
      <c r="X31" s="70"/>
      <c r="Y31" s="70"/>
      <c r="Z31" s="70"/>
      <c r="AA31" s="120"/>
      <c r="AB31" s="120"/>
      <c r="AC31" s="70"/>
      <c r="AD31" s="70"/>
      <c r="AE31" s="70"/>
      <c r="AF31" s="70"/>
      <c r="AG31" s="70"/>
      <c r="AH31" s="120"/>
      <c r="AI31" s="120"/>
      <c r="AJ31" s="79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120"/>
      <c r="G32" s="128"/>
      <c r="H32" s="70"/>
      <c r="I32" s="70"/>
      <c r="J32" s="70"/>
      <c r="K32" s="108"/>
      <c r="L32" s="108"/>
      <c r="M32" s="128"/>
      <c r="N32" s="128"/>
      <c r="O32" s="108"/>
      <c r="P32" s="70"/>
      <c r="Q32" s="70"/>
      <c r="R32" s="70"/>
      <c r="S32" s="108"/>
      <c r="T32" s="128"/>
      <c r="U32" s="128"/>
      <c r="V32" s="108"/>
      <c r="W32" s="108"/>
      <c r="X32" s="108"/>
      <c r="Y32" s="108"/>
      <c r="Z32" s="108"/>
      <c r="AA32" s="128"/>
      <c r="AB32" s="128"/>
      <c r="AC32" s="108"/>
      <c r="AD32" s="108"/>
      <c r="AE32" s="108"/>
      <c r="AF32" s="108"/>
      <c r="AG32" s="108"/>
      <c r="AH32" s="158"/>
      <c r="AI32" s="158"/>
      <c r="AJ32" s="147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120"/>
      <c r="G33" s="120"/>
      <c r="H33" s="70"/>
      <c r="I33" s="70"/>
      <c r="J33" s="70"/>
      <c r="K33" s="70"/>
      <c r="L33" s="70"/>
      <c r="M33" s="120"/>
      <c r="N33" s="120"/>
      <c r="O33" s="70"/>
      <c r="P33" s="70"/>
      <c r="Q33" s="70"/>
      <c r="R33" s="70"/>
      <c r="S33" s="70"/>
      <c r="T33" s="120"/>
      <c r="U33" s="120"/>
      <c r="V33" s="70"/>
      <c r="W33" s="70"/>
      <c r="X33" s="70"/>
      <c r="Y33" s="70"/>
      <c r="Z33" s="70"/>
      <c r="AA33" s="120"/>
      <c r="AB33" s="120"/>
      <c r="AC33" s="70"/>
      <c r="AD33" s="70"/>
      <c r="AE33" s="70"/>
      <c r="AF33" s="70"/>
      <c r="AG33" s="70"/>
      <c r="AH33" s="120"/>
      <c r="AI33" s="120"/>
      <c r="AJ33" s="79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120"/>
      <c r="G34" s="120"/>
      <c r="H34" s="70"/>
      <c r="I34" s="70"/>
      <c r="J34" s="70"/>
      <c r="K34" s="70"/>
      <c r="L34" s="70"/>
      <c r="M34" s="120"/>
      <c r="N34" s="120"/>
      <c r="O34" s="70"/>
      <c r="P34" s="70"/>
      <c r="Q34" s="70"/>
      <c r="R34" s="70"/>
      <c r="S34" s="70"/>
      <c r="T34" s="120"/>
      <c r="U34" s="120"/>
      <c r="V34" s="70"/>
      <c r="W34" s="70"/>
      <c r="X34" s="70"/>
      <c r="Y34" s="70"/>
      <c r="Z34" s="70"/>
      <c r="AA34" s="120"/>
      <c r="AB34" s="120"/>
      <c r="AC34" s="70"/>
      <c r="AD34" s="70"/>
      <c r="AE34" s="70"/>
      <c r="AF34" s="70"/>
      <c r="AG34" s="70"/>
      <c r="AH34" s="120"/>
      <c r="AI34" s="120"/>
      <c r="AJ34" s="79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120"/>
      <c r="G35" s="120"/>
      <c r="H35" s="70"/>
      <c r="I35" s="70"/>
      <c r="J35" s="70"/>
      <c r="K35" s="70"/>
      <c r="L35" s="70"/>
      <c r="M35" s="120"/>
      <c r="N35" s="120"/>
      <c r="O35" s="70"/>
      <c r="P35" s="70"/>
      <c r="Q35" s="70"/>
      <c r="R35" s="70"/>
      <c r="S35" s="70"/>
      <c r="T35" s="120"/>
      <c r="U35" s="120"/>
      <c r="V35" s="70"/>
      <c r="W35" s="70"/>
      <c r="X35" s="70"/>
      <c r="Y35" s="70"/>
      <c r="Z35" s="70"/>
      <c r="AA35" s="120"/>
      <c r="AB35" s="120"/>
      <c r="AC35" s="70"/>
      <c r="AD35" s="70"/>
      <c r="AE35" s="70"/>
      <c r="AF35" s="70"/>
      <c r="AG35" s="70"/>
      <c r="AH35" s="120"/>
      <c r="AI35" s="120"/>
      <c r="AJ35" s="79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120"/>
      <c r="G36" s="120"/>
      <c r="H36" s="70"/>
      <c r="I36" s="70"/>
      <c r="J36" s="70"/>
      <c r="K36" s="70"/>
      <c r="L36" s="70"/>
      <c r="M36" s="120"/>
      <c r="N36" s="120"/>
      <c r="O36" s="70"/>
      <c r="P36" s="70"/>
      <c r="Q36" s="70"/>
      <c r="R36" s="70"/>
      <c r="S36" s="70"/>
      <c r="T36" s="120"/>
      <c r="U36" s="120"/>
      <c r="V36" s="70"/>
      <c r="W36" s="70"/>
      <c r="X36" s="70"/>
      <c r="Y36" s="70"/>
      <c r="Z36" s="70"/>
      <c r="AA36" s="120"/>
      <c r="AB36" s="120"/>
      <c r="AC36" s="70"/>
      <c r="AD36" s="70"/>
      <c r="AE36" s="70"/>
      <c r="AF36" s="70"/>
      <c r="AG36" s="70"/>
      <c r="AH36" s="120"/>
      <c r="AI36" s="120"/>
      <c r="AJ36" s="79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8"/>
      <c r="G37" s="68"/>
      <c r="H37" s="64"/>
      <c r="I37" s="64"/>
      <c r="J37" s="64"/>
      <c r="K37" s="64"/>
      <c r="L37" s="64"/>
      <c r="M37" s="68"/>
      <c r="N37" s="68"/>
      <c r="O37" s="64"/>
      <c r="P37" s="64"/>
      <c r="Q37" s="64"/>
      <c r="R37" s="64"/>
      <c r="S37" s="64"/>
      <c r="T37" s="68"/>
      <c r="U37" s="68"/>
      <c r="V37" s="64"/>
      <c r="W37" s="64"/>
      <c r="X37" s="64"/>
      <c r="Y37" s="64"/>
      <c r="Z37" s="64"/>
      <c r="AA37" s="68"/>
      <c r="AB37" s="68"/>
      <c r="AC37" s="64"/>
      <c r="AD37" s="64"/>
      <c r="AE37" s="64"/>
      <c r="AF37" s="64"/>
      <c r="AG37" s="64"/>
      <c r="AH37" s="68"/>
      <c r="AI37" s="68"/>
      <c r="AJ37" s="65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8"/>
      <c r="G38" s="68"/>
      <c r="H38" s="64"/>
      <c r="I38" s="64"/>
      <c r="J38" s="64"/>
      <c r="K38" s="64"/>
      <c r="L38" s="64"/>
      <c r="M38" s="68"/>
      <c r="N38" s="68"/>
      <c r="O38" s="64"/>
      <c r="P38" s="64"/>
      <c r="Q38" s="64"/>
      <c r="R38" s="64"/>
      <c r="S38" s="64"/>
      <c r="T38" s="68"/>
      <c r="U38" s="68"/>
      <c r="V38" s="64"/>
      <c r="W38" s="64"/>
      <c r="X38" s="64"/>
      <c r="Y38" s="64"/>
      <c r="Z38" s="64"/>
      <c r="AA38" s="68"/>
      <c r="AB38" s="68"/>
      <c r="AC38" s="64"/>
      <c r="AD38" s="64"/>
      <c r="AE38" s="64"/>
      <c r="AF38" s="64"/>
      <c r="AG38" s="64"/>
      <c r="AH38" s="68"/>
      <c r="AI38" s="68"/>
      <c r="AJ38" s="65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120"/>
      <c r="G39" s="120"/>
      <c r="H39" s="70"/>
      <c r="I39" s="70"/>
      <c r="J39" s="70"/>
      <c r="K39" s="70"/>
      <c r="L39" s="70"/>
      <c r="M39" s="120"/>
      <c r="N39" s="120"/>
      <c r="O39" s="70"/>
      <c r="P39" s="70"/>
      <c r="Q39" s="70"/>
      <c r="R39" s="70"/>
      <c r="S39" s="70"/>
      <c r="T39" s="120"/>
      <c r="U39" s="120"/>
      <c r="V39" s="70"/>
      <c r="W39" s="70"/>
      <c r="X39" s="70"/>
      <c r="Y39" s="70"/>
      <c r="Z39" s="70"/>
      <c r="AA39" s="120"/>
      <c r="AB39" s="120"/>
      <c r="AC39" s="70"/>
      <c r="AD39" s="70"/>
      <c r="AE39" s="70"/>
      <c r="AF39" s="70"/>
      <c r="AG39" s="70"/>
      <c r="AH39" s="120"/>
      <c r="AI39" s="120"/>
      <c r="AJ39" s="79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124"/>
      <c r="G40" s="124"/>
      <c r="H40" s="92"/>
      <c r="I40" s="92"/>
      <c r="J40" s="92"/>
      <c r="K40" s="92"/>
      <c r="L40" s="92"/>
      <c r="M40" s="124"/>
      <c r="N40" s="124"/>
      <c r="O40" s="92"/>
      <c r="P40" s="92"/>
      <c r="Q40" s="92"/>
      <c r="R40" s="92"/>
      <c r="S40" s="92"/>
      <c r="T40" s="124"/>
      <c r="U40" s="124"/>
      <c r="V40" s="92"/>
      <c r="W40" s="92"/>
      <c r="X40" s="92"/>
      <c r="Y40" s="92"/>
      <c r="Z40" s="92"/>
      <c r="AA40" s="124"/>
      <c r="AB40" s="124"/>
      <c r="AC40" s="92"/>
      <c r="AD40" s="92"/>
      <c r="AE40" s="92"/>
      <c r="AF40" s="92"/>
      <c r="AG40" s="92"/>
      <c r="AH40" s="124"/>
      <c r="AI40" s="124"/>
      <c r="AJ40" s="93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131"/>
      <c r="H41" s="83"/>
      <c r="T41" s="131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8"/>
      <c r="G42" s="127"/>
      <c r="H42" s="62"/>
      <c r="I42" s="62"/>
      <c r="J42" s="62"/>
      <c r="K42" s="62"/>
      <c r="L42" s="64"/>
      <c r="M42" s="68"/>
      <c r="N42" s="127"/>
      <c r="O42" s="62"/>
      <c r="P42" s="62"/>
      <c r="Q42" s="62"/>
      <c r="R42" s="62"/>
      <c r="S42" s="64"/>
      <c r="T42" s="68"/>
      <c r="U42" s="127"/>
      <c r="V42" s="62"/>
      <c r="W42" s="62"/>
      <c r="X42" s="62"/>
      <c r="Y42" s="62"/>
      <c r="Z42" s="64"/>
      <c r="AA42" s="68"/>
      <c r="AB42" s="127"/>
      <c r="AC42" s="62"/>
      <c r="AD42" s="62"/>
      <c r="AE42" s="62"/>
      <c r="AF42" s="62"/>
      <c r="AG42" s="64"/>
      <c r="AH42" s="125"/>
      <c r="AI42" s="125"/>
      <c r="AJ42" s="13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127"/>
      <c r="H43" s="62"/>
      <c r="I43" s="62"/>
      <c r="J43" s="62"/>
      <c r="K43" s="62"/>
      <c r="N43" s="127"/>
      <c r="O43" s="62"/>
      <c r="P43" s="62"/>
      <c r="Q43" s="62"/>
      <c r="R43" s="62"/>
      <c r="U43" s="127"/>
      <c r="V43" s="62"/>
      <c r="W43" s="62"/>
      <c r="X43" s="62"/>
      <c r="Y43" s="62"/>
      <c r="AB43" s="127"/>
      <c r="AC43" s="62"/>
      <c r="AD43" s="62"/>
      <c r="AE43" s="62"/>
      <c r="AF43" s="62"/>
      <c r="AH43" s="125"/>
      <c r="AI43" s="125"/>
      <c r="AJ43" s="132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8"/>
      <c r="G44" s="127"/>
      <c r="H44" s="62"/>
      <c r="I44" s="62"/>
      <c r="J44" s="62"/>
      <c r="K44" s="62"/>
      <c r="L44" s="64"/>
      <c r="M44" s="68"/>
      <c r="N44" s="127"/>
      <c r="O44" s="62"/>
      <c r="P44" s="62"/>
      <c r="Q44" s="62"/>
      <c r="R44" s="62"/>
      <c r="S44" s="64"/>
      <c r="T44" s="68"/>
      <c r="U44" s="127"/>
      <c r="V44" s="62"/>
      <c r="W44" s="62"/>
      <c r="X44" s="62"/>
      <c r="Y44" s="62"/>
      <c r="Z44" s="64"/>
      <c r="AA44" s="68"/>
      <c r="AB44" s="127"/>
      <c r="AC44" s="62"/>
      <c r="AD44" s="62"/>
      <c r="AE44" s="62"/>
      <c r="AF44" s="62"/>
      <c r="AG44" s="64"/>
      <c r="AH44" s="125"/>
      <c r="AI44" s="125"/>
      <c r="AJ44" s="132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8"/>
      <c r="G45" s="127"/>
      <c r="H45" s="62"/>
      <c r="I45" s="62"/>
      <c r="J45" s="62"/>
      <c r="K45" s="62"/>
      <c r="L45" s="64"/>
      <c r="M45" s="68"/>
      <c r="N45" s="127"/>
      <c r="O45" s="62"/>
      <c r="P45" s="62"/>
      <c r="Q45" s="62"/>
      <c r="R45" s="62"/>
      <c r="S45" s="64"/>
      <c r="T45" s="68"/>
      <c r="U45" s="127"/>
      <c r="V45" s="62"/>
      <c r="W45" s="62"/>
      <c r="X45" s="62"/>
      <c r="Y45" s="62"/>
      <c r="Z45" s="64"/>
      <c r="AA45" s="68"/>
      <c r="AB45" s="127"/>
      <c r="AC45" s="62"/>
      <c r="AD45" s="62"/>
      <c r="AE45" s="62"/>
      <c r="AF45" s="62"/>
      <c r="AG45" s="64"/>
      <c r="AH45" s="125"/>
      <c r="AI45" s="125"/>
      <c r="AJ45" s="132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8"/>
      <c r="G46" s="127"/>
      <c r="H46" s="62"/>
      <c r="I46" s="62"/>
      <c r="J46" s="62"/>
      <c r="K46" s="62"/>
      <c r="L46" s="64"/>
      <c r="M46" s="68"/>
      <c r="N46" s="127"/>
      <c r="O46" s="62"/>
      <c r="P46" s="62"/>
      <c r="Q46" s="62"/>
      <c r="R46" s="62"/>
      <c r="S46" s="64"/>
      <c r="T46" s="68"/>
      <c r="U46" s="127"/>
      <c r="V46" s="62"/>
      <c r="W46" s="62"/>
      <c r="X46" s="62"/>
      <c r="Y46" s="62"/>
      <c r="Z46" s="64"/>
      <c r="AA46" s="68"/>
      <c r="AB46" s="127"/>
      <c r="AC46" s="62"/>
      <c r="AD46" s="62"/>
      <c r="AE46" s="62"/>
      <c r="AF46" s="62"/>
      <c r="AG46" s="64"/>
      <c r="AH46" s="125"/>
      <c r="AI46" s="125"/>
      <c r="AJ46" s="104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8"/>
      <c r="G47" s="127"/>
      <c r="H47" s="62"/>
      <c r="I47" s="62"/>
      <c r="J47" s="62"/>
      <c r="K47" s="62"/>
      <c r="L47" s="64"/>
      <c r="M47" s="68"/>
      <c r="N47" s="127"/>
      <c r="O47" s="62"/>
      <c r="P47" s="62"/>
      <c r="Q47" s="62"/>
      <c r="R47" s="62"/>
      <c r="S47" s="64"/>
      <c r="T47" s="68"/>
      <c r="U47" s="127"/>
      <c r="V47" s="62"/>
      <c r="W47" s="62"/>
      <c r="X47" s="62"/>
      <c r="Y47" s="62"/>
      <c r="Z47" s="64"/>
      <c r="AA47" s="68"/>
      <c r="AB47" s="127"/>
      <c r="AC47" s="62"/>
      <c r="AD47" s="62"/>
      <c r="AE47" s="62"/>
      <c r="AF47" s="62"/>
      <c r="AG47" s="64"/>
      <c r="AH47" s="125"/>
      <c r="AI47" s="125"/>
      <c r="AJ47" s="132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8"/>
      <c r="G48" s="127"/>
      <c r="H48" s="62"/>
      <c r="I48" s="62"/>
      <c r="J48" s="62"/>
      <c r="K48" s="62"/>
      <c r="L48" s="64"/>
      <c r="M48" s="68"/>
      <c r="N48" s="127"/>
      <c r="O48" s="62"/>
      <c r="P48" s="62"/>
      <c r="Q48" s="62"/>
      <c r="R48" s="62"/>
      <c r="S48" s="64"/>
      <c r="T48" s="68"/>
      <c r="U48" s="127"/>
      <c r="V48" s="62"/>
      <c r="W48" s="62"/>
      <c r="X48" s="62"/>
      <c r="Y48" s="62"/>
      <c r="Z48" s="64"/>
      <c r="AA48" s="68"/>
      <c r="AB48" s="127"/>
      <c r="AC48" s="62"/>
      <c r="AD48" s="62"/>
      <c r="AE48" s="62"/>
      <c r="AF48" s="62"/>
      <c r="AG48" s="64"/>
      <c r="AH48" s="125"/>
      <c r="AI48" s="125"/>
      <c r="AJ48" s="132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8"/>
      <c r="G49" s="127"/>
      <c r="H49" s="62"/>
      <c r="I49" s="62"/>
      <c r="J49" s="62"/>
      <c r="K49" s="62"/>
      <c r="L49" s="64"/>
      <c r="M49" s="68"/>
      <c r="N49" s="127"/>
      <c r="O49" s="62"/>
      <c r="P49" s="62"/>
      <c r="Q49" s="62"/>
      <c r="R49" s="62"/>
      <c r="S49" s="64"/>
      <c r="T49" s="68"/>
      <c r="U49" s="127"/>
      <c r="V49" s="62"/>
      <c r="W49" s="62"/>
      <c r="X49" s="62"/>
      <c r="Y49" s="62"/>
      <c r="Z49" s="64"/>
      <c r="AA49" s="68"/>
      <c r="AB49" s="127"/>
      <c r="AC49" s="62"/>
      <c r="AD49" s="62"/>
      <c r="AE49" s="62"/>
      <c r="AF49" s="62"/>
      <c r="AG49" s="64"/>
      <c r="AH49" s="125"/>
      <c r="AI49" s="125"/>
      <c r="AJ49" s="132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8"/>
      <c r="G50" s="127"/>
      <c r="H50" s="62"/>
      <c r="I50" s="62"/>
      <c r="J50" s="62"/>
      <c r="K50" s="62"/>
      <c r="L50" s="64"/>
      <c r="M50" s="68"/>
      <c r="N50" s="127"/>
      <c r="O50" s="62"/>
      <c r="P50" s="62"/>
      <c r="Q50" s="62"/>
      <c r="R50" s="62"/>
      <c r="S50" s="64"/>
      <c r="T50" s="68"/>
      <c r="U50" s="127"/>
      <c r="V50" s="62"/>
      <c r="W50" s="62"/>
      <c r="X50" s="62"/>
      <c r="Y50" s="62"/>
      <c r="Z50" s="64"/>
      <c r="AA50" s="68"/>
      <c r="AB50" s="127"/>
      <c r="AC50" s="62"/>
      <c r="AD50" s="62"/>
      <c r="AE50" s="62"/>
      <c r="AF50" s="62"/>
      <c r="AG50" s="64"/>
      <c r="AH50" s="125"/>
      <c r="AI50" s="125"/>
      <c r="AJ50" s="132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8"/>
      <c r="G51" s="127"/>
      <c r="H51" s="62"/>
      <c r="I51" s="62"/>
      <c r="J51" s="62"/>
      <c r="K51" s="62"/>
      <c r="L51" s="64"/>
      <c r="M51" s="68"/>
      <c r="N51" s="127"/>
      <c r="O51" s="62"/>
      <c r="P51" s="62"/>
      <c r="Q51" s="62"/>
      <c r="R51" s="62"/>
      <c r="S51" s="64"/>
      <c r="T51" s="68"/>
      <c r="U51" s="127"/>
      <c r="V51" s="62"/>
      <c r="W51" s="62"/>
      <c r="X51" s="62"/>
      <c r="Y51" s="62"/>
      <c r="Z51" s="64"/>
      <c r="AA51" s="68"/>
      <c r="AB51" s="127"/>
      <c r="AC51" s="62"/>
      <c r="AD51" s="62"/>
      <c r="AE51" s="62"/>
      <c r="AF51" s="62"/>
      <c r="AG51" s="64"/>
      <c r="AH51" s="125"/>
      <c r="AI51" s="125"/>
      <c r="AJ51" s="132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8"/>
      <c r="G52" s="127"/>
      <c r="H52" s="62"/>
      <c r="I52" s="62"/>
      <c r="J52" s="62"/>
      <c r="K52" s="62"/>
      <c r="L52" s="64"/>
      <c r="M52" s="68"/>
      <c r="N52" s="127"/>
      <c r="O52" s="62"/>
      <c r="P52" s="62"/>
      <c r="Q52" s="62"/>
      <c r="R52" s="62"/>
      <c r="S52" s="64"/>
      <c r="T52" s="68"/>
      <c r="U52" s="127"/>
      <c r="V52" s="62"/>
      <c r="W52" s="62"/>
      <c r="X52" s="62"/>
      <c r="Y52" s="62"/>
      <c r="Z52" s="64"/>
      <c r="AA52" s="68"/>
      <c r="AB52" s="127"/>
      <c r="AC52" s="62"/>
      <c r="AD52" s="62"/>
      <c r="AE52" s="62"/>
      <c r="AF52" s="62"/>
      <c r="AG52" s="64"/>
      <c r="AH52" s="125"/>
      <c r="AI52" s="125"/>
      <c r="AJ52" s="13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8"/>
      <c r="G53" s="127"/>
      <c r="H53" s="62"/>
      <c r="I53" s="62"/>
      <c r="J53" s="62"/>
      <c r="K53" s="62"/>
      <c r="L53" s="64"/>
      <c r="M53" s="68"/>
      <c r="N53" s="127"/>
      <c r="O53" s="62"/>
      <c r="P53" s="62"/>
      <c r="Q53" s="62"/>
      <c r="R53" s="62"/>
      <c r="S53" s="64"/>
      <c r="T53" s="68"/>
      <c r="U53" s="127"/>
      <c r="V53" s="62"/>
      <c r="W53" s="62"/>
      <c r="X53" s="62"/>
      <c r="Y53" s="62"/>
      <c r="Z53" s="64"/>
      <c r="AA53" s="68"/>
      <c r="AB53" s="127"/>
      <c r="AC53" s="62"/>
      <c r="AD53" s="62"/>
      <c r="AE53" s="62"/>
      <c r="AF53" s="62"/>
      <c r="AG53" s="64"/>
      <c r="AH53" s="125"/>
      <c r="AI53" s="125"/>
      <c r="AJ53" s="132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8"/>
      <c r="G54" s="127"/>
      <c r="H54" s="62"/>
      <c r="I54" s="62"/>
      <c r="J54" s="62"/>
      <c r="K54" s="62"/>
      <c r="L54" s="64"/>
      <c r="M54" s="68"/>
      <c r="N54" s="127"/>
      <c r="O54" s="62"/>
      <c r="P54" s="62"/>
      <c r="Q54" s="62"/>
      <c r="R54" s="62"/>
      <c r="S54" s="64"/>
      <c r="T54" s="68"/>
      <c r="U54" s="127"/>
      <c r="V54" s="62"/>
      <c r="W54" s="62"/>
      <c r="X54" s="62"/>
      <c r="Y54" s="62"/>
      <c r="Z54" s="64"/>
      <c r="AA54" s="68"/>
      <c r="AB54" s="127"/>
      <c r="AC54" s="62"/>
      <c r="AD54" s="62"/>
      <c r="AE54" s="62"/>
      <c r="AF54" s="62"/>
      <c r="AG54" s="64"/>
      <c r="AH54" s="125"/>
      <c r="AI54" s="125"/>
      <c r="AJ54" s="132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8"/>
      <c r="G55" s="127"/>
      <c r="H55" s="62"/>
      <c r="I55" s="62"/>
      <c r="J55" s="62"/>
      <c r="K55" s="62"/>
      <c r="L55" s="64"/>
      <c r="M55" s="68"/>
      <c r="N55" s="127"/>
      <c r="O55" s="62"/>
      <c r="P55" s="62"/>
      <c r="Q55" s="62"/>
      <c r="R55" s="62"/>
      <c r="S55" s="64"/>
      <c r="T55" s="68"/>
      <c r="U55" s="127"/>
      <c r="V55" s="62"/>
      <c r="W55" s="62"/>
      <c r="X55" s="62"/>
      <c r="Y55" s="62"/>
      <c r="Z55" s="64"/>
      <c r="AA55" s="68"/>
      <c r="AB55" s="127"/>
      <c r="AC55" s="62"/>
      <c r="AD55" s="62"/>
      <c r="AE55" s="62"/>
      <c r="AF55" s="62"/>
      <c r="AG55" s="64"/>
      <c r="AH55" s="125"/>
      <c r="AI55" s="125"/>
      <c r="AJ55" s="132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8"/>
      <c r="G56" s="127"/>
      <c r="H56" s="62"/>
      <c r="I56" s="62"/>
      <c r="J56" s="62"/>
      <c r="K56" s="62"/>
      <c r="L56" s="64"/>
      <c r="M56" s="68"/>
      <c r="N56" s="127"/>
      <c r="O56" s="62"/>
      <c r="P56" s="62"/>
      <c r="Q56" s="62"/>
      <c r="R56" s="62"/>
      <c r="S56" s="64"/>
      <c r="T56" s="68"/>
      <c r="U56" s="127"/>
      <c r="V56" s="62"/>
      <c r="W56" s="62"/>
      <c r="X56" s="62"/>
      <c r="Y56" s="62"/>
      <c r="Z56" s="64"/>
      <c r="AA56" s="68"/>
      <c r="AB56" s="127"/>
      <c r="AC56" s="62"/>
      <c r="AD56" s="62"/>
      <c r="AE56" s="62"/>
      <c r="AF56" s="62"/>
      <c r="AG56" s="64"/>
      <c r="AH56" s="125"/>
      <c r="AI56" s="125"/>
      <c r="AJ56" s="132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8"/>
      <c r="G57" s="127"/>
      <c r="H57" s="62"/>
      <c r="I57" s="62"/>
      <c r="J57" s="62"/>
      <c r="K57" s="62"/>
      <c r="L57" s="64"/>
      <c r="M57" s="68"/>
      <c r="N57" s="127"/>
      <c r="O57" s="62"/>
      <c r="P57" s="62"/>
      <c r="Q57" s="62"/>
      <c r="R57" s="62"/>
      <c r="S57" s="64"/>
      <c r="T57" s="68"/>
      <c r="U57" s="127"/>
      <c r="V57" s="62"/>
      <c r="W57" s="62"/>
      <c r="X57" s="62"/>
      <c r="Y57" s="62"/>
      <c r="Z57" s="64"/>
      <c r="AA57" s="68"/>
      <c r="AB57" s="127"/>
      <c r="AC57" s="62"/>
      <c r="AD57" s="62"/>
      <c r="AE57" s="62"/>
      <c r="AF57" s="62"/>
      <c r="AG57" s="64"/>
      <c r="AH57" s="125"/>
      <c r="AI57" s="125"/>
      <c r="AJ57" s="132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8"/>
      <c r="G58" s="127"/>
      <c r="H58" s="62"/>
      <c r="I58" s="62"/>
      <c r="J58" s="62"/>
      <c r="K58" s="62"/>
      <c r="L58" s="64"/>
      <c r="M58" s="68"/>
      <c r="N58" s="127"/>
      <c r="O58" s="62"/>
      <c r="P58" s="62"/>
      <c r="Q58" s="62"/>
      <c r="R58" s="62"/>
      <c r="S58" s="64"/>
      <c r="T58" s="68"/>
      <c r="U58" s="127"/>
      <c r="V58" s="62"/>
      <c r="W58" s="62"/>
      <c r="X58" s="62"/>
      <c r="Y58" s="62"/>
      <c r="Z58" s="64"/>
      <c r="AA58" s="68"/>
      <c r="AB58" s="127"/>
      <c r="AC58" s="62"/>
      <c r="AD58" s="62"/>
      <c r="AE58" s="62"/>
      <c r="AF58" s="62"/>
      <c r="AG58" s="64"/>
      <c r="AH58" s="125"/>
      <c r="AI58" s="125"/>
      <c r="AJ58" s="132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120"/>
      <c r="G59" s="120"/>
      <c r="H59" s="70"/>
      <c r="I59" s="70"/>
      <c r="J59" s="70"/>
      <c r="M59" s="120"/>
      <c r="N59" s="120"/>
      <c r="O59" s="70"/>
      <c r="P59" s="70"/>
      <c r="Q59" s="70"/>
      <c r="T59" s="120"/>
      <c r="U59" s="120"/>
      <c r="V59" s="70"/>
      <c r="W59" s="70"/>
      <c r="X59" s="70"/>
      <c r="AA59" s="120"/>
      <c r="AB59" s="120"/>
      <c r="AC59" s="70"/>
      <c r="AD59" s="70"/>
      <c r="AE59" s="70"/>
      <c r="AH59" s="120"/>
      <c r="AI59" s="120"/>
      <c r="AJ59" s="79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121"/>
      <c r="G60" s="121"/>
      <c r="H60" s="73"/>
      <c r="I60" s="73"/>
      <c r="J60" s="73"/>
      <c r="K60" s="92"/>
      <c r="L60" s="92"/>
      <c r="M60" s="121"/>
      <c r="N60" s="121"/>
      <c r="O60" s="73"/>
      <c r="P60" s="73"/>
      <c r="Q60" s="73"/>
      <c r="R60" s="92"/>
      <c r="S60" s="92"/>
      <c r="T60" s="121"/>
      <c r="U60" s="121"/>
      <c r="V60" s="73"/>
      <c r="W60" s="73"/>
      <c r="X60" s="73"/>
      <c r="Y60" s="92"/>
      <c r="Z60" s="92"/>
      <c r="AA60" s="121"/>
      <c r="AB60" s="121"/>
      <c r="AC60" s="73"/>
      <c r="AD60" s="73"/>
      <c r="AE60" s="73"/>
      <c r="AF60" s="92"/>
      <c r="AG60" s="92"/>
      <c r="AH60" s="121"/>
      <c r="AI60" s="121"/>
      <c r="AJ60" s="74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120"/>
      <c r="G61" s="120"/>
      <c r="H61" s="70"/>
      <c r="I61" s="70"/>
      <c r="J61" s="70"/>
      <c r="M61" s="120"/>
      <c r="N61" s="120"/>
      <c r="O61" s="70"/>
      <c r="P61" s="70"/>
      <c r="Q61" s="70"/>
      <c r="T61" s="120"/>
      <c r="U61" s="120"/>
      <c r="V61" s="70"/>
      <c r="W61" s="70"/>
      <c r="X61" s="70"/>
      <c r="AA61" s="120"/>
      <c r="AB61" s="120"/>
      <c r="AC61" s="70"/>
      <c r="AD61" s="70"/>
      <c r="AE61" s="70"/>
      <c r="AH61" s="120"/>
      <c r="AI61" s="120"/>
      <c r="AJ61" s="79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122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70"/>
      <c r="N74" s="120"/>
      <c r="O74" s="70"/>
      <c r="P74" s="70"/>
      <c r="R74" s="70"/>
      <c r="S74" s="70"/>
      <c r="T74" s="120"/>
      <c r="U74" s="120"/>
      <c r="V74" s="70"/>
      <c r="W74" s="70"/>
      <c r="X74" s="70"/>
      <c r="Y74" s="70"/>
      <c r="Z74" s="70"/>
      <c r="AA74" s="120"/>
      <c r="AB74" s="120"/>
      <c r="AC74" s="70"/>
      <c r="AD74" s="70"/>
      <c r="AE74" s="70"/>
      <c r="AF74" s="70"/>
      <c r="AG74" s="70"/>
      <c r="AH74" s="120"/>
      <c r="AI74" s="120"/>
      <c r="AJ74" s="79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124"/>
      <c r="G76" s="126"/>
      <c r="H76" s="100"/>
      <c r="I76" s="100"/>
      <c r="J76" s="100"/>
      <c r="K76" s="100"/>
      <c r="L76" s="92"/>
      <c r="M76" s="124"/>
      <c r="N76" s="126"/>
      <c r="O76" s="100"/>
      <c r="P76" s="100"/>
      <c r="Q76" s="100"/>
      <c r="R76" s="100"/>
      <c r="S76" s="92"/>
      <c r="T76" s="124"/>
      <c r="U76" s="126"/>
      <c r="V76" s="100"/>
      <c r="W76" s="100"/>
      <c r="X76" s="100"/>
      <c r="Y76" s="100"/>
      <c r="Z76" s="92"/>
      <c r="AA76" s="124"/>
      <c r="AB76" s="126"/>
      <c r="AC76" s="100"/>
      <c r="AD76" s="100"/>
      <c r="AE76" s="100"/>
      <c r="AF76" s="100"/>
      <c r="AG76" s="92"/>
      <c r="AH76" s="130"/>
      <c r="AI76" s="130"/>
      <c r="AJ76" s="159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70"/>
      <c r="AD83" s="70"/>
      <c r="AF83" s="70"/>
      <c r="AG83" s="70"/>
      <c r="AI83" s="120"/>
      <c r="AJ83" s="79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124"/>
      <c r="G87" s="124"/>
      <c r="H87" s="92"/>
      <c r="I87" s="92"/>
      <c r="J87" s="92"/>
      <c r="K87" s="92"/>
      <c r="L87" s="92"/>
      <c r="M87" s="124"/>
      <c r="N87" s="124"/>
      <c r="O87" s="92"/>
      <c r="P87" s="92"/>
      <c r="Q87" s="92"/>
      <c r="R87" s="92"/>
      <c r="S87" s="92"/>
      <c r="T87" s="124"/>
      <c r="U87" s="124"/>
      <c r="V87" s="73"/>
      <c r="W87" s="92"/>
      <c r="X87" s="92"/>
      <c r="Y87" s="73"/>
      <c r="Z87" s="92"/>
      <c r="AA87" s="124"/>
      <c r="AB87" s="124"/>
      <c r="AC87" s="92"/>
      <c r="AD87" s="92"/>
      <c r="AE87" s="92"/>
      <c r="AF87" s="92"/>
      <c r="AG87" s="92"/>
      <c r="AH87" s="124"/>
      <c r="AI87" s="124"/>
      <c r="AJ87" s="93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8"/>
      <c r="G88" s="68"/>
      <c r="H88" s="83"/>
      <c r="I88" s="64"/>
      <c r="J88" s="64"/>
      <c r="K88" s="64"/>
      <c r="L88" s="64"/>
      <c r="M88" s="68"/>
      <c r="N88" s="68"/>
      <c r="O88" s="64"/>
      <c r="P88" s="64"/>
      <c r="Q88" s="64"/>
      <c r="R88" s="64"/>
      <c r="S88" s="64"/>
      <c r="T88" s="68"/>
      <c r="U88" s="68"/>
      <c r="V88" s="64"/>
      <c r="W88"/>
      <c r="X88"/>
      <c r="Y88" s="64"/>
      <c r="Z88" s="64"/>
      <c r="AA88" s="125"/>
      <c r="AB88" s="68"/>
      <c r="AC88" s="64"/>
      <c r="AD88" s="64"/>
      <c r="AE88" s="64"/>
      <c r="AF88" s="64"/>
      <c r="AG88" s="64"/>
      <c r="AH88" s="68"/>
      <c r="AI88" s="68"/>
      <c r="AJ88" s="65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120"/>
      <c r="G89" s="120"/>
      <c r="H89" s="70"/>
      <c r="I89" s="70"/>
      <c r="J89" s="70"/>
      <c r="K89" s="70"/>
      <c r="L89" s="70"/>
      <c r="M89" s="120"/>
      <c r="N89" s="120"/>
      <c r="O89" s="64"/>
      <c r="P89" s="70"/>
      <c r="Q89" s="70"/>
      <c r="R89" s="70"/>
      <c r="S89" s="70"/>
      <c r="T89" s="120"/>
      <c r="U89" s="68"/>
      <c r="V89" s="64"/>
      <c r="W89" s="64"/>
      <c r="X89" s="64"/>
      <c r="Y89" s="70"/>
      <c r="Z89" s="70"/>
      <c r="AA89" s="120"/>
      <c r="AB89" s="120"/>
      <c r="AC89" s="64"/>
      <c r="AD89" s="70"/>
      <c r="AE89" s="64"/>
      <c r="AF89" s="70"/>
      <c r="AG89" s="70"/>
      <c r="AH89" s="120"/>
      <c r="AI89" s="68"/>
      <c r="AJ89" s="79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120"/>
      <c r="G90" s="120"/>
      <c r="H90" s="70"/>
      <c r="I90" s="70"/>
      <c r="J90" s="70"/>
      <c r="K90" s="70"/>
      <c r="L90" s="70"/>
      <c r="M90" s="120"/>
      <c r="N90" s="120"/>
      <c r="O90" s="70"/>
      <c r="P90" s="70"/>
      <c r="Q90" s="70"/>
      <c r="R90" s="70"/>
      <c r="S90" s="70"/>
      <c r="T90" s="120"/>
      <c r="U90" s="120"/>
      <c r="V90" s="70"/>
      <c r="W90" s="70"/>
      <c r="X90" s="70"/>
      <c r="Y90" s="70"/>
      <c r="Z90" s="70"/>
      <c r="AA90" s="120"/>
      <c r="AB90" s="120"/>
      <c r="AC90" s="70"/>
      <c r="AD90" s="70"/>
      <c r="AE90" s="70"/>
      <c r="AF90" s="70"/>
      <c r="AG90" s="70"/>
      <c r="AH90" s="120"/>
      <c r="AI90" s="120"/>
      <c r="AJ90" s="79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120"/>
      <c r="G91" s="120"/>
      <c r="H91" s="70"/>
      <c r="I91" s="70"/>
      <c r="J91" s="70"/>
      <c r="K91" s="70"/>
      <c r="L91" s="70"/>
      <c r="M91" s="120"/>
      <c r="N91" s="120"/>
      <c r="O91" s="70"/>
      <c r="P91" s="70"/>
      <c r="Q91" s="70"/>
      <c r="R91" s="70"/>
      <c r="S91" s="70"/>
      <c r="T91" s="120"/>
      <c r="U91" s="120"/>
      <c r="V91" s="70"/>
      <c r="W91" s="70"/>
      <c r="X91" s="70"/>
      <c r="Y91" s="70"/>
      <c r="Z91" s="70"/>
      <c r="AA91" s="120"/>
      <c r="AB91" s="120"/>
      <c r="AC91" s="70"/>
      <c r="AD91" s="70"/>
      <c r="AE91" s="70"/>
      <c r="AF91" s="70"/>
      <c r="AG91" s="70"/>
      <c r="AH91" s="120"/>
      <c r="AI91" s="120"/>
      <c r="AJ91" s="79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120"/>
      <c r="G92" s="120"/>
      <c r="H92" s="70"/>
      <c r="I92" s="70"/>
      <c r="J92" s="70"/>
      <c r="K92" s="70"/>
      <c r="L92" s="70"/>
      <c r="M92" s="120"/>
      <c r="N92" s="120"/>
      <c r="O92" s="70"/>
      <c r="P92" s="70"/>
      <c r="Q92" s="70"/>
      <c r="R92" s="70"/>
      <c r="S92" s="70"/>
      <c r="T92" s="120"/>
      <c r="U92" s="120"/>
      <c r="V92" s="70"/>
      <c r="W92" s="70"/>
      <c r="X92" s="70"/>
      <c r="Y92" s="70"/>
      <c r="Z92" s="70"/>
      <c r="AA92" s="120"/>
      <c r="AB92" s="120"/>
      <c r="AC92" s="70"/>
      <c r="AD92" s="70"/>
      <c r="AE92" s="70"/>
      <c r="AF92" s="70"/>
      <c r="AG92" s="70"/>
      <c r="AH92" s="120"/>
      <c r="AI92" s="120"/>
      <c r="AJ92" s="79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120"/>
      <c r="G93" s="120"/>
      <c r="H93" s="70"/>
      <c r="I93" s="70"/>
      <c r="J93" s="70"/>
      <c r="K93" s="70"/>
      <c r="L93" s="70"/>
      <c r="M93" s="120"/>
      <c r="N93" s="120"/>
      <c r="O93" s="70"/>
      <c r="P93" s="70"/>
      <c r="Q93" s="70"/>
      <c r="R93" s="70"/>
      <c r="S93" s="70"/>
      <c r="T93" s="120"/>
      <c r="U93" s="120"/>
      <c r="V93" s="70"/>
      <c r="W93" s="70"/>
      <c r="X93" s="70"/>
      <c r="Y93" s="70"/>
      <c r="Z93" s="70"/>
      <c r="AA93" s="120"/>
      <c r="AB93" s="120"/>
      <c r="AC93" s="70"/>
      <c r="AD93" s="70"/>
      <c r="AE93" s="70"/>
      <c r="AF93" s="70"/>
      <c r="AG93" s="70"/>
      <c r="AH93" s="120"/>
      <c r="AI93" s="120"/>
      <c r="AJ93" s="79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120"/>
      <c r="G94" s="120"/>
      <c r="H94" s="70"/>
      <c r="I94" s="70"/>
      <c r="J94" s="70"/>
      <c r="K94" s="70"/>
      <c r="L94" s="70"/>
      <c r="M94" s="120"/>
      <c r="N94" s="120"/>
      <c r="O94" s="70"/>
      <c r="P94" s="70"/>
      <c r="Q94" s="70"/>
      <c r="R94" s="70"/>
      <c r="S94" s="70"/>
      <c r="T94" s="120"/>
      <c r="U94" s="120"/>
      <c r="V94" s="70"/>
      <c r="W94" s="70"/>
      <c r="X94" s="70"/>
      <c r="Y94" s="70"/>
      <c r="Z94" s="70"/>
      <c r="AA94" s="120"/>
      <c r="AB94" s="120"/>
      <c r="AC94" s="70"/>
      <c r="AD94" s="70"/>
      <c r="AE94" s="70"/>
      <c r="AF94" s="70"/>
      <c r="AG94" s="70"/>
      <c r="AH94" s="120"/>
      <c r="AI94" s="120"/>
      <c r="AJ94" s="79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120"/>
      <c r="G95" s="120"/>
      <c r="H95" s="70"/>
      <c r="I95" s="70"/>
      <c r="J95" s="70"/>
      <c r="K95" s="70"/>
      <c r="L95" s="70"/>
      <c r="M95" s="120"/>
      <c r="N95" s="120"/>
      <c r="O95" s="70"/>
      <c r="P95" s="70"/>
      <c r="Q95" s="70"/>
      <c r="R95" s="70"/>
      <c r="S95" s="70"/>
      <c r="T95" s="120"/>
      <c r="U95" s="120"/>
      <c r="V95" s="70"/>
      <c r="W95" s="70"/>
      <c r="X95" s="70"/>
      <c r="Y95" s="70"/>
      <c r="Z95" s="70"/>
      <c r="AA95" s="120"/>
      <c r="AB95" s="120"/>
      <c r="AC95" s="70"/>
      <c r="AD95" s="70"/>
      <c r="AE95" s="70"/>
      <c r="AF95" s="70"/>
      <c r="AG95" s="70"/>
      <c r="AH95" s="120"/>
      <c r="AI95" s="120"/>
      <c r="AJ95" s="79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8"/>
      <c r="G105" s="68"/>
      <c r="H105" s="64"/>
      <c r="I105" s="64"/>
      <c r="J105" s="64"/>
      <c r="K105" s="64"/>
      <c r="L105" s="64"/>
      <c r="M105" s="68"/>
      <c r="N105" s="68"/>
      <c r="O105" s="64"/>
      <c r="P105" s="64"/>
      <c r="Q105" s="64"/>
      <c r="R105" s="64"/>
      <c r="S105" s="64"/>
      <c r="T105" s="68"/>
      <c r="U105" s="68"/>
      <c r="V105" s="64"/>
      <c r="W105" s="64"/>
      <c r="X105" s="64"/>
      <c r="Y105" s="64"/>
      <c r="Z105" s="64"/>
      <c r="AA105" s="68"/>
      <c r="AB105" s="68"/>
      <c r="AC105" s="64"/>
      <c r="AD105" s="64"/>
      <c r="AE105" s="64"/>
      <c r="AF105" s="64"/>
      <c r="AG105" s="64"/>
      <c r="AH105" s="68"/>
      <c r="AI105" s="68"/>
      <c r="AJ105" s="65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8"/>
      <c r="G106" s="68"/>
      <c r="H106" s="64"/>
      <c r="I106" s="64"/>
      <c r="J106" s="64"/>
      <c r="K106" s="64"/>
      <c r="L106" s="64"/>
      <c r="M106" s="68"/>
      <c r="N106" s="68"/>
      <c r="O106" s="64"/>
      <c r="P106" s="64"/>
      <c r="Q106" s="64"/>
      <c r="R106" s="64"/>
      <c r="S106" s="64"/>
      <c r="T106" s="68"/>
      <c r="U106" s="68"/>
      <c r="V106" s="64"/>
      <c r="W106" s="64"/>
      <c r="X106" s="64"/>
      <c r="Y106" s="64"/>
      <c r="Z106" s="64"/>
      <c r="AA106" s="68"/>
      <c r="AB106" s="68"/>
      <c r="AC106" s="64"/>
      <c r="AD106" s="64"/>
      <c r="AE106" s="64"/>
      <c r="AF106" s="64"/>
      <c r="AG106" s="64"/>
      <c r="AH106" s="68"/>
      <c r="AI106" s="68"/>
      <c r="AJ106" s="65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8"/>
      <c r="G107" s="68"/>
      <c r="H107" s="64"/>
      <c r="I107" s="64"/>
      <c r="J107" s="64"/>
      <c r="K107" s="64"/>
      <c r="L107" s="64"/>
      <c r="M107" s="68"/>
      <c r="N107" s="68"/>
      <c r="O107" s="64"/>
      <c r="P107" s="64"/>
      <c r="Q107" s="64"/>
      <c r="R107" s="64"/>
      <c r="S107" s="64"/>
      <c r="T107" s="68"/>
      <c r="U107" s="68"/>
      <c r="V107" s="64"/>
      <c r="W107" s="64"/>
      <c r="X107" s="64"/>
      <c r="Y107" s="64"/>
      <c r="Z107" s="64"/>
      <c r="AA107" s="68"/>
      <c r="AB107" s="68"/>
      <c r="AC107" s="64"/>
      <c r="AD107" s="64"/>
      <c r="AE107" s="64"/>
      <c r="AF107" s="64"/>
      <c r="AG107" s="64"/>
      <c r="AH107" s="68"/>
      <c r="AI107" s="68"/>
      <c r="AJ107" s="65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8"/>
      <c r="G108" s="68"/>
      <c r="H108" s="64"/>
      <c r="I108" s="64"/>
      <c r="J108" s="64"/>
      <c r="K108" s="64"/>
      <c r="L108" s="64"/>
      <c r="M108" s="68"/>
      <c r="N108" s="68"/>
      <c r="O108" s="64"/>
      <c r="P108" s="64"/>
      <c r="Q108" s="64"/>
      <c r="R108" s="64"/>
      <c r="S108" s="64"/>
      <c r="T108" s="68"/>
      <c r="U108" s="68"/>
      <c r="V108" s="64"/>
      <c r="W108" s="64"/>
      <c r="X108" s="64"/>
      <c r="Y108" s="64"/>
      <c r="Z108" s="64"/>
      <c r="AA108" s="68"/>
      <c r="AB108" s="68"/>
      <c r="AC108" s="64"/>
      <c r="AD108" s="64"/>
      <c r="AE108" s="64"/>
      <c r="AF108" s="64"/>
      <c r="AG108" s="64"/>
      <c r="AH108" s="68"/>
      <c r="AI108" s="68"/>
      <c r="AJ108" s="65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8"/>
      <c r="G109" s="68"/>
      <c r="H109" s="64"/>
      <c r="I109" s="64"/>
      <c r="J109" s="64"/>
      <c r="K109" s="64"/>
      <c r="L109" s="64"/>
      <c r="M109" s="68"/>
      <c r="N109" s="68"/>
      <c r="O109" s="64"/>
      <c r="P109" s="64"/>
      <c r="Q109" s="64"/>
      <c r="R109" s="64"/>
      <c r="S109" s="64"/>
      <c r="T109" s="68"/>
      <c r="U109" s="68"/>
      <c r="V109" s="64"/>
      <c r="W109" s="64"/>
      <c r="X109" s="64"/>
      <c r="Y109" s="64"/>
      <c r="Z109" s="64"/>
      <c r="AA109" s="68"/>
      <c r="AB109" s="68"/>
      <c r="AC109" s="64"/>
      <c r="AD109" s="64"/>
      <c r="AE109" s="64"/>
      <c r="AF109" s="64"/>
      <c r="AG109" s="64"/>
      <c r="AH109" s="68"/>
      <c r="AI109" s="68"/>
      <c r="AJ109" s="65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8"/>
      <c r="G110" s="68"/>
      <c r="H110" s="64"/>
      <c r="I110" s="64"/>
      <c r="J110" s="64"/>
      <c r="K110" s="64"/>
      <c r="L110" s="64"/>
      <c r="M110" s="68"/>
      <c r="N110" s="68"/>
      <c r="O110" s="64"/>
      <c r="P110" s="64"/>
      <c r="Q110" s="64"/>
      <c r="R110" s="64"/>
      <c r="S110" s="64"/>
      <c r="T110" s="68"/>
      <c r="U110" s="68"/>
      <c r="V110" s="64"/>
      <c r="W110" s="64"/>
      <c r="X110" s="64"/>
      <c r="Y110" s="64"/>
      <c r="Z110" s="64"/>
      <c r="AA110" s="68"/>
      <c r="AB110" s="68"/>
      <c r="AC110" s="64"/>
      <c r="AD110" s="64"/>
      <c r="AE110" s="64"/>
      <c r="AF110" s="64"/>
      <c r="AG110" s="64"/>
      <c r="AH110" s="68"/>
      <c r="AI110" s="68"/>
      <c r="AJ110" s="65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8"/>
      <c r="G111" s="68"/>
      <c r="H111" s="64"/>
      <c r="I111" s="64"/>
      <c r="J111" s="64"/>
      <c r="K111" s="64"/>
      <c r="L111" s="64"/>
      <c r="M111" s="68"/>
      <c r="N111" s="68"/>
      <c r="O111" s="64"/>
      <c r="P111" s="64"/>
      <c r="Q111" s="64"/>
      <c r="R111" s="64"/>
      <c r="S111" s="64"/>
      <c r="T111" s="68"/>
      <c r="U111" s="68"/>
      <c r="V111" s="64"/>
      <c r="W111" s="64"/>
      <c r="X111" s="64"/>
      <c r="Y111" s="64"/>
      <c r="Z111" s="64"/>
      <c r="AA111" s="68"/>
      <c r="AB111" s="68"/>
      <c r="AC111" s="64"/>
      <c r="AD111" s="64"/>
      <c r="AE111" s="64"/>
      <c r="AF111" s="64"/>
      <c r="AG111" s="64"/>
      <c r="AH111" s="68"/>
      <c r="AI111" s="68"/>
      <c r="AJ111" s="65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8"/>
      <c r="G112" s="68"/>
      <c r="H112" s="64"/>
      <c r="I112" s="64"/>
      <c r="J112" s="64"/>
      <c r="K112" s="64"/>
      <c r="L112" s="64"/>
      <c r="M112" s="68"/>
      <c r="N112" s="68"/>
      <c r="O112" s="64"/>
      <c r="P112" s="64"/>
      <c r="Q112" s="64"/>
      <c r="R112" s="64"/>
      <c r="S112" s="64"/>
      <c r="T112" s="68"/>
      <c r="U112" s="68"/>
      <c r="V112" s="64"/>
      <c r="W112" s="64"/>
      <c r="X112" s="64"/>
      <c r="Y112" s="64"/>
      <c r="Z112" s="64"/>
      <c r="AA112" s="68"/>
      <c r="AB112" s="68"/>
      <c r="AC112" s="64"/>
      <c r="AD112" s="64"/>
      <c r="AE112" s="64"/>
      <c r="AF112" s="64"/>
      <c r="AG112" s="64"/>
      <c r="AH112" s="68"/>
      <c r="AI112" s="68"/>
      <c r="AJ112" s="65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8"/>
      <c r="G113" s="68"/>
      <c r="H113" s="64"/>
      <c r="I113" s="64"/>
      <c r="J113" s="64"/>
      <c r="K113" s="64"/>
      <c r="L113" s="64"/>
      <c r="M113" s="68"/>
      <c r="N113" s="68"/>
      <c r="O113" s="64"/>
      <c r="P113" s="64"/>
      <c r="Q113" s="64"/>
      <c r="R113" s="64"/>
      <c r="S113" s="64"/>
      <c r="T113" s="68"/>
      <c r="U113" s="68"/>
      <c r="V113" s="64"/>
      <c r="W113" s="64"/>
      <c r="X113" s="64"/>
      <c r="Y113" s="64"/>
      <c r="Z113" s="64"/>
      <c r="AA113" s="68"/>
      <c r="AB113" s="68"/>
      <c r="AC113" s="64"/>
      <c r="AD113" s="64"/>
      <c r="AE113" s="64"/>
      <c r="AF113" s="64"/>
      <c r="AG113" s="64"/>
      <c r="AH113" s="68"/>
      <c r="AI113" s="68"/>
      <c r="AJ113" s="65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8"/>
      <c r="G114" s="68"/>
      <c r="H114" s="64"/>
      <c r="I114" s="64"/>
      <c r="J114" s="64"/>
      <c r="K114" s="64"/>
      <c r="L114" s="64"/>
      <c r="M114" s="68"/>
      <c r="N114" s="68"/>
      <c r="O114" s="64"/>
      <c r="P114" s="64"/>
      <c r="Q114" s="64"/>
      <c r="R114" s="64"/>
      <c r="S114" s="64"/>
      <c r="T114" s="68"/>
      <c r="U114" s="68"/>
      <c r="V114" s="64"/>
      <c r="W114" s="64"/>
      <c r="X114" s="64"/>
      <c r="Y114" s="64"/>
      <c r="Z114" s="64"/>
      <c r="AA114" s="68"/>
      <c r="AB114" s="68"/>
      <c r="AC114" s="64"/>
      <c r="AD114" s="64"/>
      <c r="AE114" s="64"/>
      <c r="AF114" s="64"/>
      <c r="AG114" s="64"/>
      <c r="AH114" s="68"/>
      <c r="AI114" s="68"/>
      <c r="AJ114" s="65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8"/>
      <c r="G115" s="68"/>
      <c r="H115" s="64"/>
      <c r="I115" s="64"/>
      <c r="J115" s="64"/>
      <c r="K115" s="64"/>
      <c r="L115" s="64"/>
      <c r="M115" s="68"/>
      <c r="N115" s="68"/>
      <c r="O115" s="64"/>
      <c r="P115" s="64"/>
      <c r="Q115" s="64"/>
      <c r="R115" s="64"/>
      <c r="S115" s="64"/>
      <c r="T115" s="68"/>
      <c r="U115" s="68"/>
      <c r="V115" s="64"/>
      <c r="W115" s="64"/>
      <c r="X115" s="64"/>
      <c r="Y115" s="64"/>
      <c r="Z115" s="64"/>
      <c r="AA115" s="68"/>
      <c r="AB115" s="68"/>
      <c r="AC115" s="64"/>
      <c r="AD115" s="64"/>
      <c r="AE115" s="64"/>
      <c r="AF115" s="64"/>
      <c r="AG115" s="64"/>
      <c r="AH115" s="68"/>
      <c r="AI115" s="68"/>
      <c r="AJ115" s="65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8"/>
      <c r="G116" s="68"/>
      <c r="H116" s="64"/>
      <c r="I116" s="64"/>
      <c r="J116" s="64"/>
      <c r="K116" s="64"/>
      <c r="L116" s="64"/>
      <c r="M116" s="68"/>
      <c r="N116" s="68"/>
      <c r="O116" s="64"/>
      <c r="P116" s="64"/>
      <c r="Q116" s="64"/>
      <c r="R116" s="64"/>
      <c r="S116" s="64"/>
      <c r="T116" s="68"/>
      <c r="U116" s="68"/>
      <c r="V116" s="64"/>
      <c r="W116" s="64"/>
      <c r="X116" s="64"/>
      <c r="Y116" s="64"/>
      <c r="Z116" s="64"/>
      <c r="AA116" s="68"/>
      <c r="AB116" s="68"/>
      <c r="AC116" s="64"/>
      <c r="AD116" s="64"/>
      <c r="AE116" s="64"/>
      <c r="AF116" s="64"/>
      <c r="AG116" s="64"/>
      <c r="AH116" s="68"/>
      <c r="AI116" s="68"/>
      <c r="AJ116" s="65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124"/>
      <c r="G117" s="124"/>
      <c r="H117" s="92"/>
      <c r="I117" s="92"/>
      <c r="J117" s="92"/>
      <c r="K117" s="92"/>
      <c r="L117" s="92"/>
      <c r="M117" s="124"/>
      <c r="N117" s="124"/>
      <c r="O117" s="92"/>
      <c r="P117" s="92"/>
      <c r="Q117" s="92"/>
      <c r="R117" s="92"/>
      <c r="S117" s="92"/>
      <c r="T117" s="124"/>
      <c r="U117" s="124"/>
      <c r="V117" s="92"/>
      <c r="W117" s="92"/>
      <c r="X117" s="92"/>
      <c r="Y117" s="92"/>
      <c r="Z117" s="92"/>
      <c r="AA117" s="124"/>
      <c r="AB117" s="124"/>
      <c r="AC117" s="92"/>
      <c r="AD117" s="92"/>
      <c r="AE117" s="92"/>
      <c r="AF117" s="92"/>
      <c r="AG117" s="92"/>
      <c r="AH117" s="124"/>
      <c r="AI117" s="124"/>
      <c r="AJ117" s="93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70"/>
      <c r="AD118" s="70"/>
      <c r="AF118" s="70"/>
      <c r="AG118" s="70"/>
      <c r="AI118" s="120"/>
      <c r="AJ118" s="79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56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157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8"/>
      <c r="G122" s="68"/>
      <c r="H122" s="64"/>
      <c r="I122" s="64"/>
      <c r="J122" s="64"/>
      <c r="K122" s="64"/>
      <c r="L122" s="64"/>
      <c r="M122" s="68"/>
      <c r="N122" s="68"/>
      <c r="O122" s="64"/>
      <c r="P122" s="64"/>
      <c r="Q122" s="80"/>
      <c r="R122" s="70"/>
      <c r="S122" s="64"/>
      <c r="T122" s="68"/>
      <c r="U122" s="120"/>
      <c r="V122" s="64"/>
      <c r="W122" s="64"/>
      <c r="X122" s="64"/>
      <c r="Y122" s="64"/>
      <c r="Z122" s="64"/>
      <c r="AA122" s="68"/>
      <c r="AB122" s="68"/>
      <c r="AC122" s="80"/>
      <c r="AD122" s="64"/>
      <c r="AE122" s="64"/>
      <c r="AF122" s="64"/>
      <c r="AG122" s="64"/>
      <c r="AH122" s="68"/>
      <c r="AI122" s="68"/>
      <c r="AJ122" s="79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120"/>
      <c r="Q125" s="70"/>
      <c r="S125" s="7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8"/>
      <c r="G126" s="68"/>
      <c r="H126" s="64"/>
      <c r="I126" s="64"/>
      <c r="J126" s="64"/>
      <c r="K126" s="64"/>
      <c r="L126" s="64"/>
      <c r="M126" s="120"/>
      <c r="N126" s="68"/>
      <c r="O126" s="64"/>
      <c r="P126" s="64"/>
      <c r="Q126" s="70"/>
      <c r="R126" s="64"/>
      <c r="S126" s="70"/>
      <c r="T126" s="68"/>
      <c r="U126" s="68"/>
      <c r="V126" s="64"/>
      <c r="W126" s="70"/>
      <c r="X126" s="64"/>
      <c r="Y126" s="64"/>
      <c r="Z126" s="64"/>
      <c r="AA126" s="68"/>
      <c r="AB126" s="68"/>
      <c r="AC126" s="64"/>
      <c r="AD126" s="64"/>
      <c r="AE126" s="64"/>
      <c r="AF126" s="64"/>
      <c r="AG126" s="64"/>
      <c r="AH126" s="68"/>
      <c r="AI126" s="68"/>
      <c r="AJ126" s="65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120"/>
      <c r="U127" s="12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120"/>
      <c r="G128" s="120"/>
      <c r="H128" s="70"/>
      <c r="I128" s="70"/>
      <c r="J128" s="70"/>
      <c r="M128" s="120"/>
      <c r="N128" s="120"/>
      <c r="O128" s="70"/>
      <c r="P128" s="70"/>
      <c r="Q128" s="70"/>
      <c r="R128" s="70"/>
      <c r="S128" s="70"/>
      <c r="T128" s="120"/>
      <c r="V128" s="70"/>
      <c r="W128" s="70"/>
      <c r="X128" s="70"/>
      <c r="Z128" s="70"/>
      <c r="AA128" s="120"/>
      <c r="AB128" s="120"/>
      <c r="AC128" s="70"/>
      <c r="AD128" s="70"/>
      <c r="AE128" s="70"/>
      <c r="AF128" s="70"/>
      <c r="AG128" s="70"/>
      <c r="AH128" s="120"/>
      <c r="AI128" s="120"/>
      <c r="AJ128" s="79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120"/>
      <c r="G134" s="120"/>
      <c r="I134" s="70"/>
      <c r="J134" s="70"/>
      <c r="M134" s="120"/>
      <c r="N134" s="120"/>
      <c r="O134" s="70"/>
      <c r="P134" s="70"/>
      <c r="Q134" s="70"/>
      <c r="R134" s="70"/>
      <c r="T134" s="120"/>
      <c r="U134" s="120"/>
      <c r="V134" s="70"/>
      <c r="Y134" s="70"/>
      <c r="Z134" s="70"/>
      <c r="AA134" s="120"/>
      <c r="AB134" s="120"/>
      <c r="AC134" s="7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122"/>
      <c r="AC135" s="70"/>
      <c r="AD135" s="70"/>
      <c r="AF135" s="70"/>
      <c r="AI135" s="12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121"/>
      <c r="G136" s="121"/>
      <c r="H136" s="73"/>
      <c r="I136" s="73"/>
      <c r="J136" s="73"/>
      <c r="K136" s="73"/>
      <c r="L136" s="73"/>
      <c r="M136" s="121"/>
      <c r="N136" s="121"/>
      <c r="O136" s="73"/>
      <c r="P136" s="73"/>
      <c r="Q136" s="73"/>
      <c r="R136" s="73"/>
      <c r="S136" s="73"/>
      <c r="T136" s="121"/>
      <c r="U136" s="121"/>
      <c r="V136" s="73"/>
      <c r="W136" s="73"/>
      <c r="X136" s="73"/>
      <c r="Y136" s="73"/>
      <c r="Z136" s="73"/>
      <c r="AA136" s="121"/>
      <c r="AB136" s="121"/>
      <c r="AC136" s="73"/>
      <c r="AD136" s="73"/>
      <c r="AE136" s="73"/>
      <c r="AF136" s="73"/>
      <c r="AG136" s="73"/>
      <c r="AH136" s="121"/>
      <c r="AI136" s="121"/>
      <c r="AJ136" s="74"/>
      <c r="AK136" s="71">
        <f>SUM(AK3:AK135)</f>
        <v>0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120"/>
      <c r="G137" s="120"/>
      <c r="H137" s="70"/>
      <c r="I137" s="70"/>
      <c r="J137" s="70"/>
      <c r="K137" s="70"/>
      <c r="L137" s="70"/>
      <c r="M137" s="120"/>
      <c r="N137" s="120"/>
      <c r="O137" s="70"/>
      <c r="P137" s="70"/>
      <c r="Q137" s="70"/>
      <c r="R137" s="70"/>
      <c r="S137" s="70"/>
      <c r="T137" s="120"/>
      <c r="U137" s="120"/>
      <c r="V137" s="70"/>
      <c r="W137" s="70"/>
      <c r="X137" s="70"/>
      <c r="Y137" s="70"/>
      <c r="Z137" s="70"/>
      <c r="AA137" s="120"/>
      <c r="AB137" s="120"/>
      <c r="AC137" s="70"/>
      <c r="AD137" s="64"/>
      <c r="AE137" s="64"/>
      <c r="AF137" s="64"/>
      <c r="AG137" s="64"/>
      <c r="AH137" s="68"/>
      <c r="AI137" s="68"/>
      <c r="AJ137" s="65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8"/>
      <c r="G138" s="68"/>
      <c r="H138" s="64"/>
      <c r="I138" s="64"/>
      <c r="J138" s="64"/>
      <c r="K138" s="64"/>
      <c r="L138" s="64"/>
      <c r="M138" s="68"/>
      <c r="N138" s="68"/>
      <c r="O138" s="64"/>
      <c r="P138" s="64"/>
      <c r="Q138" s="64"/>
      <c r="R138" s="64"/>
      <c r="S138" s="64"/>
      <c r="T138" s="68"/>
      <c r="U138" s="68"/>
      <c r="V138" s="64"/>
      <c r="W138" s="64"/>
      <c r="X138" s="64"/>
      <c r="Y138" s="64"/>
      <c r="Z138" s="64"/>
      <c r="AA138" s="68"/>
      <c r="AB138" s="68"/>
      <c r="AC138" s="64"/>
      <c r="AD138" s="64"/>
      <c r="AE138" s="64"/>
      <c r="AF138" s="64"/>
      <c r="AG138" s="64"/>
      <c r="AH138" s="68"/>
      <c r="AI138" s="68"/>
      <c r="AJ138" s="65"/>
      <c r="AK138" s="69"/>
      <c r="AM138" s="62"/>
    </row>
    <row r="146" spans="1:39" s="68" customFormat="1">
      <c r="A146" s="67"/>
      <c r="B146" s="66"/>
      <c r="C146" s="66"/>
      <c r="D146" s="66"/>
      <c r="E146" s="66"/>
      <c r="H146" s="64"/>
      <c r="I146" s="64"/>
      <c r="J146" s="64"/>
      <c r="K146" s="64"/>
      <c r="L146" s="64"/>
      <c r="O146" s="64"/>
      <c r="P146" s="64"/>
      <c r="Q146" s="64"/>
      <c r="R146" s="64"/>
      <c r="S146" s="64"/>
      <c r="V146" s="64"/>
      <c r="W146" s="64"/>
      <c r="X146" s="64"/>
      <c r="Y146" s="64"/>
      <c r="Z146" s="64"/>
      <c r="AC146" s="64"/>
      <c r="AD146" s="64"/>
      <c r="AE146" s="64"/>
      <c r="AF146" s="64"/>
      <c r="AG146" s="64"/>
      <c r="AJ146" s="65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H147" s="64"/>
      <c r="I147" s="64"/>
      <c r="J147" s="64"/>
      <c r="K147" s="64"/>
      <c r="L147" s="64"/>
      <c r="O147" s="64"/>
      <c r="P147" s="64"/>
      <c r="Q147" s="64"/>
      <c r="R147" s="64"/>
      <c r="S147" s="64"/>
      <c r="V147" s="64"/>
      <c r="W147" s="64"/>
      <c r="X147" s="64"/>
      <c r="Y147" s="64"/>
      <c r="Z147" s="64"/>
      <c r="AC147" s="64"/>
      <c r="AD147" s="64"/>
      <c r="AE147" s="64"/>
      <c r="AF147" s="64"/>
      <c r="AG147" s="64"/>
      <c r="AJ147" s="65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H148" s="64"/>
      <c r="I148" s="64"/>
      <c r="J148" s="64"/>
      <c r="K148" s="64"/>
      <c r="L148" s="64"/>
      <c r="O148" s="64"/>
      <c r="P148" s="64"/>
      <c r="Q148" s="64"/>
      <c r="R148" s="64"/>
      <c r="S148" s="64"/>
      <c r="V148" s="64"/>
      <c r="W148" s="64"/>
      <c r="X148" s="64"/>
      <c r="Y148" s="64"/>
      <c r="Z148" s="64"/>
      <c r="AC148" s="64"/>
      <c r="AD148" s="64"/>
      <c r="AE148" s="64"/>
      <c r="AF148" s="64"/>
      <c r="AG148" s="64"/>
      <c r="AJ148" s="65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H149" s="64"/>
      <c r="I149" s="64"/>
      <c r="J149" s="64"/>
      <c r="K149" s="64"/>
      <c r="L149" s="64"/>
      <c r="O149" s="64"/>
      <c r="P149" s="64"/>
      <c r="Q149" s="64"/>
      <c r="R149" s="64"/>
      <c r="S149" s="64"/>
      <c r="V149" s="64"/>
      <c r="W149" s="64"/>
      <c r="X149" s="64"/>
      <c r="Y149" s="64"/>
      <c r="Z149" s="64"/>
      <c r="AC149" s="64"/>
      <c r="AD149" s="64"/>
      <c r="AE149" s="64"/>
      <c r="AF149" s="64"/>
      <c r="AG149" s="64"/>
      <c r="AJ149" s="65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H150" s="64"/>
      <c r="I150" s="64"/>
      <c r="J150" s="64"/>
      <c r="K150" s="64"/>
      <c r="L150" s="64"/>
      <c r="O150" s="64"/>
      <c r="P150" s="64"/>
      <c r="Q150" s="64"/>
      <c r="R150" s="64"/>
      <c r="S150" s="64"/>
      <c r="V150" s="64"/>
      <c r="W150" s="64"/>
      <c r="X150" s="64"/>
      <c r="Y150" s="64"/>
      <c r="Z150" s="64"/>
      <c r="AC150" s="64"/>
      <c r="AD150" s="64"/>
      <c r="AE150" s="64"/>
      <c r="AF150" s="64"/>
      <c r="AG150" s="64"/>
      <c r="AJ150" s="65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H151" s="64"/>
      <c r="I151" s="64"/>
      <c r="J151" s="64"/>
      <c r="K151" s="64"/>
      <c r="L151" s="64"/>
      <c r="O151" s="64"/>
      <c r="P151" s="64"/>
      <c r="Q151" s="64"/>
      <c r="R151" s="64"/>
      <c r="S151" s="64"/>
      <c r="V151" s="64"/>
      <c r="W151" s="64"/>
      <c r="X151" s="64"/>
      <c r="Y151" s="64"/>
      <c r="Z151" s="64"/>
      <c r="AC151" s="64"/>
      <c r="AD151" s="64"/>
      <c r="AE151" s="64"/>
      <c r="AF151" s="64"/>
      <c r="AG151" s="64"/>
      <c r="AJ151" s="65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H152" s="64"/>
      <c r="I152" s="64"/>
      <c r="J152" s="64"/>
      <c r="K152" s="64"/>
      <c r="L152" s="64"/>
      <c r="O152" s="64"/>
      <c r="P152" s="64"/>
      <c r="Q152" s="64"/>
      <c r="R152" s="64"/>
      <c r="S152" s="64"/>
      <c r="V152" s="64"/>
      <c r="W152" s="64"/>
      <c r="X152" s="64"/>
      <c r="Y152" s="64"/>
      <c r="Z152" s="64"/>
      <c r="AC152" s="64"/>
      <c r="AD152" s="64"/>
      <c r="AE152" s="64"/>
      <c r="AF152" s="64"/>
      <c r="AG152" s="64"/>
      <c r="AJ152" s="65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H153" s="64"/>
      <c r="I153" s="64"/>
      <c r="J153" s="64"/>
      <c r="K153" s="64"/>
      <c r="L153" s="64"/>
      <c r="O153" s="64"/>
      <c r="P153" s="64"/>
      <c r="Q153" s="64"/>
      <c r="R153" s="64"/>
      <c r="S153" s="64"/>
      <c r="V153" s="64"/>
      <c r="W153" s="64"/>
      <c r="X153" s="64"/>
      <c r="Y153" s="64"/>
      <c r="Z153" s="64"/>
      <c r="AC153" s="64"/>
      <c r="AD153" s="64"/>
      <c r="AE153" s="64"/>
      <c r="AF153" s="64"/>
      <c r="AG153" s="64"/>
      <c r="AJ153" s="65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H154" s="64"/>
      <c r="I154" s="64"/>
      <c r="J154" s="64"/>
      <c r="K154" s="64"/>
      <c r="L154" s="64"/>
      <c r="O154" s="64"/>
      <c r="P154" s="64"/>
      <c r="Q154" s="64"/>
      <c r="R154" s="64"/>
      <c r="S154" s="64"/>
      <c r="V154" s="64"/>
      <c r="W154" s="64"/>
      <c r="X154" s="64"/>
      <c r="Y154" s="64"/>
      <c r="Z154" s="64"/>
      <c r="AC154" s="64"/>
      <c r="AD154" s="64"/>
      <c r="AE154" s="64"/>
      <c r="AF154" s="64"/>
      <c r="AG154" s="64"/>
      <c r="AJ154" s="65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H155" s="64"/>
      <c r="I155" s="64"/>
      <c r="J155" s="64"/>
      <c r="K155" s="64"/>
      <c r="L155" s="64"/>
      <c r="O155" s="64"/>
      <c r="P155" s="64"/>
      <c r="Q155" s="64"/>
      <c r="R155" s="64"/>
      <c r="S155" s="64"/>
      <c r="V155" s="64"/>
      <c r="W155" s="64"/>
      <c r="X155" s="64"/>
      <c r="Y155" s="64"/>
      <c r="Z155" s="64"/>
      <c r="AC155" s="64"/>
      <c r="AD155" s="64"/>
      <c r="AE155" s="64"/>
      <c r="AF155" s="64"/>
      <c r="AG155" s="64"/>
      <c r="AJ155" s="65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H156" s="64"/>
      <c r="I156" s="64"/>
      <c r="J156" s="64"/>
      <c r="K156" s="64"/>
      <c r="L156" s="64"/>
      <c r="O156" s="64"/>
      <c r="P156" s="64"/>
      <c r="Q156" s="64"/>
      <c r="R156" s="64"/>
      <c r="S156" s="64"/>
      <c r="V156" s="64"/>
      <c r="W156" s="64"/>
      <c r="X156" s="64"/>
      <c r="Y156" s="64"/>
      <c r="Z156" s="64"/>
      <c r="AC156" s="64"/>
      <c r="AD156" s="64"/>
      <c r="AE156" s="64"/>
      <c r="AF156" s="64"/>
      <c r="AG156" s="64"/>
      <c r="AJ156" s="65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H157" s="64"/>
      <c r="I157" s="64"/>
      <c r="J157" s="64"/>
      <c r="K157" s="64"/>
      <c r="L157" s="64"/>
      <c r="O157" s="64"/>
      <c r="P157" s="64"/>
      <c r="Q157" s="64"/>
      <c r="R157" s="64"/>
      <c r="S157" s="64"/>
      <c r="V157" s="64"/>
      <c r="W157" s="64"/>
      <c r="X157" s="64"/>
      <c r="Y157" s="64"/>
      <c r="Z157" s="64"/>
      <c r="AC157" s="64"/>
      <c r="AD157" s="64"/>
      <c r="AE157" s="64"/>
      <c r="AF157" s="64"/>
      <c r="AG157" s="64"/>
      <c r="AJ157" s="65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H158" s="64"/>
      <c r="I158" s="64"/>
      <c r="J158" s="64"/>
      <c r="K158" s="64"/>
      <c r="L158" s="64"/>
      <c r="O158" s="64"/>
      <c r="P158" s="64"/>
      <c r="Q158" s="64"/>
      <c r="R158" s="64"/>
      <c r="S158" s="64"/>
      <c r="V158" s="64"/>
      <c r="W158" s="64"/>
      <c r="X158" s="64"/>
      <c r="Y158" s="64"/>
      <c r="Z158" s="64"/>
      <c r="AC158" s="64"/>
      <c r="AD158" s="64"/>
      <c r="AE158" s="64"/>
      <c r="AF158" s="64"/>
      <c r="AG158" s="64"/>
      <c r="AJ158" s="65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H159" s="64"/>
      <c r="I159" s="64"/>
      <c r="J159" s="64"/>
      <c r="K159" s="64"/>
      <c r="L159" s="64"/>
      <c r="O159" s="64"/>
      <c r="P159" s="64"/>
      <c r="Q159" s="64"/>
      <c r="R159" s="64"/>
      <c r="S159" s="64"/>
      <c r="V159" s="64"/>
      <c r="W159" s="64"/>
      <c r="X159" s="64"/>
      <c r="Y159" s="64"/>
      <c r="Z159" s="64"/>
      <c r="AC159" s="64"/>
      <c r="AD159" s="64"/>
      <c r="AE159" s="64"/>
      <c r="AF159" s="64"/>
      <c r="AG159" s="64"/>
      <c r="AJ159" s="65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H160" s="64"/>
      <c r="I160" s="64"/>
      <c r="J160" s="64"/>
      <c r="K160" s="64"/>
      <c r="L160" s="64"/>
      <c r="O160" s="64"/>
      <c r="P160" s="64"/>
      <c r="Q160" s="64"/>
      <c r="R160" s="64"/>
      <c r="S160" s="64"/>
      <c r="V160" s="64"/>
      <c r="W160" s="64"/>
      <c r="X160" s="64"/>
      <c r="Y160" s="64"/>
      <c r="Z160" s="64"/>
      <c r="AC160" s="64"/>
      <c r="AD160" s="64"/>
      <c r="AE160" s="64"/>
      <c r="AF160" s="64"/>
      <c r="AG160" s="64"/>
      <c r="AJ160" s="65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H161" s="64"/>
      <c r="I161" s="64"/>
      <c r="J161" s="64"/>
      <c r="K161" s="64"/>
      <c r="L161" s="64"/>
      <c r="O161" s="64"/>
      <c r="P161" s="64"/>
      <c r="Q161" s="64"/>
      <c r="R161" s="64"/>
      <c r="S161" s="64"/>
      <c r="V161" s="64"/>
      <c r="W161" s="64"/>
      <c r="X161" s="64"/>
      <c r="Y161" s="64"/>
      <c r="Z161" s="64"/>
      <c r="AC161" s="64"/>
      <c r="AD161" s="64"/>
      <c r="AE161" s="64"/>
      <c r="AF161" s="64"/>
      <c r="AG161" s="64"/>
      <c r="AJ161" s="65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H162" s="64"/>
      <c r="I162" s="64"/>
      <c r="J162" s="64"/>
      <c r="K162" s="64"/>
      <c r="L162" s="64"/>
      <c r="O162" s="64"/>
      <c r="P162" s="64"/>
      <c r="Q162" s="64"/>
      <c r="R162" s="64"/>
      <c r="S162" s="64"/>
      <c r="V162" s="64"/>
      <c r="W162" s="64"/>
      <c r="X162" s="64"/>
      <c r="Y162" s="64"/>
      <c r="Z162" s="64"/>
      <c r="AC162" s="64"/>
      <c r="AD162" s="64"/>
      <c r="AE162" s="64"/>
      <c r="AF162" s="64"/>
      <c r="AG162" s="64"/>
      <c r="AJ162" s="65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H163" s="64"/>
      <c r="I163" s="64"/>
      <c r="J163" s="64"/>
      <c r="K163" s="64"/>
      <c r="L163" s="64"/>
      <c r="O163" s="64"/>
      <c r="P163" s="64"/>
      <c r="Q163" s="64"/>
      <c r="R163" s="64"/>
      <c r="S163" s="64"/>
      <c r="V163" s="64"/>
      <c r="W163" s="64"/>
      <c r="X163" s="64"/>
      <c r="Y163" s="64"/>
      <c r="Z163" s="64"/>
      <c r="AC163" s="64"/>
      <c r="AD163" s="64"/>
      <c r="AE163" s="64"/>
      <c r="AF163" s="64"/>
      <c r="AG163" s="64"/>
      <c r="AJ163" s="65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H164" s="64"/>
      <c r="I164" s="64"/>
      <c r="J164" s="64"/>
      <c r="K164" s="64"/>
      <c r="L164" s="64"/>
      <c r="O164" s="64"/>
      <c r="P164" s="64"/>
      <c r="Q164" s="64"/>
      <c r="R164" s="64"/>
      <c r="S164" s="64"/>
      <c r="V164" s="64"/>
      <c r="W164" s="64"/>
      <c r="X164" s="64"/>
      <c r="Y164" s="64"/>
      <c r="Z164" s="64"/>
      <c r="AC164" s="64"/>
      <c r="AD164" s="64"/>
      <c r="AE164" s="64"/>
      <c r="AF164" s="64"/>
      <c r="AG164" s="64"/>
      <c r="AJ164" s="65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H165" s="64"/>
      <c r="I165" s="64"/>
      <c r="J165" s="64"/>
      <c r="K165" s="64"/>
      <c r="L165" s="64"/>
      <c r="O165" s="64"/>
      <c r="P165" s="64"/>
      <c r="Q165" s="64"/>
      <c r="R165" s="64"/>
      <c r="S165" s="64"/>
      <c r="V165" s="64"/>
      <c r="W165" s="64"/>
      <c r="X165" s="64"/>
      <c r="Y165" s="64"/>
      <c r="Z165" s="64"/>
      <c r="AC165" s="64"/>
      <c r="AD165" s="64"/>
      <c r="AE165" s="64"/>
      <c r="AF165" s="64"/>
      <c r="AG165" s="64"/>
      <c r="AJ165" s="65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H166" s="64"/>
      <c r="I166" s="64"/>
      <c r="J166" s="64"/>
      <c r="K166" s="64"/>
      <c r="L166" s="64"/>
      <c r="O166" s="64"/>
      <c r="P166" s="64"/>
      <c r="Q166" s="64"/>
      <c r="R166" s="64"/>
      <c r="S166" s="64"/>
      <c r="V166" s="64"/>
      <c r="W166" s="64"/>
      <c r="X166" s="64"/>
      <c r="Y166" s="64"/>
      <c r="Z166" s="64"/>
      <c r="AC166" s="64"/>
      <c r="AD166" s="64"/>
      <c r="AE166" s="64"/>
      <c r="AF166" s="64"/>
      <c r="AG166" s="64"/>
      <c r="AJ166" s="65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H167" s="64"/>
      <c r="I167" s="64"/>
      <c r="J167" s="64"/>
      <c r="K167" s="64"/>
      <c r="L167" s="64"/>
      <c r="O167" s="64"/>
      <c r="P167" s="64"/>
      <c r="Q167" s="64"/>
      <c r="R167" s="64"/>
      <c r="S167" s="64"/>
      <c r="V167" s="64"/>
      <c r="W167" s="64"/>
      <c r="X167" s="64"/>
      <c r="Y167" s="64"/>
      <c r="Z167" s="64"/>
      <c r="AC167" s="64"/>
      <c r="AD167" s="64"/>
      <c r="AE167" s="64"/>
      <c r="AF167" s="64"/>
      <c r="AG167" s="64"/>
      <c r="AJ167" s="65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H168" s="64"/>
      <c r="I168" s="64"/>
      <c r="J168" s="64"/>
      <c r="K168" s="64"/>
      <c r="L168" s="64"/>
      <c r="O168" s="64"/>
      <c r="P168" s="64"/>
      <c r="Q168" s="64"/>
      <c r="R168" s="64"/>
      <c r="S168" s="64"/>
      <c r="V168" s="64"/>
      <c r="W168" s="64"/>
      <c r="X168" s="64"/>
      <c r="Y168" s="64"/>
      <c r="Z168" s="64"/>
      <c r="AC168" s="64"/>
      <c r="AD168" s="64"/>
      <c r="AE168" s="64"/>
      <c r="AF168" s="64"/>
      <c r="AG168" s="64"/>
      <c r="AJ168" s="65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H169" s="64"/>
      <c r="I169" s="64"/>
      <c r="J169" s="64"/>
      <c r="K169" s="64"/>
      <c r="L169" s="64"/>
      <c r="O169" s="64"/>
      <c r="P169" s="64"/>
      <c r="Q169" s="64"/>
      <c r="R169" s="64"/>
      <c r="S169" s="64"/>
      <c r="V169" s="64"/>
      <c r="W169" s="64"/>
      <c r="X169" s="64"/>
      <c r="Y169" s="64"/>
      <c r="Z169" s="64"/>
      <c r="AC169" s="64"/>
      <c r="AD169" s="64"/>
      <c r="AE169" s="64"/>
      <c r="AF169" s="64"/>
      <c r="AG169" s="64"/>
      <c r="AJ169" s="65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H170" s="64"/>
      <c r="I170" s="64"/>
      <c r="J170" s="64"/>
      <c r="K170" s="64"/>
      <c r="L170" s="64"/>
      <c r="O170" s="64"/>
      <c r="P170" s="64"/>
      <c r="Q170" s="64"/>
      <c r="R170" s="64"/>
      <c r="S170" s="64"/>
      <c r="V170" s="64"/>
      <c r="W170" s="64"/>
      <c r="X170" s="64"/>
      <c r="Y170" s="64"/>
      <c r="Z170" s="64"/>
      <c r="AC170" s="64"/>
      <c r="AD170" s="64"/>
      <c r="AE170" s="64"/>
      <c r="AF170" s="64"/>
      <c r="AG170" s="64"/>
      <c r="AJ170" s="65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H171" s="64"/>
      <c r="I171" s="64"/>
      <c r="J171" s="64"/>
      <c r="K171" s="64"/>
      <c r="L171" s="64"/>
      <c r="O171" s="64"/>
      <c r="P171" s="64"/>
      <c r="Q171" s="64"/>
      <c r="R171" s="64"/>
      <c r="S171" s="64"/>
      <c r="V171" s="64"/>
      <c r="W171" s="64"/>
      <c r="X171" s="64"/>
      <c r="Y171" s="64"/>
      <c r="Z171" s="64"/>
      <c r="AC171" s="64"/>
      <c r="AD171" s="64"/>
      <c r="AE171" s="64"/>
      <c r="AF171" s="64"/>
      <c r="AG171" s="64"/>
      <c r="AJ171" s="65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H172" s="64"/>
      <c r="I172" s="64"/>
      <c r="J172" s="64"/>
      <c r="K172" s="64"/>
      <c r="L172" s="64"/>
      <c r="O172" s="64"/>
      <c r="P172" s="64"/>
      <c r="Q172" s="64"/>
      <c r="R172" s="64"/>
      <c r="S172" s="64"/>
      <c r="V172" s="64"/>
      <c r="W172" s="64"/>
      <c r="X172" s="64"/>
      <c r="Y172" s="64"/>
      <c r="Z172" s="64"/>
      <c r="AC172" s="64"/>
      <c r="AD172" s="64"/>
      <c r="AE172" s="64"/>
      <c r="AF172" s="64"/>
      <c r="AG172" s="64"/>
      <c r="AJ172" s="65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H173" s="64"/>
      <c r="I173" s="64"/>
      <c r="J173" s="64"/>
      <c r="K173" s="64"/>
      <c r="L173" s="64"/>
      <c r="O173" s="64"/>
      <c r="P173" s="64"/>
      <c r="Q173" s="64"/>
      <c r="R173" s="64"/>
      <c r="S173" s="64"/>
      <c r="V173" s="64"/>
      <c r="W173" s="64"/>
      <c r="X173" s="64"/>
      <c r="Y173" s="64"/>
      <c r="Z173" s="64"/>
      <c r="AC173" s="64"/>
      <c r="AD173" s="64"/>
      <c r="AE173" s="64"/>
      <c r="AF173" s="64"/>
      <c r="AG173" s="64"/>
      <c r="AJ173" s="65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H174" s="64"/>
      <c r="I174" s="64"/>
      <c r="J174" s="64"/>
      <c r="K174" s="64"/>
      <c r="L174" s="64"/>
      <c r="O174" s="64"/>
      <c r="P174" s="64"/>
      <c r="Q174" s="64"/>
      <c r="R174" s="64"/>
      <c r="S174" s="64"/>
      <c r="V174" s="64"/>
      <c r="W174" s="64"/>
      <c r="X174" s="64"/>
      <c r="Y174" s="64"/>
      <c r="Z174" s="64"/>
      <c r="AC174" s="64"/>
      <c r="AD174" s="64"/>
      <c r="AE174" s="64"/>
      <c r="AF174" s="64"/>
      <c r="AG174" s="64"/>
      <c r="AJ174" s="65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H175" s="64"/>
      <c r="I175" s="64"/>
      <c r="J175" s="64"/>
      <c r="K175" s="64"/>
      <c r="L175" s="64"/>
      <c r="O175" s="64"/>
      <c r="P175" s="64"/>
      <c r="Q175" s="64"/>
      <c r="R175" s="64"/>
      <c r="S175" s="64"/>
      <c r="V175" s="64"/>
      <c r="W175" s="64"/>
      <c r="X175" s="64"/>
      <c r="Y175" s="64"/>
      <c r="Z175" s="64"/>
      <c r="AC175" s="64"/>
      <c r="AD175" s="64"/>
      <c r="AE175" s="64"/>
      <c r="AF175" s="64"/>
      <c r="AG175" s="64"/>
      <c r="AJ175" s="65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H176" s="64"/>
      <c r="I176" s="64"/>
      <c r="J176" s="64"/>
      <c r="K176" s="64"/>
      <c r="L176" s="64"/>
      <c r="O176" s="64"/>
      <c r="P176" s="64"/>
      <c r="Q176" s="64"/>
      <c r="R176" s="64"/>
      <c r="S176" s="64"/>
      <c r="V176" s="64"/>
      <c r="W176" s="64"/>
      <c r="X176" s="64"/>
      <c r="Y176" s="64"/>
      <c r="Z176" s="64"/>
      <c r="AC176" s="64"/>
      <c r="AD176" s="64"/>
      <c r="AE176" s="64"/>
      <c r="AF176" s="64"/>
      <c r="AG176" s="64"/>
      <c r="AJ176" s="65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H177" s="64"/>
      <c r="I177" s="64"/>
      <c r="J177" s="64"/>
      <c r="K177" s="64"/>
      <c r="L177" s="64"/>
      <c r="O177" s="64"/>
      <c r="P177" s="64"/>
      <c r="Q177" s="64"/>
      <c r="R177" s="64"/>
      <c r="S177" s="64"/>
      <c r="V177" s="64"/>
      <c r="W177" s="64"/>
      <c r="X177" s="64"/>
      <c r="Y177" s="64"/>
      <c r="Z177" s="64"/>
      <c r="AC177" s="64"/>
      <c r="AD177" s="64"/>
      <c r="AE177" s="64"/>
      <c r="AF177" s="64"/>
      <c r="AG177" s="64"/>
      <c r="AJ177" s="65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H178" s="64"/>
      <c r="I178" s="64"/>
      <c r="J178" s="64"/>
      <c r="K178" s="64"/>
      <c r="L178" s="64"/>
      <c r="O178" s="64"/>
      <c r="P178" s="64"/>
      <c r="Q178" s="64"/>
      <c r="R178" s="64"/>
      <c r="S178" s="64"/>
      <c r="V178" s="64"/>
      <c r="W178" s="64"/>
      <c r="X178" s="64"/>
      <c r="Y178" s="64"/>
      <c r="Z178" s="64"/>
      <c r="AC178" s="64"/>
      <c r="AD178" s="64"/>
      <c r="AE178" s="64"/>
      <c r="AF178" s="64"/>
      <c r="AG178" s="64"/>
      <c r="AJ178" s="65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H179" s="64"/>
      <c r="I179" s="64"/>
      <c r="J179" s="64"/>
      <c r="K179" s="64"/>
      <c r="L179" s="64"/>
      <c r="O179" s="64"/>
      <c r="P179" s="64"/>
      <c r="Q179" s="64"/>
      <c r="R179" s="64"/>
      <c r="S179" s="64"/>
      <c r="V179" s="64"/>
      <c r="W179" s="64"/>
      <c r="X179" s="64"/>
      <c r="Y179" s="64"/>
      <c r="Z179" s="64"/>
      <c r="AC179" s="64"/>
      <c r="AD179" s="64"/>
      <c r="AE179" s="64"/>
      <c r="AF179" s="64"/>
      <c r="AG179" s="64"/>
      <c r="AJ179" s="65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H180" s="64"/>
      <c r="I180" s="64"/>
      <c r="J180" s="64"/>
      <c r="K180" s="64"/>
      <c r="L180" s="64"/>
      <c r="O180" s="64"/>
      <c r="P180" s="64"/>
      <c r="Q180" s="64"/>
      <c r="R180" s="64"/>
      <c r="S180" s="64"/>
      <c r="V180" s="64"/>
      <c r="W180" s="64"/>
      <c r="X180" s="64"/>
      <c r="Y180" s="64"/>
      <c r="Z180" s="64"/>
      <c r="AC180" s="64"/>
      <c r="AD180" s="64"/>
      <c r="AE180" s="64"/>
      <c r="AF180" s="64"/>
      <c r="AG180" s="64"/>
      <c r="AJ180" s="65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H181" s="64"/>
      <c r="I181" s="64"/>
      <c r="J181" s="64"/>
      <c r="K181" s="64"/>
      <c r="L181" s="64"/>
      <c r="O181" s="64"/>
      <c r="P181" s="64"/>
      <c r="Q181" s="64"/>
      <c r="R181" s="64"/>
      <c r="S181" s="64"/>
      <c r="V181" s="64"/>
      <c r="W181" s="64"/>
      <c r="X181" s="64"/>
      <c r="Y181" s="64"/>
      <c r="Z181" s="64"/>
      <c r="AC181" s="64"/>
      <c r="AD181" s="64"/>
      <c r="AE181" s="64"/>
      <c r="AF181" s="64"/>
      <c r="AG181" s="64"/>
      <c r="AJ181" s="65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H182" s="64"/>
      <c r="I182" s="64"/>
      <c r="J182" s="64"/>
      <c r="K182" s="64"/>
      <c r="L182" s="64"/>
      <c r="O182" s="64"/>
      <c r="P182" s="64"/>
      <c r="Q182" s="64"/>
      <c r="R182" s="64"/>
      <c r="S182" s="64"/>
      <c r="V182" s="64"/>
      <c r="W182" s="64"/>
      <c r="X182" s="64"/>
      <c r="Y182" s="64"/>
      <c r="Z182" s="64"/>
      <c r="AC182" s="64"/>
      <c r="AD182" s="64"/>
      <c r="AE182" s="64"/>
      <c r="AF182" s="64"/>
      <c r="AG182" s="64"/>
      <c r="AJ182" s="65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H183" s="64"/>
      <c r="I183" s="64"/>
      <c r="J183" s="64"/>
      <c r="K183" s="64"/>
      <c r="L183" s="64"/>
      <c r="O183" s="64"/>
      <c r="P183" s="64"/>
      <c r="Q183" s="64"/>
      <c r="R183" s="64"/>
      <c r="S183" s="64"/>
      <c r="V183" s="64"/>
      <c r="W183" s="64"/>
      <c r="X183" s="64"/>
      <c r="Y183" s="64"/>
      <c r="Z183" s="64"/>
      <c r="AC183" s="64"/>
      <c r="AD183" s="64"/>
      <c r="AE183" s="64"/>
      <c r="AF183" s="64"/>
      <c r="AG183" s="64"/>
      <c r="AJ183" s="65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H184" s="64"/>
      <c r="I184" s="64"/>
      <c r="J184" s="64"/>
      <c r="K184" s="64"/>
      <c r="L184" s="64"/>
      <c r="O184" s="64"/>
      <c r="P184" s="64"/>
      <c r="Q184" s="64"/>
      <c r="R184" s="64"/>
      <c r="S184" s="64"/>
      <c r="V184" s="64"/>
      <c r="W184" s="64"/>
      <c r="X184" s="64"/>
      <c r="Y184" s="64"/>
      <c r="Z184" s="64"/>
      <c r="AC184" s="64"/>
      <c r="AD184" s="64"/>
      <c r="AE184" s="64"/>
      <c r="AF184" s="64"/>
      <c r="AG184" s="64"/>
      <c r="AJ184" s="65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H185" s="64"/>
      <c r="I185" s="64"/>
      <c r="J185" s="64"/>
      <c r="K185" s="64"/>
      <c r="L185" s="64"/>
      <c r="O185" s="64"/>
      <c r="P185" s="64"/>
      <c r="Q185" s="64"/>
      <c r="R185" s="64"/>
      <c r="S185" s="64"/>
      <c r="V185" s="64"/>
      <c r="W185" s="64"/>
      <c r="X185" s="64"/>
      <c r="Y185" s="64"/>
      <c r="Z185" s="64"/>
      <c r="AC185" s="64"/>
      <c r="AD185" s="64"/>
      <c r="AE185" s="64"/>
      <c r="AF185" s="64"/>
      <c r="AG185" s="64"/>
      <c r="AJ185" s="65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H186" s="64"/>
      <c r="I186" s="64"/>
      <c r="J186" s="64"/>
      <c r="K186" s="64"/>
      <c r="L186" s="64"/>
      <c r="O186" s="64"/>
      <c r="P186" s="64"/>
      <c r="Q186" s="64"/>
      <c r="R186" s="64"/>
      <c r="S186" s="64"/>
      <c r="V186" s="64"/>
      <c r="W186" s="64"/>
      <c r="X186" s="64"/>
      <c r="Y186" s="64"/>
      <c r="Z186" s="64"/>
      <c r="AC186" s="64"/>
      <c r="AD186" s="64"/>
      <c r="AE186" s="64"/>
      <c r="AF186" s="64"/>
      <c r="AG186" s="64"/>
      <c r="AJ186" s="65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H187" s="64"/>
      <c r="I187" s="64"/>
      <c r="J187" s="64"/>
      <c r="K187" s="64"/>
      <c r="L187" s="64"/>
      <c r="O187" s="64"/>
      <c r="P187" s="64"/>
      <c r="Q187" s="64"/>
      <c r="R187" s="64"/>
      <c r="S187" s="64"/>
      <c r="V187" s="64"/>
      <c r="W187" s="64"/>
      <c r="X187" s="64"/>
      <c r="Y187" s="64"/>
      <c r="Z187" s="64"/>
      <c r="AC187" s="64"/>
      <c r="AD187" s="64"/>
      <c r="AE187" s="64"/>
      <c r="AF187" s="64"/>
      <c r="AG187" s="64"/>
      <c r="AJ187" s="65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H188" s="64"/>
      <c r="I188" s="64"/>
      <c r="J188" s="64"/>
      <c r="K188" s="64"/>
      <c r="L188" s="64"/>
      <c r="O188" s="64"/>
      <c r="P188" s="64"/>
      <c r="Q188" s="64"/>
      <c r="R188" s="64"/>
      <c r="S188" s="64"/>
      <c r="V188" s="64"/>
      <c r="W188" s="64"/>
      <c r="X188" s="64"/>
      <c r="Y188" s="64"/>
      <c r="Z188" s="64"/>
      <c r="AC188" s="64"/>
      <c r="AD188" s="64"/>
      <c r="AE188" s="64"/>
      <c r="AF188" s="64"/>
      <c r="AG188" s="64"/>
      <c r="AJ188" s="65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H189" s="64"/>
      <c r="I189" s="64"/>
      <c r="J189" s="64"/>
      <c r="K189" s="64"/>
      <c r="L189" s="64"/>
      <c r="O189" s="64"/>
      <c r="P189" s="64"/>
      <c r="Q189" s="64"/>
      <c r="R189" s="64"/>
      <c r="S189" s="64"/>
      <c r="V189" s="64"/>
      <c r="W189" s="64"/>
      <c r="X189" s="64"/>
      <c r="Y189" s="64"/>
      <c r="Z189" s="64"/>
      <c r="AC189" s="64"/>
      <c r="AD189" s="64"/>
      <c r="AE189" s="64"/>
      <c r="AF189" s="64"/>
      <c r="AG189" s="64"/>
      <c r="AJ189" s="65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H190" s="64"/>
      <c r="I190" s="64"/>
      <c r="J190" s="64"/>
      <c r="K190" s="64"/>
      <c r="L190" s="64"/>
      <c r="O190" s="64"/>
      <c r="P190" s="64"/>
      <c r="Q190" s="64"/>
      <c r="R190" s="64"/>
      <c r="S190" s="64"/>
      <c r="V190" s="64"/>
      <c r="W190" s="64"/>
      <c r="X190" s="64"/>
      <c r="Y190" s="64"/>
      <c r="Z190" s="64"/>
      <c r="AC190" s="64"/>
      <c r="AD190" s="64"/>
      <c r="AE190" s="64"/>
      <c r="AF190" s="64"/>
      <c r="AG190" s="64"/>
      <c r="AJ190" s="65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H191" s="64"/>
      <c r="I191" s="64"/>
      <c r="J191" s="64"/>
      <c r="K191" s="64"/>
      <c r="L191" s="64"/>
      <c r="O191" s="64"/>
      <c r="P191" s="64"/>
      <c r="Q191" s="64"/>
      <c r="R191" s="64"/>
      <c r="S191" s="64"/>
      <c r="V191" s="64"/>
      <c r="W191" s="64"/>
      <c r="X191" s="64"/>
      <c r="Y191" s="64"/>
      <c r="Z191" s="64"/>
      <c r="AC191" s="64"/>
      <c r="AD191" s="64"/>
      <c r="AE191" s="64"/>
      <c r="AF191" s="64"/>
      <c r="AG191" s="64"/>
      <c r="AJ191" s="65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H192" s="64"/>
      <c r="I192" s="64"/>
      <c r="J192" s="64"/>
      <c r="K192" s="64"/>
      <c r="L192" s="64"/>
      <c r="O192" s="64"/>
      <c r="P192" s="64"/>
      <c r="Q192" s="64"/>
      <c r="R192" s="64"/>
      <c r="S192" s="64"/>
      <c r="V192" s="64"/>
      <c r="W192" s="64"/>
      <c r="X192" s="64"/>
      <c r="Y192" s="64"/>
      <c r="Z192" s="64"/>
      <c r="AC192" s="64"/>
      <c r="AD192" s="64"/>
      <c r="AE192" s="64"/>
      <c r="AF192" s="64"/>
      <c r="AG192" s="64"/>
      <c r="AJ192" s="65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H193" s="64"/>
      <c r="I193" s="64"/>
      <c r="J193" s="64"/>
      <c r="K193" s="64"/>
      <c r="L193" s="64"/>
      <c r="O193" s="64"/>
      <c r="P193" s="64"/>
      <c r="Q193" s="64"/>
      <c r="R193" s="64"/>
      <c r="S193" s="64"/>
      <c r="V193" s="64"/>
      <c r="W193" s="64"/>
      <c r="X193" s="64"/>
      <c r="Y193" s="64"/>
      <c r="Z193" s="64"/>
      <c r="AC193" s="64"/>
      <c r="AD193" s="64"/>
      <c r="AE193" s="64"/>
      <c r="AF193" s="64"/>
      <c r="AG193" s="64"/>
      <c r="AJ193" s="65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H194" s="64"/>
      <c r="I194" s="64"/>
      <c r="J194" s="64"/>
      <c r="K194" s="64"/>
      <c r="L194" s="64"/>
      <c r="O194" s="64"/>
      <c r="P194" s="64"/>
      <c r="Q194" s="64"/>
      <c r="R194" s="64"/>
      <c r="S194" s="64"/>
      <c r="V194" s="64"/>
      <c r="W194" s="64"/>
      <c r="X194" s="64"/>
      <c r="Y194" s="64"/>
      <c r="Z194" s="64"/>
      <c r="AC194" s="64"/>
      <c r="AD194" s="64"/>
      <c r="AE194" s="64"/>
      <c r="AF194" s="64"/>
      <c r="AG194" s="64"/>
      <c r="AJ194" s="65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H195" s="64"/>
      <c r="I195" s="64"/>
      <c r="J195" s="64"/>
      <c r="K195" s="64"/>
      <c r="L195" s="64"/>
      <c r="O195" s="64"/>
      <c r="P195" s="64"/>
      <c r="Q195" s="64"/>
      <c r="R195" s="64"/>
      <c r="S195" s="64"/>
      <c r="V195" s="64"/>
      <c r="W195" s="64"/>
      <c r="X195" s="64"/>
      <c r="Y195" s="64"/>
      <c r="Z195" s="64"/>
      <c r="AC195" s="64"/>
      <c r="AD195" s="64"/>
      <c r="AE195" s="64"/>
      <c r="AF195" s="64"/>
      <c r="AG195" s="64"/>
      <c r="AJ195" s="65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H196" s="64"/>
      <c r="I196" s="64"/>
      <c r="J196" s="64"/>
      <c r="K196" s="64"/>
      <c r="L196" s="64"/>
      <c r="O196" s="64"/>
      <c r="P196" s="64"/>
      <c r="Q196" s="64"/>
      <c r="R196" s="64"/>
      <c r="S196" s="64"/>
      <c r="V196" s="64"/>
      <c r="W196" s="64"/>
      <c r="X196" s="64"/>
      <c r="Y196" s="64"/>
      <c r="Z196" s="64"/>
      <c r="AC196" s="64"/>
      <c r="AD196" s="64"/>
      <c r="AE196" s="64"/>
      <c r="AF196" s="64"/>
      <c r="AG196" s="64"/>
      <c r="AJ196" s="65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H197" s="64"/>
      <c r="I197" s="64"/>
      <c r="J197" s="64"/>
      <c r="K197" s="64"/>
      <c r="L197" s="64"/>
      <c r="O197" s="64"/>
      <c r="P197" s="64"/>
      <c r="Q197" s="64"/>
      <c r="R197" s="64"/>
      <c r="S197" s="64"/>
      <c r="V197" s="64"/>
      <c r="W197" s="64"/>
      <c r="X197" s="64"/>
      <c r="Y197" s="64"/>
      <c r="Z197" s="64"/>
      <c r="AC197" s="64"/>
      <c r="AD197" s="64"/>
      <c r="AE197" s="64"/>
      <c r="AF197" s="64"/>
      <c r="AG197" s="64"/>
      <c r="AJ197" s="65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H198" s="64"/>
      <c r="I198" s="64"/>
      <c r="J198" s="64"/>
      <c r="K198" s="64"/>
      <c r="L198" s="64"/>
      <c r="O198" s="64"/>
      <c r="P198" s="64"/>
      <c r="Q198" s="64"/>
      <c r="R198" s="64"/>
      <c r="S198" s="64"/>
      <c r="V198" s="64"/>
      <c r="W198" s="64"/>
      <c r="X198" s="64"/>
      <c r="Y198" s="64"/>
      <c r="Z198" s="64"/>
      <c r="AC198" s="64"/>
      <c r="AD198" s="64"/>
      <c r="AE198" s="64"/>
      <c r="AF198" s="64"/>
      <c r="AG198" s="64"/>
      <c r="AJ198" s="65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H199" s="64"/>
      <c r="I199" s="64"/>
      <c r="J199" s="64"/>
      <c r="K199" s="64"/>
      <c r="L199" s="64"/>
      <c r="O199" s="64"/>
      <c r="P199" s="64"/>
      <c r="Q199" s="64"/>
      <c r="R199" s="64"/>
      <c r="S199" s="64"/>
      <c r="V199" s="64"/>
      <c r="W199" s="64"/>
      <c r="X199" s="64"/>
      <c r="Y199" s="64"/>
      <c r="Z199" s="64"/>
      <c r="AC199" s="64"/>
      <c r="AD199" s="64"/>
      <c r="AE199" s="64"/>
      <c r="AF199" s="64"/>
      <c r="AG199" s="64"/>
      <c r="AJ199" s="65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H200" s="64"/>
      <c r="I200" s="64"/>
      <c r="J200" s="64"/>
      <c r="K200" s="64"/>
      <c r="L200" s="64"/>
      <c r="O200" s="64"/>
      <c r="P200" s="64"/>
      <c r="Q200" s="64"/>
      <c r="R200" s="64"/>
      <c r="S200" s="64"/>
      <c r="V200" s="64"/>
      <c r="W200" s="64"/>
      <c r="X200" s="64"/>
      <c r="Y200" s="64"/>
      <c r="Z200" s="64"/>
      <c r="AC200" s="64"/>
      <c r="AD200" s="64"/>
      <c r="AE200" s="64"/>
      <c r="AF200" s="64"/>
      <c r="AG200" s="64"/>
      <c r="AJ200" s="65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H201" s="64"/>
      <c r="I201" s="64"/>
      <c r="J201" s="64"/>
      <c r="K201" s="64"/>
      <c r="L201" s="64"/>
      <c r="O201" s="64"/>
      <c r="P201" s="64"/>
      <c r="Q201" s="64"/>
      <c r="R201" s="64"/>
      <c r="S201" s="64"/>
      <c r="V201" s="64"/>
      <c r="W201" s="64"/>
      <c r="X201" s="64"/>
      <c r="Y201" s="64"/>
      <c r="Z201" s="64"/>
      <c r="AC201" s="64"/>
      <c r="AD201" s="64"/>
      <c r="AE201" s="64"/>
      <c r="AF201" s="64"/>
      <c r="AG201" s="64"/>
      <c r="AJ201" s="65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H202" s="64"/>
      <c r="I202" s="64"/>
      <c r="J202" s="64"/>
      <c r="K202" s="64"/>
      <c r="L202" s="64"/>
      <c r="O202" s="64"/>
      <c r="P202" s="64"/>
      <c r="Q202" s="64"/>
      <c r="R202" s="64"/>
      <c r="S202" s="64"/>
      <c r="V202" s="64"/>
      <c r="W202" s="64"/>
      <c r="X202" s="64"/>
      <c r="Y202" s="64"/>
      <c r="Z202" s="64"/>
      <c r="AC202" s="64"/>
      <c r="AD202" s="64"/>
      <c r="AE202" s="64"/>
      <c r="AF202" s="64"/>
      <c r="AG202" s="64"/>
      <c r="AJ202" s="65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H203" s="64"/>
      <c r="I203" s="64"/>
      <c r="J203" s="64"/>
      <c r="K203" s="64"/>
      <c r="L203" s="64"/>
      <c r="O203" s="64"/>
      <c r="P203" s="64"/>
      <c r="Q203" s="64"/>
      <c r="R203" s="64"/>
      <c r="S203" s="64"/>
      <c r="V203" s="64"/>
      <c r="W203" s="64"/>
      <c r="X203" s="64"/>
      <c r="Y203" s="64"/>
      <c r="Z203" s="64"/>
      <c r="AC203" s="64"/>
      <c r="AD203" s="64"/>
      <c r="AE203" s="64"/>
      <c r="AF203" s="64"/>
      <c r="AG203" s="64"/>
      <c r="AJ203" s="65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H204" s="64"/>
      <c r="I204" s="64"/>
      <c r="J204" s="64"/>
      <c r="K204" s="64"/>
      <c r="L204" s="64"/>
      <c r="O204" s="64"/>
      <c r="P204" s="64"/>
      <c r="Q204" s="64"/>
      <c r="R204" s="64"/>
      <c r="S204" s="64"/>
      <c r="V204" s="64"/>
      <c r="W204" s="64"/>
      <c r="X204" s="64"/>
      <c r="Y204" s="64"/>
      <c r="Z204" s="64"/>
      <c r="AC204" s="64"/>
      <c r="AD204" s="64"/>
      <c r="AE204" s="64"/>
      <c r="AF204" s="64"/>
      <c r="AG204" s="64"/>
      <c r="AJ204" s="65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H205" s="64"/>
      <c r="I205" s="64"/>
      <c r="J205" s="64"/>
      <c r="K205" s="64"/>
      <c r="L205" s="64"/>
      <c r="O205" s="64"/>
      <c r="P205" s="64"/>
      <c r="Q205" s="64"/>
      <c r="R205" s="64"/>
      <c r="S205" s="64"/>
      <c r="V205" s="64"/>
      <c r="W205" s="64"/>
      <c r="X205" s="64"/>
      <c r="Y205" s="64"/>
      <c r="Z205" s="64"/>
      <c r="AC205" s="64"/>
      <c r="AD205" s="64"/>
      <c r="AE205" s="64"/>
      <c r="AF205" s="64"/>
      <c r="AG205" s="64"/>
      <c r="AJ205" s="65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H206" s="64"/>
      <c r="I206" s="64"/>
      <c r="J206" s="64"/>
      <c r="K206" s="64"/>
      <c r="L206" s="64"/>
      <c r="O206" s="64"/>
      <c r="P206" s="64"/>
      <c r="Q206" s="64"/>
      <c r="R206" s="64"/>
      <c r="S206" s="64"/>
      <c r="V206" s="64"/>
      <c r="W206" s="64"/>
      <c r="X206" s="64"/>
      <c r="Y206" s="64"/>
      <c r="Z206" s="64"/>
      <c r="AC206" s="64"/>
      <c r="AD206" s="64"/>
      <c r="AE206" s="64"/>
      <c r="AF206" s="64"/>
      <c r="AG206" s="64"/>
      <c r="AJ206" s="65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H207" s="64"/>
      <c r="I207" s="64"/>
      <c r="J207" s="64"/>
      <c r="K207" s="64"/>
      <c r="L207" s="64"/>
      <c r="O207" s="64"/>
      <c r="P207" s="64"/>
      <c r="Q207" s="64"/>
      <c r="R207" s="64"/>
      <c r="S207" s="64"/>
      <c r="V207" s="64"/>
      <c r="W207" s="64"/>
      <c r="X207" s="64"/>
      <c r="Y207" s="64"/>
      <c r="Z207" s="64"/>
      <c r="AC207" s="64"/>
      <c r="AD207" s="64"/>
      <c r="AE207" s="64"/>
      <c r="AF207" s="64"/>
      <c r="AG207" s="64"/>
      <c r="AJ207" s="65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H208" s="64"/>
      <c r="I208" s="64"/>
      <c r="J208" s="64"/>
      <c r="K208" s="64"/>
      <c r="L208" s="64"/>
      <c r="O208" s="64"/>
      <c r="P208" s="64"/>
      <c r="Q208" s="64"/>
      <c r="R208" s="64"/>
      <c r="S208" s="64"/>
      <c r="V208" s="64"/>
      <c r="W208" s="64"/>
      <c r="X208" s="64"/>
      <c r="Y208" s="64"/>
      <c r="Z208" s="64"/>
      <c r="AC208" s="64"/>
      <c r="AD208" s="64"/>
      <c r="AE208" s="64"/>
      <c r="AF208" s="64"/>
      <c r="AG208" s="64"/>
      <c r="AJ208" s="65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H209" s="64"/>
      <c r="I209" s="64"/>
      <c r="J209" s="64"/>
      <c r="K209" s="64"/>
      <c r="L209" s="64"/>
      <c r="O209" s="64"/>
      <c r="P209" s="64"/>
      <c r="Q209" s="64"/>
      <c r="R209" s="64"/>
      <c r="S209" s="64"/>
      <c r="V209" s="64"/>
      <c r="W209" s="64"/>
      <c r="X209" s="64"/>
      <c r="Y209" s="64"/>
      <c r="Z209" s="64"/>
      <c r="AC209" s="64"/>
      <c r="AD209" s="64"/>
      <c r="AE209" s="64"/>
      <c r="AF209" s="64"/>
      <c r="AG209" s="64"/>
      <c r="AJ209" s="65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H210" s="64"/>
      <c r="I210" s="64"/>
      <c r="J210" s="64"/>
      <c r="K210" s="64"/>
      <c r="L210" s="64"/>
      <c r="O210" s="64"/>
      <c r="P210" s="64"/>
      <c r="Q210" s="64"/>
      <c r="R210" s="64"/>
      <c r="S210" s="64"/>
      <c r="V210" s="64"/>
      <c r="W210" s="64"/>
      <c r="X210" s="64"/>
      <c r="Y210" s="64"/>
      <c r="Z210" s="64"/>
      <c r="AC210" s="64"/>
      <c r="AD210" s="64"/>
      <c r="AE210" s="64"/>
      <c r="AF210" s="64"/>
      <c r="AG210" s="64"/>
      <c r="AJ210" s="65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H211" s="64"/>
      <c r="I211" s="64"/>
      <c r="J211" s="64"/>
      <c r="K211" s="64"/>
      <c r="L211" s="64"/>
      <c r="O211" s="64"/>
      <c r="P211" s="64"/>
      <c r="Q211" s="64"/>
      <c r="R211" s="64"/>
      <c r="S211" s="64"/>
      <c r="V211" s="64"/>
      <c r="W211" s="64"/>
      <c r="X211" s="64"/>
      <c r="Y211" s="64"/>
      <c r="Z211" s="64"/>
      <c r="AC211" s="64"/>
      <c r="AD211" s="64"/>
      <c r="AE211" s="64"/>
      <c r="AF211" s="64"/>
      <c r="AG211" s="64"/>
      <c r="AJ211" s="65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H212" s="64"/>
      <c r="I212" s="64"/>
      <c r="J212" s="64"/>
      <c r="K212" s="64"/>
      <c r="L212" s="64"/>
      <c r="O212" s="64"/>
      <c r="P212" s="64"/>
      <c r="Q212" s="64"/>
      <c r="R212" s="64"/>
      <c r="S212" s="64"/>
      <c r="V212" s="64"/>
      <c r="W212" s="64"/>
      <c r="X212" s="64"/>
      <c r="Y212" s="64"/>
      <c r="Z212" s="64"/>
      <c r="AC212" s="64"/>
      <c r="AD212" s="64"/>
      <c r="AE212" s="64"/>
      <c r="AF212" s="64"/>
      <c r="AG212" s="64"/>
      <c r="AJ212" s="65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H213" s="64"/>
      <c r="I213" s="64"/>
      <c r="J213" s="64"/>
      <c r="K213" s="64"/>
      <c r="L213" s="64"/>
      <c r="O213" s="64"/>
      <c r="P213" s="64"/>
      <c r="Q213" s="64"/>
      <c r="R213" s="64"/>
      <c r="S213" s="64"/>
      <c r="V213" s="64"/>
      <c r="W213" s="64"/>
      <c r="X213" s="64"/>
      <c r="Y213" s="64"/>
      <c r="Z213" s="64"/>
      <c r="AC213" s="64"/>
      <c r="AD213" s="64"/>
      <c r="AE213" s="64"/>
      <c r="AF213" s="64"/>
      <c r="AG213" s="64"/>
      <c r="AJ213" s="65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H214" s="64"/>
      <c r="I214" s="64"/>
      <c r="J214" s="64"/>
      <c r="K214" s="64"/>
      <c r="L214" s="64"/>
      <c r="O214" s="64"/>
      <c r="P214" s="64"/>
      <c r="Q214" s="64"/>
      <c r="R214" s="64"/>
      <c r="S214" s="64"/>
      <c r="V214" s="64"/>
      <c r="W214" s="64"/>
      <c r="X214" s="64"/>
      <c r="Y214" s="64"/>
      <c r="Z214" s="64"/>
      <c r="AC214" s="64"/>
      <c r="AD214" s="64"/>
      <c r="AE214" s="64"/>
      <c r="AF214" s="64"/>
      <c r="AG214" s="64"/>
      <c r="AJ214" s="65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H215" s="64"/>
      <c r="I215" s="64"/>
      <c r="J215" s="64"/>
      <c r="K215" s="64"/>
      <c r="L215" s="64"/>
      <c r="O215" s="64"/>
      <c r="P215" s="64"/>
      <c r="Q215" s="64"/>
      <c r="R215" s="64"/>
      <c r="S215" s="64"/>
      <c r="V215" s="64"/>
      <c r="W215" s="64"/>
      <c r="X215" s="64"/>
      <c r="Y215" s="64"/>
      <c r="Z215" s="64"/>
      <c r="AC215" s="64"/>
      <c r="AD215" s="64"/>
      <c r="AE215" s="64"/>
      <c r="AF215" s="64"/>
      <c r="AG215" s="64"/>
      <c r="AJ215" s="65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H216" s="64"/>
      <c r="I216" s="64"/>
      <c r="J216" s="64"/>
      <c r="K216" s="64"/>
      <c r="L216" s="64"/>
      <c r="O216" s="64"/>
      <c r="P216" s="64"/>
      <c r="Q216" s="64"/>
      <c r="R216" s="64"/>
      <c r="S216" s="64"/>
      <c r="V216" s="64"/>
      <c r="W216" s="64"/>
      <c r="X216" s="64"/>
      <c r="Y216" s="64"/>
      <c r="Z216" s="64"/>
      <c r="AC216" s="64"/>
      <c r="AD216" s="64"/>
      <c r="AE216" s="64"/>
      <c r="AF216" s="64"/>
      <c r="AG216" s="64"/>
      <c r="AJ216" s="65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H217" s="64"/>
      <c r="I217" s="64"/>
      <c r="J217" s="64"/>
      <c r="K217" s="64"/>
      <c r="L217" s="64"/>
      <c r="O217" s="64"/>
      <c r="P217" s="64"/>
      <c r="Q217" s="64"/>
      <c r="R217" s="64"/>
      <c r="S217" s="64"/>
      <c r="V217" s="64"/>
      <c r="W217" s="64"/>
      <c r="X217" s="64"/>
      <c r="Y217" s="64"/>
      <c r="Z217" s="64"/>
      <c r="AC217" s="64"/>
      <c r="AD217" s="64"/>
      <c r="AE217" s="64"/>
      <c r="AF217" s="64"/>
      <c r="AG217" s="64"/>
      <c r="AJ217" s="65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H218" s="64"/>
      <c r="I218" s="64"/>
      <c r="J218" s="64"/>
      <c r="K218" s="64"/>
      <c r="L218" s="64"/>
      <c r="O218" s="64"/>
      <c r="P218" s="64"/>
      <c r="Q218" s="64"/>
      <c r="R218" s="64"/>
      <c r="S218" s="64"/>
      <c r="V218" s="64"/>
      <c r="W218" s="64"/>
      <c r="X218" s="64"/>
      <c r="Y218" s="64"/>
      <c r="Z218" s="64"/>
      <c r="AC218" s="64"/>
      <c r="AD218" s="64"/>
      <c r="AE218" s="64"/>
      <c r="AF218" s="64"/>
      <c r="AG218" s="64"/>
      <c r="AJ218" s="65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H219" s="64"/>
      <c r="I219" s="64"/>
      <c r="J219" s="64"/>
      <c r="K219" s="64"/>
      <c r="L219" s="64"/>
      <c r="O219" s="64"/>
      <c r="P219" s="64"/>
      <c r="Q219" s="64"/>
      <c r="R219" s="64"/>
      <c r="S219" s="64"/>
      <c r="V219" s="64"/>
      <c r="W219" s="64"/>
      <c r="X219" s="64"/>
      <c r="Y219" s="64"/>
      <c r="Z219" s="64"/>
      <c r="AC219" s="64"/>
      <c r="AD219" s="64"/>
      <c r="AE219" s="64"/>
      <c r="AF219" s="64"/>
      <c r="AG219" s="64"/>
      <c r="AJ219" s="65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H220" s="64"/>
      <c r="I220" s="64"/>
      <c r="J220" s="64"/>
      <c r="K220" s="64"/>
      <c r="L220" s="64"/>
      <c r="O220" s="64"/>
      <c r="P220" s="64"/>
      <c r="Q220" s="64"/>
      <c r="R220" s="64"/>
      <c r="S220" s="64"/>
      <c r="V220" s="64"/>
      <c r="W220" s="64"/>
      <c r="X220" s="64"/>
      <c r="Y220" s="64"/>
      <c r="Z220" s="64"/>
      <c r="AC220" s="64"/>
      <c r="AD220" s="64"/>
      <c r="AE220" s="64"/>
      <c r="AF220" s="64"/>
      <c r="AG220" s="64"/>
      <c r="AJ220" s="65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H221" s="64"/>
      <c r="I221" s="64"/>
      <c r="J221" s="64"/>
      <c r="K221" s="64"/>
      <c r="L221" s="64"/>
      <c r="O221" s="64"/>
      <c r="P221" s="64"/>
      <c r="Q221" s="64"/>
      <c r="R221" s="64"/>
      <c r="S221" s="64"/>
      <c r="V221" s="64"/>
      <c r="W221" s="64"/>
      <c r="X221" s="64"/>
      <c r="Y221" s="64"/>
      <c r="Z221" s="64"/>
      <c r="AC221" s="64"/>
      <c r="AD221" s="64"/>
      <c r="AE221" s="64"/>
      <c r="AF221" s="64"/>
      <c r="AG221" s="64"/>
      <c r="AJ221" s="65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H222" s="64"/>
      <c r="I222" s="64"/>
      <c r="J222" s="64"/>
      <c r="K222" s="64"/>
      <c r="L222" s="64"/>
      <c r="O222" s="64"/>
      <c r="P222" s="64"/>
      <c r="Q222" s="64"/>
      <c r="R222" s="64"/>
      <c r="S222" s="64"/>
      <c r="V222" s="64"/>
      <c r="W222" s="64"/>
      <c r="X222" s="64"/>
      <c r="Y222" s="64"/>
      <c r="Z222" s="64"/>
      <c r="AC222" s="64"/>
      <c r="AD222" s="64"/>
      <c r="AE222" s="64"/>
      <c r="AF222" s="64"/>
      <c r="AG222" s="64"/>
      <c r="AJ222" s="65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H223" s="64"/>
      <c r="I223" s="64"/>
      <c r="J223" s="64"/>
      <c r="K223" s="64"/>
      <c r="L223" s="64"/>
      <c r="O223" s="64"/>
      <c r="P223" s="64"/>
      <c r="Q223" s="64"/>
      <c r="R223" s="64"/>
      <c r="S223" s="64"/>
      <c r="V223" s="64"/>
      <c r="W223" s="64"/>
      <c r="X223" s="64"/>
      <c r="Y223" s="64"/>
      <c r="Z223" s="64"/>
      <c r="AC223" s="64"/>
      <c r="AD223" s="64"/>
      <c r="AE223" s="64"/>
      <c r="AF223" s="64"/>
      <c r="AG223" s="64"/>
      <c r="AJ223" s="65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H224" s="64"/>
      <c r="I224" s="64"/>
      <c r="J224" s="64"/>
      <c r="K224" s="64"/>
      <c r="L224" s="64"/>
      <c r="O224" s="64"/>
      <c r="P224" s="64"/>
      <c r="Q224" s="64"/>
      <c r="R224" s="64"/>
      <c r="S224" s="64"/>
      <c r="V224" s="64"/>
      <c r="W224" s="64"/>
      <c r="X224" s="64"/>
      <c r="Y224" s="64"/>
      <c r="Z224" s="64"/>
      <c r="AC224" s="64"/>
      <c r="AD224" s="64"/>
      <c r="AE224" s="64"/>
      <c r="AF224" s="64"/>
      <c r="AG224" s="64"/>
      <c r="AJ224" s="65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H225" s="64"/>
      <c r="I225" s="64"/>
      <c r="J225" s="64"/>
      <c r="K225" s="64"/>
      <c r="L225" s="64"/>
      <c r="O225" s="64"/>
      <c r="P225" s="64"/>
      <c r="Q225" s="64"/>
      <c r="R225" s="64"/>
      <c r="S225" s="64"/>
      <c r="V225" s="64"/>
      <c r="W225" s="64"/>
      <c r="X225" s="64"/>
      <c r="Y225" s="64"/>
      <c r="Z225" s="64"/>
      <c r="AC225" s="64"/>
      <c r="AD225" s="64"/>
      <c r="AE225" s="64"/>
      <c r="AF225" s="64"/>
      <c r="AG225" s="64"/>
      <c r="AJ225" s="65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H226" s="64"/>
      <c r="I226" s="64"/>
      <c r="J226" s="64"/>
      <c r="K226" s="64"/>
      <c r="L226" s="64"/>
      <c r="O226" s="64"/>
      <c r="P226" s="64"/>
      <c r="Q226" s="64"/>
      <c r="R226" s="64"/>
      <c r="S226" s="64"/>
      <c r="V226" s="64"/>
      <c r="W226" s="64"/>
      <c r="X226" s="64"/>
      <c r="Y226" s="64"/>
      <c r="Z226" s="64"/>
      <c r="AC226" s="64"/>
      <c r="AD226" s="64"/>
      <c r="AE226" s="64"/>
      <c r="AF226" s="64"/>
      <c r="AG226" s="64"/>
      <c r="AJ226" s="65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H227" s="64"/>
      <c r="I227" s="64"/>
      <c r="J227" s="64"/>
      <c r="K227" s="64"/>
      <c r="L227" s="64"/>
      <c r="O227" s="64"/>
      <c r="P227" s="64"/>
      <c r="Q227" s="64"/>
      <c r="R227" s="64"/>
      <c r="S227" s="64"/>
      <c r="V227" s="64"/>
      <c r="W227" s="64"/>
      <c r="X227" s="64"/>
      <c r="Y227" s="64"/>
      <c r="Z227" s="64"/>
      <c r="AC227" s="64"/>
      <c r="AD227" s="64"/>
      <c r="AE227" s="64"/>
      <c r="AF227" s="64"/>
      <c r="AG227" s="64"/>
      <c r="AJ227" s="65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H228" s="64"/>
      <c r="I228" s="64"/>
      <c r="J228" s="64"/>
      <c r="K228" s="64"/>
      <c r="L228" s="64"/>
      <c r="O228" s="64"/>
      <c r="P228" s="64"/>
      <c r="Q228" s="64"/>
      <c r="R228" s="64"/>
      <c r="S228" s="64"/>
      <c r="V228" s="64"/>
      <c r="W228" s="64"/>
      <c r="X228" s="64"/>
      <c r="Y228" s="64"/>
      <c r="Z228" s="64"/>
      <c r="AC228" s="64"/>
      <c r="AD228" s="64"/>
      <c r="AE228" s="64"/>
      <c r="AF228" s="64"/>
      <c r="AG228" s="64"/>
      <c r="AJ228" s="65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H229" s="64"/>
      <c r="I229" s="64"/>
      <c r="J229" s="64"/>
      <c r="K229" s="64"/>
      <c r="L229" s="64"/>
      <c r="O229" s="64"/>
      <c r="P229" s="64"/>
      <c r="Q229" s="64"/>
      <c r="R229" s="64"/>
      <c r="S229" s="64"/>
      <c r="V229" s="64"/>
      <c r="W229" s="64"/>
      <c r="X229" s="64"/>
      <c r="Y229" s="64"/>
      <c r="Z229" s="64"/>
      <c r="AC229" s="64"/>
      <c r="AD229" s="64"/>
      <c r="AE229" s="64"/>
      <c r="AF229" s="64"/>
      <c r="AG229" s="64"/>
      <c r="AJ229" s="65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H230" s="64"/>
      <c r="I230" s="64"/>
      <c r="J230" s="64"/>
      <c r="K230" s="64"/>
      <c r="L230" s="64"/>
      <c r="O230" s="64"/>
      <c r="P230" s="64"/>
      <c r="Q230" s="64"/>
      <c r="R230" s="64"/>
      <c r="S230" s="64"/>
      <c r="V230" s="64"/>
      <c r="W230" s="64"/>
      <c r="X230" s="64"/>
      <c r="Y230" s="64"/>
      <c r="Z230" s="64"/>
      <c r="AC230" s="64"/>
      <c r="AD230" s="64"/>
      <c r="AE230" s="64"/>
      <c r="AF230" s="64"/>
      <c r="AG230" s="64"/>
      <c r="AJ230" s="65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H231" s="64"/>
      <c r="I231" s="64"/>
      <c r="J231" s="64"/>
      <c r="K231" s="64"/>
      <c r="L231" s="64"/>
      <c r="O231" s="64"/>
      <c r="P231" s="64"/>
      <c r="Q231" s="64"/>
      <c r="R231" s="64"/>
      <c r="S231" s="64"/>
      <c r="V231" s="64"/>
      <c r="W231" s="64"/>
      <c r="X231" s="64"/>
      <c r="Y231" s="64"/>
      <c r="Z231" s="64"/>
      <c r="AC231" s="64"/>
      <c r="AD231" s="64"/>
      <c r="AE231" s="64"/>
      <c r="AF231" s="64"/>
      <c r="AG231" s="64"/>
      <c r="AJ231" s="65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H232" s="64"/>
      <c r="I232" s="64"/>
      <c r="J232" s="64"/>
      <c r="K232" s="64"/>
      <c r="L232" s="64"/>
      <c r="O232" s="64"/>
      <c r="P232" s="64"/>
      <c r="Q232" s="64"/>
      <c r="R232" s="64"/>
      <c r="S232" s="64"/>
      <c r="V232" s="64"/>
      <c r="W232" s="64"/>
      <c r="X232" s="64"/>
      <c r="Y232" s="64"/>
      <c r="Z232" s="64"/>
      <c r="AC232" s="64"/>
      <c r="AD232" s="64"/>
      <c r="AE232" s="64"/>
      <c r="AF232" s="64"/>
      <c r="AG232" s="64"/>
      <c r="AJ232" s="65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H233" s="64"/>
      <c r="I233" s="64"/>
      <c r="J233" s="64"/>
      <c r="K233" s="64"/>
      <c r="L233" s="64"/>
      <c r="O233" s="64"/>
      <c r="P233" s="64"/>
      <c r="Q233" s="64"/>
      <c r="R233" s="64"/>
      <c r="S233" s="64"/>
      <c r="V233" s="64"/>
      <c r="W233" s="64"/>
      <c r="X233" s="64"/>
      <c r="Y233" s="64"/>
      <c r="Z233" s="64"/>
      <c r="AC233" s="64"/>
      <c r="AD233" s="64"/>
      <c r="AE233" s="64"/>
      <c r="AF233" s="64"/>
      <c r="AG233" s="64"/>
      <c r="AJ233" s="65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H234" s="64"/>
      <c r="I234" s="64"/>
      <c r="J234" s="64"/>
      <c r="K234" s="64"/>
      <c r="L234" s="64"/>
      <c r="O234" s="64"/>
      <c r="P234" s="64"/>
      <c r="Q234" s="64"/>
      <c r="R234" s="64"/>
      <c r="S234" s="64"/>
      <c r="V234" s="64"/>
      <c r="W234" s="64"/>
      <c r="X234" s="64"/>
      <c r="Y234" s="64"/>
      <c r="Z234" s="64"/>
      <c r="AC234" s="64"/>
      <c r="AD234" s="64"/>
      <c r="AE234" s="64"/>
      <c r="AF234" s="64"/>
      <c r="AG234" s="64"/>
      <c r="AJ234" s="65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H235" s="64"/>
      <c r="I235" s="64"/>
      <c r="J235" s="64"/>
      <c r="K235" s="64"/>
      <c r="L235" s="64"/>
      <c r="O235" s="64"/>
      <c r="P235" s="64"/>
      <c r="Q235" s="64"/>
      <c r="R235" s="64"/>
      <c r="S235" s="64"/>
      <c r="V235" s="64"/>
      <c r="W235" s="64"/>
      <c r="X235" s="64"/>
      <c r="Y235" s="64"/>
      <c r="Z235" s="64"/>
      <c r="AC235" s="64"/>
      <c r="AD235" s="64"/>
      <c r="AE235" s="64"/>
      <c r="AF235" s="64"/>
      <c r="AG235" s="64"/>
      <c r="AJ235" s="65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H236" s="64"/>
      <c r="I236" s="64"/>
      <c r="J236" s="64"/>
      <c r="K236" s="64"/>
      <c r="L236" s="64"/>
      <c r="O236" s="64"/>
      <c r="P236" s="64"/>
      <c r="Q236" s="64"/>
      <c r="R236" s="64"/>
      <c r="S236" s="64"/>
      <c r="V236" s="64"/>
      <c r="W236" s="64"/>
      <c r="X236" s="64"/>
      <c r="Y236" s="64"/>
      <c r="Z236" s="64"/>
      <c r="AC236" s="64"/>
      <c r="AD236" s="64"/>
      <c r="AE236" s="64"/>
      <c r="AF236" s="64"/>
      <c r="AG236" s="64"/>
      <c r="AJ236" s="65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H237" s="64"/>
      <c r="I237" s="64"/>
      <c r="J237" s="64"/>
      <c r="K237" s="64"/>
      <c r="L237" s="64"/>
      <c r="O237" s="64"/>
      <c r="P237" s="64"/>
      <c r="Q237" s="64"/>
      <c r="R237" s="64"/>
      <c r="S237" s="64"/>
      <c r="V237" s="64"/>
      <c r="W237" s="64"/>
      <c r="X237" s="64"/>
      <c r="Y237" s="64"/>
      <c r="Z237" s="64"/>
      <c r="AC237" s="64"/>
      <c r="AD237" s="64"/>
      <c r="AE237" s="64"/>
      <c r="AF237" s="64"/>
      <c r="AG237" s="64"/>
      <c r="AJ237" s="65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H238" s="64"/>
      <c r="I238" s="64"/>
      <c r="J238" s="64"/>
      <c r="K238" s="64"/>
      <c r="L238" s="64"/>
      <c r="O238" s="64"/>
      <c r="P238" s="64"/>
      <c r="Q238" s="64"/>
      <c r="R238" s="64"/>
      <c r="S238" s="64"/>
      <c r="V238" s="64"/>
      <c r="W238" s="64"/>
      <c r="X238" s="64"/>
      <c r="Y238" s="64"/>
      <c r="Z238" s="64"/>
      <c r="AC238" s="64"/>
      <c r="AD238" s="64"/>
      <c r="AE238" s="64"/>
      <c r="AF238" s="64"/>
      <c r="AG238" s="64"/>
      <c r="AJ238" s="65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H239" s="64"/>
      <c r="I239" s="64"/>
      <c r="J239" s="64"/>
      <c r="K239" s="64"/>
      <c r="L239" s="64"/>
      <c r="O239" s="64"/>
      <c r="P239" s="64"/>
      <c r="Q239" s="64"/>
      <c r="R239" s="64"/>
      <c r="S239" s="64"/>
      <c r="V239" s="64"/>
      <c r="W239" s="64"/>
      <c r="X239" s="64"/>
      <c r="Y239" s="64"/>
      <c r="Z239" s="64"/>
      <c r="AC239" s="64"/>
      <c r="AD239" s="64"/>
      <c r="AE239" s="64"/>
      <c r="AF239" s="64"/>
      <c r="AG239" s="64"/>
      <c r="AJ239" s="65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H240" s="64"/>
      <c r="I240" s="64"/>
      <c r="J240" s="64"/>
      <c r="K240" s="64"/>
      <c r="L240" s="64"/>
      <c r="O240" s="64"/>
      <c r="P240" s="64"/>
      <c r="Q240" s="64"/>
      <c r="R240" s="64"/>
      <c r="S240" s="64"/>
      <c r="V240" s="64"/>
      <c r="W240" s="64"/>
      <c r="X240" s="64"/>
      <c r="Y240" s="64"/>
      <c r="Z240" s="64"/>
      <c r="AC240" s="64"/>
      <c r="AD240" s="64"/>
      <c r="AE240" s="64"/>
      <c r="AF240" s="64"/>
      <c r="AG240" s="64"/>
      <c r="AJ240" s="65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H241" s="64"/>
      <c r="I241" s="64"/>
      <c r="J241" s="64"/>
      <c r="K241" s="64"/>
      <c r="L241" s="64"/>
      <c r="O241" s="64"/>
      <c r="P241" s="64"/>
      <c r="Q241" s="64"/>
      <c r="R241" s="64"/>
      <c r="S241" s="64"/>
      <c r="V241" s="64"/>
      <c r="W241" s="64"/>
      <c r="X241" s="64"/>
      <c r="Y241" s="64"/>
      <c r="Z241" s="64"/>
      <c r="AC241" s="64"/>
      <c r="AD241" s="64"/>
      <c r="AE241" s="64"/>
      <c r="AF241" s="64"/>
      <c r="AG241" s="64"/>
      <c r="AJ241" s="65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H242" s="64"/>
      <c r="I242" s="64"/>
      <c r="J242" s="64"/>
      <c r="K242" s="64"/>
      <c r="L242" s="64"/>
      <c r="O242" s="64"/>
      <c r="P242" s="64"/>
      <c r="Q242" s="64"/>
      <c r="R242" s="64"/>
      <c r="S242" s="64"/>
      <c r="V242" s="64"/>
      <c r="W242" s="64"/>
      <c r="X242" s="64"/>
      <c r="Y242" s="64"/>
      <c r="Z242" s="64"/>
      <c r="AC242" s="64"/>
      <c r="AD242" s="64"/>
      <c r="AE242" s="64"/>
      <c r="AF242" s="64"/>
      <c r="AG242" s="64"/>
      <c r="AJ242" s="65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H243" s="64"/>
      <c r="I243" s="64"/>
      <c r="J243" s="64"/>
      <c r="K243" s="64"/>
      <c r="L243" s="64"/>
      <c r="O243" s="64"/>
      <c r="P243" s="64"/>
      <c r="Q243" s="64"/>
      <c r="R243" s="64"/>
      <c r="S243" s="64"/>
      <c r="V243" s="64"/>
      <c r="W243" s="64"/>
      <c r="X243" s="64"/>
      <c r="Y243" s="64"/>
      <c r="Z243" s="64"/>
      <c r="AC243" s="64"/>
      <c r="AD243" s="64"/>
      <c r="AE243" s="64"/>
      <c r="AF243" s="64"/>
      <c r="AG243" s="64"/>
      <c r="AJ243" s="65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H244" s="64"/>
      <c r="I244" s="64"/>
      <c r="J244" s="64"/>
      <c r="K244" s="64"/>
      <c r="L244" s="64"/>
      <c r="O244" s="64"/>
      <c r="P244" s="64"/>
      <c r="Q244" s="64"/>
      <c r="R244" s="64"/>
      <c r="S244" s="64"/>
      <c r="V244" s="64"/>
      <c r="W244" s="64"/>
      <c r="X244" s="64"/>
      <c r="Y244" s="64"/>
      <c r="Z244" s="64"/>
      <c r="AC244" s="64"/>
      <c r="AD244" s="64"/>
      <c r="AE244" s="64"/>
      <c r="AF244" s="64"/>
      <c r="AG244" s="64"/>
      <c r="AJ244" s="65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H245" s="64"/>
      <c r="I245" s="64"/>
      <c r="J245" s="64"/>
      <c r="K245" s="64"/>
      <c r="L245" s="64"/>
      <c r="O245" s="64"/>
      <c r="P245" s="64"/>
      <c r="Q245" s="64"/>
      <c r="R245" s="64"/>
      <c r="S245" s="64"/>
      <c r="V245" s="64"/>
      <c r="W245" s="64"/>
      <c r="X245" s="64"/>
      <c r="Y245" s="64"/>
      <c r="Z245" s="64"/>
      <c r="AC245" s="64"/>
      <c r="AD245" s="64"/>
      <c r="AE245" s="64"/>
      <c r="AF245" s="64"/>
      <c r="AG245" s="64"/>
      <c r="AJ245" s="65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H246" s="64"/>
      <c r="I246" s="64"/>
      <c r="J246" s="64"/>
      <c r="K246" s="64"/>
      <c r="L246" s="64"/>
      <c r="O246" s="64"/>
      <c r="P246" s="64"/>
      <c r="Q246" s="64"/>
      <c r="R246" s="64"/>
      <c r="S246" s="64"/>
      <c r="V246" s="64"/>
      <c r="W246" s="64"/>
      <c r="X246" s="64"/>
      <c r="Y246" s="64"/>
      <c r="Z246" s="64"/>
      <c r="AC246" s="64"/>
      <c r="AD246" s="64"/>
      <c r="AE246" s="64"/>
      <c r="AF246" s="64"/>
      <c r="AG246" s="64"/>
      <c r="AJ246" s="65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H247" s="64"/>
      <c r="I247" s="64"/>
      <c r="J247" s="64"/>
      <c r="K247" s="64"/>
      <c r="L247" s="64"/>
      <c r="O247" s="64"/>
      <c r="P247" s="64"/>
      <c r="Q247" s="64"/>
      <c r="R247" s="64"/>
      <c r="S247" s="64"/>
      <c r="V247" s="64"/>
      <c r="W247" s="64"/>
      <c r="X247" s="64"/>
      <c r="Y247" s="64"/>
      <c r="Z247" s="64"/>
      <c r="AC247" s="64"/>
      <c r="AD247" s="64"/>
      <c r="AE247" s="64"/>
      <c r="AF247" s="64"/>
      <c r="AG247" s="64"/>
      <c r="AJ247" s="65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H248" s="64"/>
      <c r="I248" s="64"/>
      <c r="J248" s="64"/>
      <c r="K248" s="64"/>
      <c r="L248" s="64"/>
      <c r="O248" s="64"/>
      <c r="P248" s="64"/>
      <c r="Q248" s="64"/>
      <c r="R248" s="64"/>
      <c r="S248" s="64"/>
      <c r="V248" s="64"/>
      <c r="W248" s="64"/>
      <c r="X248" s="64"/>
      <c r="Y248" s="64"/>
      <c r="Z248" s="64"/>
      <c r="AC248" s="64"/>
      <c r="AD248" s="64"/>
      <c r="AE248" s="64"/>
      <c r="AF248" s="64"/>
      <c r="AG248" s="64"/>
      <c r="AJ248" s="65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H249" s="64"/>
      <c r="I249" s="64"/>
      <c r="J249" s="64"/>
      <c r="K249" s="64"/>
      <c r="L249" s="64"/>
      <c r="O249" s="64"/>
      <c r="P249" s="64"/>
      <c r="Q249" s="64"/>
      <c r="R249" s="64"/>
      <c r="S249" s="64"/>
      <c r="V249" s="64"/>
      <c r="W249" s="64"/>
      <c r="X249" s="64"/>
      <c r="Y249" s="64"/>
      <c r="Z249" s="64"/>
      <c r="AC249" s="64"/>
      <c r="AD249" s="64"/>
      <c r="AE249" s="64"/>
      <c r="AF249" s="64"/>
      <c r="AG249" s="64"/>
      <c r="AJ249" s="65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H250" s="64"/>
      <c r="I250" s="64"/>
      <c r="J250" s="64"/>
      <c r="K250" s="64"/>
      <c r="L250" s="64"/>
      <c r="O250" s="64"/>
      <c r="P250" s="64"/>
      <c r="Q250" s="64"/>
      <c r="R250" s="64"/>
      <c r="S250" s="64"/>
      <c r="V250" s="64"/>
      <c r="W250" s="64"/>
      <c r="X250" s="64"/>
      <c r="Y250" s="64"/>
      <c r="Z250" s="64"/>
      <c r="AC250" s="64"/>
      <c r="AD250" s="64"/>
      <c r="AE250" s="64"/>
      <c r="AF250" s="64"/>
      <c r="AG250" s="64"/>
      <c r="AJ250" s="65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H251" s="64"/>
      <c r="I251" s="64"/>
      <c r="J251" s="64"/>
      <c r="K251" s="64"/>
      <c r="L251" s="64"/>
      <c r="O251" s="64"/>
      <c r="P251" s="64"/>
      <c r="Q251" s="64"/>
      <c r="R251" s="64"/>
      <c r="S251" s="64"/>
      <c r="V251" s="64"/>
      <c r="W251" s="64"/>
      <c r="X251" s="64"/>
      <c r="Y251" s="64"/>
      <c r="Z251" s="64"/>
      <c r="AC251" s="64"/>
      <c r="AD251" s="64"/>
      <c r="AE251" s="64"/>
      <c r="AF251" s="64"/>
      <c r="AG251" s="64"/>
      <c r="AJ251" s="65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H252" s="64"/>
      <c r="I252" s="64"/>
      <c r="J252" s="64"/>
      <c r="K252" s="64"/>
      <c r="L252" s="64"/>
      <c r="O252" s="64"/>
      <c r="P252" s="64"/>
      <c r="Q252" s="64"/>
      <c r="R252" s="64"/>
      <c r="S252" s="64"/>
      <c r="V252" s="64"/>
      <c r="W252" s="64"/>
      <c r="X252" s="64"/>
      <c r="Y252" s="64"/>
      <c r="Z252" s="64"/>
      <c r="AC252" s="64"/>
      <c r="AD252" s="64"/>
      <c r="AE252" s="64"/>
      <c r="AF252" s="64"/>
      <c r="AG252" s="64"/>
      <c r="AJ252" s="65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H253" s="64"/>
      <c r="I253" s="64"/>
      <c r="J253" s="64"/>
      <c r="K253" s="64"/>
      <c r="L253" s="64"/>
      <c r="O253" s="64"/>
      <c r="P253" s="64"/>
      <c r="Q253" s="64"/>
      <c r="R253" s="64"/>
      <c r="S253" s="64"/>
      <c r="V253" s="64"/>
      <c r="W253" s="64"/>
      <c r="X253" s="64"/>
      <c r="Y253" s="64"/>
      <c r="Z253" s="64"/>
      <c r="AC253" s="64"/>
      <c r="AD253" s="64"/>
      <c r="AE253" s="64"/>
      <c r="AF253" s="64"/>
      <c r="AG253" s="64"/>
      <c r="AJ253" s="65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H254" s="64"/>
      <c r="I254" s="64"/>
      <c r="J254" s="64"/>
      <c r="K254" s="64"/>
      <c r="L254" s="64"/>
      <c r="O254" s="64"/>
      <c r="P254" s="64"/>
      <c r="Q254" s="64"/>
      <c r="R254" s="64"/>
      <c r="S254" s="64"/>
      <c r="V254" s="64"/>
      <c r="W254" s="64"/>
      <c r="X254" s="64"/>
      <c r="Y254" s="64"/>
      <c r="Z254" s="64"/>
      <c r="AC254" s="64"/>
      <c r="AD254" s="64"/>
      <c r="AE254" s="64"/>
      <c r="AF254" s="64"/>
      <c r="AG254" s="64"/>
      <c r="AJ254" s="65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H255" s="64"/>
      <c r="I255" s="64"/>
      <c r="J255" s="64"/>
      <c r="K255" s="64"/>
      <c r="L255" s="64"/>
      <c r="O255" s="64"/>
      <c r="P255" s="64"/>
      <c r="Q255" s="64"/>
      <c r="R255" s="64"/>
      <c r="S255" s="64"/>
      <c r="V255" s="64"/>
      <c r="W255" s="64"/>
      <c r="X255" s="64"/>
      <c r="Y255" s="64"/>
      <c r="Z255" s="64"/>
      <c r="AC255" s="64"/>
      <c r="AD255" s="64"/>
      <c r="AE255" s="64"/>
      <c r="AF255" s="64"/>
      <c r="AG255" s="64"/>
      <c r="AJ255" s="65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H256" s="64"/>
      <c r="I256" s="64"/>
      <c r="J256" s="64"/>
      <c r="K256" s="64"/>
      <c r="L256" s="64"/>
      <c r="O256" s="64"/>
      <c r="P256" s="64"/>
      <c r="Q256" s="64"/>
      <c r="R256" s="64"/>
      <c r="S256" s="64"/>
      <c r="V256" s="64"/>
      <c r="W256" s="64"/>
      <c r="X256" s="64"/>
      <c r="Y256" s="64"/>
      <c r="Z256" s="64"/>
      <c r="AC256" s="64"/>
      <c r="AD256" s="64"/>
      <c r="AE256" s="64"/>
      <c r="AF256" s="64"/>
      <c r="AG256" s="64"/>
      <c r="AJ256" s="65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H257" s="64"/>
      <c r="I257" s="64"/>
      <c r="J257" s="64"/>
      <c r="K257" s="64"/>
      <c r="L257" s="64"/>
      <c r="O257" s="64"/>
      <c r="P257" s="64"/>
      <c r="Q257" s="64"/>
      <c r="R257" s="64"/>
      <c r="S257" s="64"/>
      <c r="V257" s="64"/>
      <c r="W257" s="64"/>
      <c r="X257" s="64"/>
      <c r="Y257" s="64"/>
      <c r="Z257" s="64"/>
      <c r="AC257" s="64"/>
      <c r="AD257" s="64"/>
      <c r="AE257" s="64"/>
      <c r="AF257" s="64"/>
      <c r="AG257" s="64"/>
      <c r="AJ257" s="65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H258" s="64"/>
      <c r="I258" s="64"/>
      <c r="J258" s="64"/>
      <c r="K258" s="64"/>
      <c r="L258" s="64"/>
      <c r="O258" s="64"/>
      <c r="P258" s="64"/>
      <c r="Q258" s="64"/>
      <c r="R258" s="64"/>
      <c r="S258" s="64"/>
      <c r="V258" s="64"/>
      <c r="W258" s="64"/>
      <c r="X258" s="64"/>
      <c r="Y258" s="64"/>
      <c r="Z258" s="64"/>
      <c r="AC258" s="64"/>
      <c r="AD258" s="64"/>
      <c r="AE258" s="64"/>
      <c r="AF258" s="64"/>
      <c r="AG258" s="64"/>
      <c r="AJ258" s="65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H259" s="64"/>
      <c r="I259" s="64"/>
      <c r="J259" s="64"/>
      <c r="K259" s="64"/>
      <c r="L259" s="64"/>
      <c r="O259" s="64"/>
      <c r="P259" s="64"/>
      <c r="Q259" s="64"/>
      <c r="R259" s="64"/>
      <c r="S259" s="64"/>
      <c r="V259" s="64"/>
      <c r="W259" s="64"/>
      <c r="X259" s="64"/>
      <c r="Y259" s="64"/>
      <c r="Z259" s="64"/>
      <c r="AC259" s="64"/>
      <c r="AD259" s="64"/>
      <c r="AE259" s="64"/>
      <c r="AF259" s="64"/>
      <c r="AG259" s="64"/>
      <c r="AJ259" s="65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H260" s="64"/>
      <c r="I260" s="64"/>
      <c r="J260" s="64"/>
      <c r="K260" s="64"/>
      <c r="L260" s="64"/>
      <c r="O260" s="64"/>
      <c r="P260" s="64"/>
      <c r="Q260" s="64"/>
      <c r="R260" s="64"/>
      <c r="S260" s="64"/>
      <c r="V260" s="64"/>
      <c r="W260" s="64"/>
      <c r="X260" s="64"/>
      <c r="Y260" s="64"/>
      <c r="Z260" s="64"/>
      <c r="AC260" s="64"/>
      <c r="AD260" s="64"/>
      <c r="AE260" s="64"/>
      <c r="AF260" s="64"/>
      <c r="AG260" s="64"/>
      <c r="AJ260" s="65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H261" s="64"/>
      <c r="I261" s="64"/>
      <c r="J261" s="64"/>
      <c r="K261" s="64"/>
      <c r="L261" s="64"/>
      <c r="O261" s="64"/>
      <c r="P261" s="64"/>
      <c r="Q261" s="64"/>
      <c r="R261" s="64"/>
      <c r="S261" s="64"/>
      <c r="V261" s="64"/>
      <c r="W261" s="64"/>
      <c r="X261" s="64"/>
      <c r="Y261" s="64"/>
      <c r="Z261" s="64"/>
      <c r="AC261" s="64"/>
      <c r="AD261" s="64"/>
      <c r="AE261" s="64"/>
      <c r="AF261" s="64"/>
      <c r="AG261" s="64"/>
      <c r="AJ261" s="65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H262" s="64"/>
      <c r="I262" s="64"/>
      <c r="J262" s="64"/>
      <c r="K262" s="64"/>
      <c r="L262" s="64"/>
      <c r="O262" s="64"/>
      <c r="P262" s="64"/>
      <c r="Q262" s="64"/>
      <c r="R262" s="64"/>
      <c r="S262" s="64"/>
      <c r="V262" s="64"/>
      <c r="W262" s="64"/>
      <c r="X262" s="64"/>
      <c r="Y262" s="64"/>
      <c r="Z262" s="64"/>
      <c r="AC262" s="64"/>
      <c r="AD262" s="64"/>
      <c r="AE262" s="64"/>
      <c r="AF262" s="64"/>
      <c r="AG262" s="64"/>
      <c r="AJ262" s="65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H263" s="64"/>
      <c r="I263" s="64"/>
      <c r="J263" s="64"/>
      <c r="K263" s="64"/>
      <c r="L263" s="64"/>
      <c r="O263" s="64"/>
      <c r="P263" s="64"/>
      <c r="Q263" s="64"/>
      <c r="R263" s="64"/>
      <c r="S263" s="64"/>
      <c r="V263" s="64"/>
      <c r="W263" s="64"/>
      <c r="X263" s="64"/>
      <c r="Y263" s="64"/>
      <c r="Z263" s="64"/>
      <c r="AC263" s="64"/>
      <c r="AD263" s="64"/>
      <c r="AE263" s="64"/>
      <c r="AF263" s="64"/>
      <c r="AG263" s="64"/>
      <c r="AJ263" s="65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H264" s="64"/>
      <c r="I264" s="64"/>
      <c r="J264" s="64"/>
      <c r="K264" s="64"/>
      <c r="L264" s="64"/>
      <c r="O264" s="64"/>
      <c r="P264" s="64"/>
      <c r="Q264" s="64"/>
      <c r="R264" s="64"/>
      <c r="S264" s="64"/>
      <c r="V264" s="64"/>
      <c r="W264" s="64"/>
      <c r="X264" s="64"/>
      <c r="Y264" s="64"/>
      <c r="Z264" s="64"/>
      <c r="AC264" s="64"/>
      <c r="AD264" s="64"/>
      <c r="AE264" s="64"/>
      <c r="AF264" s="64"/>
      <c r="AG264" s="64"/>
      <c r="AJ264" s="65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H265" s="64"/>
      <c r="I265" s="64"/>
      <c r="J265" s="64"/>
      <c r="K265" s="64"/>
      <c r="L265" s="64"/>
      <c r="O265" s="64"/>
      <c r="P265" s="64"/>
      <c r="Q265" s="64"/>
      <c r="R265" s="64"/>
      <c r="S265" s="64"/>
      <c r="V265" s="64"/>
      <c r="W265" s="64"/>
      <c r="X265" s="64"/>
      <c r="Y265" s="64"/>
      <c r="Z265" s="64"/>
      <c r="AC265" s="64"/>
      <c r="AD265" s="64"/>
      <c r="AE265" s="64"/>
      <c r="AF265" s="64"/>
      <c r="AG265" s="64"/>
      <c r="AJ265" s="65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H266" s="64"/>
      <c r="I266" s="64"/>
      <c r="J266" s="64"/>
      <c r="K266" s="64"/>
      <c r="L266" s="64"/>
      <c r="O266" s="64"/>
      <c r="P266" s="64"/>
      <c r="Q266" s="64"/>
      <c r="R266" s="64"/>
      <c r="S266" s="64"/>
      <c r="V266" s="64"/>
      <c r="W266" s="64"/>
      <c r="X266" s="64"/>
      <c r="Y266" s="64"/>
      <c r="Z266" s="64"/>
      <c r="AC266" s="64"/>
      <c r="AD266" s="64"/>
      <c r="AE266" s="64"/>
      <c r="AF266" s="64"/>
      <c r="AG266" s="64"/>
      <c r="AJ266" s="65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H267" s="64"/>
      <c r="I267" s="64"/>
      <c r="J267" s="64"/>
      <c r="K267" s="64"/>
      <c r="L267" s="64"/>
      <c r="O267" s="64"/>
      <c r="P267" s="64"/>
      <c r="Q267" s="64"/>
      <c r="R267" s="64"/>
      <c r="S267" s="64"/>
      <c r="V267" s="64"/>
      <c r="W267" s="64"/>
      <c r="X267" s="64"/>
      <c r="Y267" s="64"/>
      <c r="Z267" s="64"/>
      <c r="AC267" s="64"/>
      <c r="AD267" s="64"/>
      <c r="AE267" s="64"/>
      <c r="AF267" s="64"/>
      <c r="AG267" s="64"/>
      <c r="AJ267" s="65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H268" s="64"/>
      <c r="I268" s="64"/>
      <c r="J268" s="64"/>
      <c r="K268" s="64"/>
      <c r="L268" s="64"/>
      <c r="O268" s="64"/>
      <c r="P268" s="64"/>
      <c r="Q268" s="64"/>
      <c r="R268" s="64"/>
      <c r="S268" s="64"/>
      <c r="V268" s="64"/>
      <c r="W268" s="64"/>
      <c r="X268" s="64"/>
      <c r="Y268" s="64"/>
      <c r="Z268" s="64"/>
      <c r="AC268" s="64"/>
      <c r="AD268" s="64"/>
      <c r="AE268" s="64"/>
      <c r="AF268" s="64"/>
      <c r="AG268" s="64"/>
      <c r="AJ268" s="65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H269" s="64"/>
      <c r="I269" s="64"/>
      <c r="J269" s="64"/>
      <c r="K269" s="64"/>
      <c r="L269" s="64"/>
      <c r="O269" s="64"/>
      <c r="P269" s="64"/>
      <c r="Q269" s="64"/>
      <c r="R269" s="64"/>
      <c r="S269" s="64"/>
      <c r="V269" s="64"/>
      <c r="W269" s="64"/>
      <c r="X269" s="64"/>
      <c r="Y269" s="64"/>
      <c r="Z269" s="64"/>
      <c r="AC269" s="64"/>
      <c r="AD269" s="64"/>
      <c r="AE269" s="64"/>
      <c r="AF269" s="64"/>
      <c r="AG269" s="64"/>
      <c r="AJ269" s="65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H270" s="64"/>
      <c r="I270" s="64"/>
      <c r="J270" s="64"/>
      <c r="K270" s="64"/>
      <c r="L270" s="64"/>
      <c r="O270" s="64"/>
      <c r="P270" s="64"/>
      <c r="Q270" s="64"/>
      <c r="R270" s="64"/>
      <c r="S270" s="64"/>
      <c r="V270" s="64"/>
      <c r="W270" s="64"/>
      <c r="X270" s="64"/>
      <c r="Y270" s="64"/>
      <c r="Z270" s="64"/>
      <c r="AC270" s="64"/>
      <c r="AD270" s="64"/>
      <c r="AE270" s="64"/>
      <c r="AF270" s="64"/>
      <c r="AG270" s="64"/>
      <c r="AJ270" s="65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H271" s="64"/>
      <c r="I271" s="64"/>
      <c r="J271" s="64"/>
      <c r="K271" s="64"/>
      <c r="L271" s="64"/>
      <c r="O271" s="64"/>
      <c r="P271" s="64"/>
      <c r="Q271" s="64"/>
      <c r="R271" s="64"/>
      <c r="S271" s="64"/>
      <c r="V271" s="64"/>
      <c r="W271" s="64"/>
      <c r="X271" s="64"/>
      <c r="Y271" s="64"/>
      <c r="Z271" s="64"/>
      <c r="AC271" s="64"/>
      <c r="AD271" s="64"/>
      <c r="AE271" s="64"/>
      <c r="AF271" s="64"/>
      <c r="AG271" s="64"/>
      <c r="AJ271" s="65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H272" s="64"/>
      <c r="I272" s="64"/>
      <c r="J272" s="64"/>
      <c r="K272" s="64"/>
      <c r="L272" s="64"/>
      <c r="O272" s="64"/>
      <c r="P272" s="64"/>
      <c r="Q272" s="64"/>
      <c r="R272" s="64"/>
      <c r="S272" s="64"/>
      <c r="V272" s="64"/>
      <c r="W272" s="64"/>
      <c r="X272" s="64"/>
      <c r="Y272" s="64"/>
      <c r="Z272" s="64"/>
      <c r="AC272" s="64"/>
      <c r="AD272" s="64"/>
      <c r="AE272" s="64"/>
      <c r="AF272" s="64"/>
      <c r="AG272" s="64"/>
      <c r="AJ272" s="65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H273" s="64"/>
      <c r="I273" s="64"/>
      <c r="J273" s="64"/>
      <c r="K273" s="64"/>
      <c r="L273" s="64"/>
      <c r="O273" s="64"/>
      <c r="P273" s="64"/>
      <c r="Q273" s="64"/>
      <c r="R273" s="64"/>
      <c r="S273" s="64"/>
      <c r="V273" s="64"/>
      <c r="W273" s="64"/>
      <c r="X273" s="64"/>
      <c r="Y273" s="64"/>
      <c r="Z273" s="64"/>
      <c r="AC273" s="64"/>
      <c r="AD273" s="64"/>
      <c r="AE273" s="64"/>
      <c r="AF273" s="64"/>
      <c r="AG273" s="64"/>
      <c r="AJ273" s="65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H274" s="64"/>
      <c r="I274" s="64"/>
      <c r="J274" s="64"/>
      <c r="K274" s="64"/>
      <c r="L274" s="64"/>
      <c r="O274" s="64"/>
      <c r="P274" s="64"/>
      <c r="Q274" s="64"/>
      <c r="R274" s="64"/>
      <c r="S274" s="64"/>
      <c r="V274" s="64"/>
      <c r="W274" s="64"/>
      <c r="X274" s="64"/>
      <c r="Y274" s="64"/>
      <c r="Z274" s="64"/>
      <c r="AC274" s="64"/>
      <c r="AD274" s="64"/>
      <c r="AE274" s="64"/>
      <c r="AF274" s="64"/>
      <c r="AG274" s="64"/>
      <c r="AJ274" s="65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H275" s="64"/>
      <c r="I275" s="64"/>
      <c r="J275" s="64"/>
      <c r="K275" s="64"/>
      <c r="L275" s="64"/>
      <c r="O275" s="64"/>
      <c r="P275" s="64"/>
      <c r="Q275" s="64"/>
      <c r="R275" s="64"/>
      <c r="S275" s="64"/>
      <c r="V275" s="64"/>
      <c r="W275" s="64"/>
      <c r="X275" s="64"/>
      <c r="Y275" s="64"/>
      <c r="Z275" s="64"/>
      <c r="AC275" s="64"/>
      <c r="AD275" s="64"/>
      <c r="AE275" s="64"/>
      <c r="AF275" s="64"/>
      <c r="AG275" s="64"/>
      <c r="AJ275" s="65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H276" s="64"/>
      <c r="I276" s="64"/>
      <c r="J276" s="64"/>
      <c r="K276" s="64"/>
      <c r="L276" s="64"/>
      <c r="O276" s="64"/>
      <c r="P276" s="64"/>
      <c r="Q276" s="64"/>
      <c r="R276" s="64"/>
      <c r="S276" s="64"/>
      <c r="V276" s="64"/>
      <c r="W276" s="64"/>
      <c r="X276" s="64"/>
      <c r="Y276" s="64"/>
      <c r="Z276" s="64"/>
      <c r="AC276" s="64"/>
      <c r="AD276" s="64"/>
      <c r="AE276" s="64"/>
      <c r="AF276" s="64"/>
      <c r="AG276" s="64"/>
      <c r="AJ276" s="65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H277" s="64"/>
      <c r="I277" s="64"/>
      <c r="J277" s="64"/>
      <c r="K277" s="64"/>
      <c r="L277" s="64"/>
      <c r="O277" s="64"/>
      <c r="P277" s="64"/>
      <c r="Q277" s="64"/>
      <c r="R277" s="64"/>
      <c r="S277" s="64"/>
      <c r="V277" s="64"/>
      <c r="W277" s="64"/>
      <c r="X277" s="64"/>
      <c r="Y277" s="64"/>
      <c r="Z277" s="64"/>
      <c r="AC277" s="64"/>
      <c r="AD277" s="64"/>
      <c r="AE277" s="64"/>
      <c r="AF277" s="64"/>
      <c r="AG277" s="64"/>
      <c r="AJ277" s="65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H278" s="64"/>
      <c r="I278" s="64"/>
      <c r="J278" s="64"/>
      <c r="K278" s="64"/>
      <c r="L278" s="64"/>
      <c r="O278" s="64"/>
      <c r="P278" s="64"/>
      <c r="Q278" s="64"/>
      <c r="R278" s="64"/>
      <c r="S278" s="64"/>
      <c r="V278" s="64"/>
      <c r="W278" s="64"/>
      <c r="X278" s="64"/>
      <c r="Y278" s="64"/>
      <c r="Z278" s="64"/>
      <c r="AC278" s="64"/>
      <c r="AD278" s="64"/>
      <c r="AE278" s="64"/>
      <c r="AF278" s="64"/>
      <c r="AG278" s="64"/>
      <c r="AJ278" s="65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H279" s="64"/>
      <c r="I279" s="64"/>
      <c r="J279" s="64"/>
      <c r="K279" s="64"/>
      <c r="L279" s="64"/>
      <c r="O279" s="64"/>
      <c r="P279" s="64"/>
      <c r="Q279" s="64"/>
      <c r="R279" s="64"/>
      <c r="S279" s="64"/>
      <c r="V279" s="64"/>
      <c r="W279" s="64"/>
      <c r="X279" s="64"/>
      <c r="Y279" s="64"/>
      <c r="Z279" s="64"/>
      <c r="AC279" s="64"/>
      <c r="AD279" s="64"/>
      <c r="AE279" s="64"/>
      <c r="AF279" s="64"/>
      <c r="AG279" s="64"/>
      <c r="AJ279" s="65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H280" s="64"/>
      <c r="I280" s="64"/>
      <c r="J280" s="64"/>
      <c r="K280" s="64"/>
      <c r="L280" s="64"/>
      <c r="O280" s="64"/>
      <c r="P280" s="64"/>
      <c r="Q280" s="64"/>
      <c r="R280" s="64"/>
      <c r="S280" s="64"/>
      <c r="V280" s="64"/>
      <c r="W280" s="64"/>
      <c r="X280" s="64"/>
      <c r="Y280" s="64"/>
      <c r="Z280" s="64"/>
      <c r="AC280" s="64"/>
      <c r="AD280" s="64"/>
      <c r="AE280" s="64"/>
      <c r="AF280" s="64"/>
      <c r="AG280" s="64"/>
      <c r="AJ280" s="65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H281" s="64"/>
      <c r="I281" s="64"/>
      <c r="J281" s="64"/>
      <c r="K281" s="64"/>
      <c r="L281" s="64"/>
      <c r="O281" s="64"/>
      <c r="P281" s="64"/>
      <c r="Q281" s="64"/>
      <c r="R281" s="64"/>
      <c r="S281" s="64"/>
      <c r="V281" s="64"/>
      <c r="W281" s="64"/>
      <c r="X281" s="64"/>
      <c r="Y281" s="64"/>
      <c r="Z281" s="64"/>
      <c r="AC281" s="64"/>
      <c r="AD281" s="64"/>
      <c r="AE281" s="64"/>
      <c r="AF281" s="64"/>
      <c r="AG281" s="64"/>
      <c r="AJ281" s="65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H282" s="64"/>
      <c r="I282" s="64"/>
      <c r="J282" s="64"/>
      <c r="K282" s="64"/>
      <c r="L282" s="64"/>
      <c r="O282" s="64"/>
      <c r="P282" s="64"/>
      <c r="Q282" s="64"/>
      <c r="R282" s="64"/>
      <c r="S282" s="64"/>
      <c r="V282" s="64"/>
      <c r="W282" s="64"/>
      <c r="X282" s="64"/>
      <c r="Y282" s="64"/>
      <c r="Z282" s="64"/>
      <c r="AC282" s="64"/>
      <c r="AD282" s="64"/>
      <c r="AE282" s="64"/>
      <c r="AF282" s="64"/>
      <c r="AG282" s="64"/>
      <c r="AJ282" s="65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H283" s="64"/>
      <c r="I283" s="64"/>
      <c r="J283" s="64"/>
      <c r="K283" s="64"/>
      <c r="L283" s="64"/>
      <c r="O283" s="64"/>
      <c r="P283" s="64"/>
      <c r="Q283" s="64"/>
      <c r="R283" s="64"/>
      <c r="S283" s="64"/>
      <c r="V283" s="64"/>
      <c r="W283" s="64"/>
      <c r="X283" s="64"/>
      <c r="Y283" s="64"/>
      <c r="Z283" s="64"/>
      <c r="AC283" s="64"/>
      <c r="AD283" s="64"/>
      <c r="AE283" s="64"/>
      <c r="AF283" s="64"/>
      <c r="AG283" s="64"/>
      <c r="AJ283" s="65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H284" s="64"/>
      <c r="I284" s="64"/>
      <c r="J284" s="64"/>
      <c r="K284" s="64"/>
      <c r="L284" s="64"/>
      <c r="O284" s="64"/>
      <c r="P284" s="64"/>
      <c r="Q284" s="64"/>
      <c r="R284" s="64"/>
      <c r="S284" s="64"/>
      <c r="V284" s="64"/>
      <c r="W284" s="64"/>
      <c r="X284" s="64"/>
      <c r="Y284" s="64"/>
      <c r="Z284" s="64"/>
      <c r="AC284" s="64"/>
      <c r="AD284" s="64"/>
      <c r="AE284" s="64"/>
      <c r="AF284" s="64"/>
      <c r="AG284" s="64"/>
      <c r="AJ284" s="65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H285" s="64"/>
      <c r="I285" s="64"/>
      <c r="J285" s="64"/>
      <c r="K285" s="64"/>
      <c r="L285" s="64"/>
      <c r="O285" s="64"/>
      <c r="P285" s="64"/>
      <c r="Q285" s="64"/>
      <c r="R285" s="64"/>
      <c r="S285" s="64"/>
      <c r="V285" s="64"/>
      <c r="W285" s="64"/>
      <c r="X285" s="64"/>
      <c r="Y285" s="64"/>
      <c r="Z285" s="64"/>
      <c r="AC285" s="64"/>
      <c r="AD285" s="64"/>
      <c r="AE285" s="64"/>
      <c r="AF285" s="64"/>
      <c r="AG285" s="64"/>
      <c r="AJ285" s="65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H286" s="64"/>
      <c r="I286" s="64"/>
      <c r="J286" s="64"/>
      <c r="K286" s="64"/>
      <c r="L286" s="64"/>
      <c r="O286" s="64"/>
      <c r="P286" s="64"/>
      <c r="Q286" s="64"/>
      <c r="R286" s="64"/>
      <c r="S286" s="64"/>
      <c r="V286" s="64"/>
      <c r="W286" s="64"/>
      <c r="X286" s="64"/>
      <c r="Y286" s="64"/>
      <c r="Z286" s="64"/>
      <c r="AC286" s="64"/>
      <c r="AD286" s="64"/>
      <c r="AE286" s="64"/>
      <c r="AF286" s="64"/>
      <c r="AG286" s="64"/>
      <c r="AJ286" s="65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H287" s="64"/>
      <c r="I287" s="64"/>
      <c r="J287" s="64"/>
      <c r="K287" s="64"/>
      <c r="L287" s="64"/>
      <c r="O287" s="64"/>
      <c r="P287" s="64"/>
      <c r="Q287" s="64"/>
      <c r="R287" s="64"/>
      <c r="S287" s="64"/>
      <c r="V287" s="64"/>
      <c r="W287" s="64"/>
      <c r="X287" s="64"/>
      <c r="Y287" s="64"/>
      <c r="Z287" s="64"/>
      <c r="AC287" s="64"/>
      <c r="AD287" s="64"/>
      <c r="AE287" s="64"/>
      <c r="AF287" s="64"/>
      <c r="AG287" s="64"/>
      <c r="AJ287" s="65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H288" s="64"/>
      <c r="I288" s="64"/>
      <c r="J288" s="64"/>
      <c r="K288" s="64"/>
      <c r="L288" s="64"/>
      <c r="O288" s="64"/>
      <c r="P288" s="64"/>
      <c r="Q288" s="64"/>
      <c r="R288" s="64"/>
      <c r="S288" s="64"/>
      <c r="V288" s="64"/>
      <c r="W288" s="64"/>
      <c r="X288" s="64"/>
      <c r="Y288" s="64"/>
      <c r="Z288" s="64"/>
      <c r="AC288" s="64"/>
      <c r="AD288" s="64"/>
      <c r="AE288" s="64"/>
      <c r="AF288" s="64"/>
      <c r="AG288" s="64"/>
      <c r="AJ288" s="65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H289" s="64"/>
      <c r="I289" s="64"/>
      <c r="J289" s="64"/>
      <c r="K289" s="64"/>
      <c r="L289" s="64"/>
      <c r="O289" s="64"/>
      <c r="P289" s="64"/>
      <c r="Q289" s="64"/>
      <c r="R289" s="64"/>
      <c r="S289" s="64"/>
      <c r="V289" s="64"/>
      <c r="W289" s="64"/>
      <c r="X289" s="64"/>
      <c r="Y289" s="64"/>
      <c r="Z289" s="64"/>
      <c r="AC289" s="64"/>
      <c r="AD289" s="64"/>
      <c r="AE289" s="64"/>
      <c r="AF289" s="64"/>
      <c r="AG289" s="64"/>
      <c r="AJ289" s="65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H290" s="64"/>
      <c r="I290" s="64"/>
      <c r="J290" s="64"/>
      <c r="K290" s="64"/>
      <c r="L290" s="64"/>
      <c r="O290" s="64"/>
      <c r="P290" s="64"/>
      <c r="Q290" s="64"/>
      <c r="R290" s="64"/>
      <c r="S290" s="64"/>
      <c r="V290" s="64"/>
      <c r="W290" s="64"/>
      <c r="X290" s="64"/>
      <c r="Y290" s="64"/>
      <c r="Z290" s="64"/>
      <c r="AC290" s="64"/>
      <c r="AD290" s="64"/>
      <c r="AE290" s="64"/>
      <c r="AF290" s="64"/>
      <c r="AG290" s="64"/>
      <c r="AJ290" s="65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H291" s="64"/>
      <c r="I291" s="64"/>
      <c r="J291" s="64"/>
      <c r="K291" s="64"/>
      <c r="L291" s="64"/>
      <c r="O291" s="64"/>
      <c r="P291" s="64"/>
      <c r="Q291" s="64"/>
      <c r="R291" s="64"/>
      <c r="S291" s="64"/>
      <c r="V291" s="64"/>
      <c r="W291" s="64"/>
      <c r="X291" s="64"/>
      <c r="Y291" s="64"/>
      <c r="Z291" s="64"/>
      <c r="AC291" s="64"/>
      <c r="AD291" s="64"/>
      <c r="AE291" s="64"/>
      <c r="AF291" s="64"/>
      <c r="AG291" s="64"/>
      <c r="AJ291" s="65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H292" s="64"/>
      <c r="I292" s="64"/>
      <c r="J292" s="64"/>
      <c r="K292" s="64"/>
      <c r="L292" s="64"/>
      <c r="O292" s="64"/>
      <c r="P292" s="64"/>
      <c r="Q292" s="64"/>
      <c r="R292" s="64"/>
      <c r="S292" s="64"/>
      <c r="V292" s="64"/>
      <c r="W292" s="64"/>
      <c r="X292" s="64"/>
      <c r="Y292" s="64"/>
      <c r="Z292" s="64"/>
      <c r="AC292" s="64"/>
      <c r="AD292" s="64"/>
      <c r="AE292" s="64"/>
      <c r="AF292" s="64"/>
      <c r="AG292" s="64"/>
      <c r="AJ292" s="65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H293" s="64"/>
      <c r="I293" s="64"/>
      <c r="J293" s="64"/>
      <c r="K293" s="64"/>
      <c r="L293" s="64"/>
      <c r="O293" s="64"/>
      <c r="P293" s="64"/>
      <c r="Q293" s="64"/>
      <c r="R293" s="64"/>
      <c r="S293" s="64"/>
      <c r="V293" s="64"/>
      <c r="W293" s="64"/>
      <c r="X293" s="64"/>
      <c r="Y293" s="64"/>
      <c r="Z293" s="64"/>
      <c r="AC293" s="64"/>
      <c r="AD293" s="64"/>
      <c r="AE293" s="64"/>
      <c r="AF293" s="64"/>
      <c r="AG293" s="64"/>
      <c r="AJ293" s="65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H294" s="64"/>
      <c r="I294" s="64"/>
      <c r="J294" s="64"/>
      <c r="K294" s="64"/>
      <c r="L294" s="64"/>
      <c r="O294" s="64"/>
      <c r="P294" s="64"/>
      <c r="Q294" s="64"/>
      <c r="R294" s="64"/>
      <c r="S294" s="64"/>
      <c r="V294" s="64"/>
      <c r="W294" s="64"/>
      <c r="X294" s="64"/>
      <c r="Y294" s="64"/>
      <c r="Z294" s="64"/>
      <c r="AC294" s="64"/>
      <c r="AD294" s="64"/>
      <c r="AE294" s="64"/>
      <c r="AF294" s="64"/>
      <c r="AG294" s="64"/>
      <c r="AJ294" s="65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H295" s="64"/>
      <c r="I295" s="64"/>
      <c r="J295" s="64"/>
      <c r="K295" s="64"/>
      <c r="L295" s="64"/>
      <c r="O295" s="64"/>
      <c r="P295" s="64"/>
      <c r="Q295" s="64"/>
      <c r="R295" s="64"/>
      <c r="S295" s="64"/>
      <c r="V295" s="64"/>
      <c r="W295" s="64"/>
      <c r="X295" s="64"/>
      <c r="Y295" s="64"/>
      <c r="Z295" s="64"/>
      <c r="AC295" s="64"/>
      <c r="AD295" s="64"/>
      <c r="AE295" s="64"/>
      <c r="AF295" s="64"/>
      <c r="AG295" s="64"/>
      <c r="AJ295" s="65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H296" s="64"/>
      <c r="I296" s="64"/>
      <c r="J296" s="64"/>
      <c r="K296" s="64"/>
      <c r="L296" s="64"/>
      <c r="O296" s="64"/>
      <c r="P296" s="64"/>
      <c r="Q296" s="64"/>
      <c r="R296" s="64"/>
      <c r="S296" s="64"/>
      <c r="V296" s="64"/>
      <c r="W296" s="64"/>
      <c r="X296" s="64"/>
      <c r="Y296" s="64"/>
      <c r="Z296" s="64"/>
      <c r="AC296" s="64"/>
      <c r="AD296" s="64"/>
      <c r="AE296" s="64"/>
      <c r="AF296" s="64"/>
      <c r="AG296" s="64"/>
      <c r="AJ296" s="65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H297" s="64"/>
      <c r="I297" s="64"/>
      <c r="J297" s="64"/>
      <c r="K297" s="64"/>
      <c r="L297" s="64"/>
      <c r="O297" s="64"/>
      <c r="P297" s="64"/>
      <c r="Q297" s="64"/>
      <c r="R297" s="64"/>
      <c r="S297" s="64"/>
      <c r="V297" s="64"/>
      <c r="W297" s="64"/>
      <c r="X297" s="64"/>
      <c r="Y297" s="64"/>
      <c r="Z297" s="64"/>
      <c r="AC297" s="64"/>
      <c r="AD297" s="64"/>
      <c r="AE297" s="64"/>
      <c r="AF297" s="64"/>
      <c r="AG297" s="64"/>
      <c r="AJ297" s="65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H298" s="64"/>
      <c r="I298" s="64"/>
      <c r="J298" s="64"/>
      <c r="K298" s="64"/>
      <c r="L298" s="64"/>
      <c r="O298" s="64"/>
      <c r="P298" s="64"/>
      <c r="Q298" s="64"/>
      <c r="R298" s="64"/>
      <c r="S298" s="64"/>
      <c r="V298" s="64"/>
      <c r="W298" s="64"/>
      <c r="X298" s="64"/>
      <c r="Y298" s="64"/>
      <c r="Z298" s="64"/>
      <c r="AC298" s="64"/>
      <c r="AD298" s="64"/>
      <c r="AE298" s="64"/>
      <c r="AF298" s="64"/>
      <c r="AG298" s="64"/>
      <c r="AJ298" s="65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H299" s="64"/>
      <c r="I299" s="64"/>
      <c r="J299" s="64"/>
      <c r="K299" s="64"/>
      <c r="L299" s="64"/>
      <c r="O299" s="64"/>
      <c r="P299" s="64"/>
      <c r="Q299" s="64"/>
      <c r="R299" s="64"/>
      <c r="S299" s="64"/>
      <c r="V299" s="64"/>
      <c r="W299" s="64"/>
      <c r="X299" s="64"/>
      <c r="Y299" s="64"/>
      <c r="Z299" s="64"/>
      <c r="AC299" s="64"/>
      <c r="AD299" s="64"/>
      <c r="AE299" s="64"/>
      <c r="AF299" s="64"/>
      <c r="AG299" s="64"/>
      <c r="AJ299" s="65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H300" s="64"/>
      <c r="I300" s="64"/>
      <c r="J300" s="64"/>
      <c r="K300" s="64"/>
      <c r="L300" s="64"/>
      <c r="O300" s="64"/>
      <c r="P300" s="64"/>
      <c r="Q300" s="64"/>
      <c r="R300" s="64"/>
      <c r="S300" s="64"/>
      <c r="V300" s="64"/>
      <c r="W300" s="64"/>
      <c r="X300" s="64"/>
      <c r="Y300" s="64"/>
      <c r="Z300" s="64"/>
      <c r="AC300" s="64"/>
      <c r="AD300" s="64"/>
      <c r="AE300" s="64"/>
      <c r="AF300" s="64"/>
      <c r="AG300" s="64"/>
      <c r="AJ300" s="65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H301" s="64"/>
      <c r="I301" s="64"/>
      <c r="J301" s="64"/>
      <c r="K301" s="64"/>
      <c r="L301" s="64"/>
      <c r="O301" s="64"/>
      <c r="P301" s="64"/>
      <c r="Q301" s="64"/>
      <c r="R301" s="64"/>
      <c r="S301" s="64"/>
      <c r="V301" s="64"/>
      <c r="W301" s="64"/>
      <c r="X301" s="64"/>
      <c r="Y301" s="64"/>
      <c r="Z301" s="64"/>
      <c r="AC301" s="64"/>
      <c r="AD301" s="64"/>
      <c r="AE301" s="64"/>
      <c r="AF301" s="64"/>
      <c r="AG301" s="64"/>
      <c r="AJ301" s="65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H302" s="64"/>
      <c r="I302" s="64"/>
      <c r="J302" s="64"/>
      <c r="K302" s="64"/>
      <c r="L302" s="64"/>
      <c r="O302" s="64"/>
      <c r="P302" s="64"/>
      <c r="Q302" s="64"/>
      <c r="R302" s="64"/>
      <c r="S302" s="64"/>
      <c r="V302" s="64"/>
      <c r="W302" s="64"/>
      <c r="X302" s="64"/>
      <c r="Y302" s="64"/>
      <c r="Z302" s="64"/>
      <c r="AC302" s="64"/>
      <c r="AD302" s="64"/>
      <c r="AE302" s="64"/>
      <c r="AF302" s="64"/>
      <c r="AG302" s="64"/>
      <c r="AJ302" s="65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H303" s="64"/>
      <c r="I303" s="64"/>
      <c r="J303" s="64"/>
      <c r="K303" s="64"/>
      <c r="L303" s="64"/>
      <c r="O303" s="64"/>
      <c r="P303" s="64"/>
      <c r="Q303" s="64"/>
      <c r="R303" s="64"/>
      <c r="S303" s="64"/>
      <c r="V303" s="64"/>
      <c r="W303" s="64"/>
      <c r="X303" s="64"/>
      <c r="Y303" s="64"/>
      <c r="Z303" s="64"/>
      <c r="AC303" s="64"/>
      <c r="AD303" s="64"/>
      <c r="AE303" s="64"/>
      <c r="AF303" s="64"/>
      <c r="AG303" s="64"/>
      <c r="AJ303" s="65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H304" s="64"/>
      <c r="I304" s="64"/>
      <c r="J304" s="64"/>
      <c r="K304" s="64"/>
      <c r="L304" s="64"/>
      <c r="O304" s="64"/>
      <c r="P304" s="64"/>
      <c r="Q304" s="64"/>
      <c r="R304" s="64"/>
      <c r="S304" s="64"/>
      <c r="V304" s="64"/>
      <c r="W304" s="64"/>
      <c r="X304" s="64"/>
      <c r="Y304" s="64"/>
      <c r="Z304" s="64"/>
      <c r="AC304" s="64"/>
      <c r="AD304" s="64"/>
      <c r="AE304" s="64"/>
      <c r="AF304" s="64"/>
      <c r="AG304" s="64"/>
      <c r="AJ304" s="65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H305" s="64"/>
      <c r="I305" s="64"/>
      <c r="J305" s="64"/>
      <c r="K305" s="64"/>
      <c r="L305" s="64"/>
      <c r="O305" s="64"/>
      <c r="P305" s="64"/>
      <c r="Q305" s="64"/>
      <c r="R305" s="64"/>
      <c r="S305" s="64"/>
      <c r="V305" s="64"/>
      <c r="W305" s="64"/>
      <c r="X305" s="64"/>
      <c r="Y305" s="64"/>
      <c r="Z305" s="64"/>
      <c r="AC305" s="64"/>
      <c r="AD305" s="64"/>
      <c r="AE305" s="64"/>
      <c r="AF305" s="64"/>
      <c r="AG305" s="64"/>
      <c r="AJ305" s="65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H306" s="64"/>
      <c r="I306" s="64"/>
      <c r="J306" s="64"/>
      <c r="K306" s="64"/>
      <c r="L306" s="64"/>
      <c r="O306" s="64"/>
      <c r="P306" s="64"/>
      <c r="Q306" s="64"/>
      <c r="R306" s="64"/>
      <c r="S306" s="64"/>
      <c r="V306" s="64"/>
      <c r="W306" s="64"/>
      <c r="X306" s="64"/>
      <c r="Y306" s="64"/>
      <c r="Z306" s="64"/>
      <c r="AC306" s="64"/>
      <c r="AD306" s="64"/>
      <c r="AE306" s="64"/>
      <c r="AF306" s="64"/>
      <c r="AG306" s="64"/>
      <c r="AJ306" s="65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H307" s="64"/>
      <c r="I307" s="64"/>
      <c r="J307" s="64"/>
      <c r="K307" s="64"/>
      <c r="L307" s="64"/>
      <c r="O307" s="64"/>
      <c r="P307" s="64"/>
      <c r="Q307" s="64"/>
      <c r="R307" s="64"/>
      <c r="S307" s="64"/>
      <c r="V307" s="64"/>
      <c r="W307" s="64"/>
      <c r="X307" s="64"/>
      <c r="Y307" s="64"/>
      <c r="Z307" s="64"/>
      <c r="AC307" s="64"/>
      <c r="AD307" s="64"/>
      <c r="AE307" s="64"/>
      <c r="AF307" s="64"/>
      <c r="AG307" s="64"/>
      <c r="AJ307" s="65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H308" s="64"/>
      <c r="I308" s="64"/>
      <c r="J308" s="64"/>
      <c r="K308" s="64"/>
      <c r="L308" s="64"/>
      <c r="O308" s="64"/>
      <c r="P308" s="64"/>
      <c r="Q308" s="64"/>
      <c r="R308" s="64"/>
      <c r="S308" s="64"/>
      <c r="V308" s="64"/>
      <c r="W308" s="64"/>
      <c r="X308" s="64"/>
      <c r="Y308" s="64"/>
      <c r="Z308" s="64"/>
      <c r="AC308" s="64"/>
      <c r="AD308" s="64"/>
      <c r="AE308" s="64"/>
      <c r="AF308" s="64"/>
      <c r="AG308" s="64"/>
      <c r="AJ308" s="65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H309" s="64"/>
      <c r="I309" s="64"/>
      <c r="J309" s="64"/>
      <c r="K309" s="64"/>
      <c r="L309" s="64"/>
      <c r="O309" s="64"/>
      <c r="P309" s="64"/>
      <c r="Q309" s="64"/>
      <c r="R309" s="64"/>
      <c r="S309" s="64"/>
      <c r="V309" s="64"/>
      <c r="W309" s="64"/>
      <c r="X309" s="64"/>
      <c r="Y309" s="64"/>
      <c r="Z309" s="64"/>
      <c r="AC309" s="64"/>
      <c r="AD309" s="64"/>
      <c r="AE309" s="64"/>
      <c r="AF309" s="64"/>
      <c r="AG309" s="64"/>
      <c r="AJ309" s="65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H310" s="64"/>
      <c r="I310" s="64"/>
      <c r="J310" s="64"/>
      <c r="K310" s="64"/>
      <c r="L310" s="64"/>
      <c r="O310" s="64"/>
      <c r="P310" s="64"/>
      <c r="Q310" s="64"/>
      <c r="R310" s="64"/>
      <c r="S310" s="64"/>
      <c r="V310" s="64"/>
      <c r="W310" s="64"/>
      <c r="X310" s="64"/>
      <c r="Y310" s="64"/>
      <c r="Z310" s="64"/>
      <c r="AC310" s="64"/>
      <c r="AD310" s="64"/>
      <c r="AE310" s="64"/>
      <c r="AF310" s="64"/>
      <c r="AG310" s="64"/>
      <c r="AJ310" s="65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H311" s="64"/>
      <c r="I311" s="64"/>
      <c r="J311" s="64"/>
      <c r="K311" s="64"/>
      <c r="L311" s="64"/>
      <c r="O311" s="64"/>
      <c r="P311" s="64"/>
      <c r="Q311" s="64"/>
      <c r="R311" s="64"/>
      <c r="S311" s="64"/>
      <c r="V311" s="64"/>
      <c r="W311" s="64"/>
      <c r="X311" s="64"/>
      <c r="Y311" s="64"/>
      <c r="Z311" s="64"/>
      <c r="AC311" s="64"/>
      <c r="AD311" s="64"/>
      <c r="AE311" s="64"/>
      <c r="AF311" s="64"/>
      <c r="AG311" s="64"/>
      <c r="AJ311" s="65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H312" s="64"/>
      <c r="I312" s="64"/>
      <c r="J312" s="64"/>
      <c r="K312" s="64"/>
      <c r="L312" s="64"/>
      <c r="O312" s="64"/>
      <c r="P312" s="64"/>
      <c r="Q312" s="64"/>
      <c r="R312" s="64"/>
      <c r="S312" s="64"/>
      <c r="V312" s="64"/>
      <c r="W312" s="64"/>
      <c r="X312" s="64"/>
      <c r="Y312" s="64"/>
      <c r="Z312" s="64"/>
      <c r="AC312" s="64"/>
      <c r="AD312" s="64"/>
      <c r="AE312" s="64"/>
      <c r="AF312" s="64"/>
      <c r="AG312" s="64"/>
      <c r="AJ312" s="65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H313" s="64"/>
      <c r="I313" s="64"/>
      <c r="J313" s="64"/>
      <c r="K313" s="64"/>
      <c r="L313" s="64"/>
      <c r="O313" s="64"/>
      <c r="P313" s="64"/>
      <c r="Q313" s="64"/>
      <c r="R313" s="64"/>
      <c r="S313" s="64"/>
      <c r="V313" s="64"/>
      <c r="W313" s="64"/>
      <c r="X313" s="64"/>
      <c r="Y313" s="64"/>
      <c r="Z313" s="64"/>
      <c r="AC313" s="64"/>
      <c r="AD313" s="64"/>
      <c r="AE313" s="64"/>
      <c r="AF313" s="64"/>
      <c r="AG313" s="64"/>
      <c r="AJ313" s="65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H314" s="64"/>
      <c r="I314" s="64"/>
      <c r="J314" s="64"/>
      <c r="K314" s="64"/>
      <c r="L314" s="64"/>
      <c r="O314" s="64"/>
      <c r="P314" s="64"/>
      <c r="Q314" s="64"/>
      <c r="R314" s="64"/>
      <c r="S314" s="64"/>
      <c r="V314" s="64"/>
      <c r="W314" s="64"/>
      <c r="X314" s="64"/>
      <c r="Y314" s="64"/>
      <c r="Z314" s="64"/>
      <c r="AC314" s="64"/>
      <c r="AD314" s="64"/>
      <c r="AE314" s="64"/>
      <c r="AF314" s="64"/>
      <c r="AG314" s="64"/>
      <c r="AJ314" s="65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H315" s="64"/>
      <c r="I315" s="64"/>
      <c r="J315" s="64"/>
      <c r="K315" s="64"/>
      <c r="L315" s="64"/>
      <c r="O315" s="64"/>
      <c r="P315" s="64"/>
      <c r="Q315" s="64"/>
      <c r="R315" s="64"/>
      <c r="S315" s="64"/>
      <c r="V315" s="64"/>
      <c r="W315" s="64"/>
      <c r="X315" s="64"/>
      <c r="Y315" s="64"/>
      <c r="Z315" s="64"/>
      <c r="AC315" s="64"/>
      <c r="AD315" s="64"/>
      <c r="AE315" s="64"/>
      <c r="AF315" s="64"/>
      <c r="AG315" s="64"/>
      <c r="AJ315" s="65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H316" s="64"/>
      <c r="I316" s="64"/>
      <c r="J316" s="64"/>
      <c r="K316" s="64"/>
      <c r="L316" s="64"/>
      <c r="O316" s="64"/>
      <c r="P316" s="64"/>
      <c r="Q316" s="64"/>
      <c r="R316" s="64"/>
      <c r="S316" s="64"/>
      <c r="V316" s="64"/>
      <c r="W316" s="64"/>
      <c r="X316" s="64"/>
      <c r="Y316" s="64"/>
      <c r="Z316" s="64"/>
      <c r="AC316" s="64"/>
      <c r="AD316" s="64"/>
      <c r="AE316" s="64"/>
      <c r="AF316" s="64"/>
      <c r="AG316" s="64"/>
      <c r="AJ316" s="65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H317" s="64"/>
      <c r="I317" s="64"/>
      <c r="J317" s="64"/>
      <c r="K317" s="64"/>
      <c r="L317" s="64"/>
      <c r="O317" s="64"/>
      <c r="P317" s="64"/>
      <c r="Q317" s="64"/>
      <c r="R317" s="64"/>
      <c r="S317" s="64"/>
      <c r="V317" s="64"/>
      <c r="W317" s="64"/>
      <c r="X317" s="64"/>
      <c r="Y317" s="64"/>
      <c r="Z317" s="64"/>
      <c r="AC317" s="64"/>
      <c r="AD317" s="64"/>
      <c r="AE317" s="64"/>
      <c r="AF317" s="64"/>
      <c r="AG317" s="64"/>
      <c r="AJ317" s="65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H318" s="64"/>
      <c r="I318" s="64"/>
      <c r="J318" s="64"/>
      <c r="K318" s="64"/>
      <c r="L318" s="64"/>
      <c r="O318" s="64"/>
      <c r="P318" s="64"/>
      <c r="Q318" s="64"/>
      <c r="R318" s="64"/>
      <c r="S318" s="64"/>
      <c r="V318" s="64"/>
      <c r="W318" s="64"/>
      <c r="X318" s="64"/>
      <c r="Y318" s="64"/>
      <c r="Z318" s="64"/>
      <c r="AC318" s="64"/>
      <c r="AD318" s="64"/>
      <c r="AE318" s="64"/>
      <c r="AF318" s="64"/>
      <c r="AG318" s="64"/>
      <c r="AJ318" s="65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H319" s="64"/>
      <c r="I319" s="64"/>
      <c r="J319" s="64"/>
      <c r="K319" s="64"/>
      <c r="L319" s="64"/>
      <c r="O319" s="64"/>
      <c r="P319" s="64"/>
      <c r="Q319" s="64"/>
      <c r="R319" s="64"/>
      <c r="S319" s="64"/>
      <c r="V319" s="64"/>
      <c r="W319" s="64"/>
      <c r="X319" s="64"/>
      <c r="Y319" s="64"/>
      <c r="Z319" s="64"/>
      <c r="AC319" s="64"/>
      <c r="AD319" s="64"/>
      <c r="AE319" s="64"/>
      <c r="AF319" s="64"/>
      <c r="AG319" s="64"/>
      <c r="AJ319" s="65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H320" s="64"/>
      <c r="I320" s="64"/>
      <c r="J320" s="64"/>
      <c r="K320" s="64"/>
      <c r="L320" s="64"/>
      <c r="O320" s="64"/>
      <c r="P320" s="64"/>
      <c r="Q320" s="64"/>
      <c r="R320" s="64"/>
      <c r="S320" s="64"/>
      <c r="V320" s="64"/>
      <c r="W320" s="64"/>
      <c r="X320" s="64"/>
      <c r="Y320" s="64"/>
      <c r="Z320" s="64"/>
      <c r="AC320" s="64"/>
      <c r="AD320" s="64"/>
      <c r="AE320" s="64"/>
      <c r="AF320" s="64"/>
      <c r="AG320" s="64"/>
      <c r="AJ320" s="65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H321" s="64"/>
      <c r="I321" s="64"/>
      <c r="J321" s="64"/>
      <c r="K321" s="64"/>
      <c r="L321" s="64"/>
      <c r="O321" s="64"/>
      <c r="P321" s="64"/>
      <c r="Q321" s="64"/>
      <c r="R321" s="64"/>
      <c r="S321" s="64"/>
      <c r="V321" s="64"/>
      <c r="W321" s="64"/>
      <c r="X321" s="64"/>
      <c r="Y321" s="64"/>
      <c r="Z321" s="64"/>
      <c r="AC321" s="64"/>
      <c r="AD321" s="64"/>
      <c r="AE321" s="64"/>
      <c r="AF321" s="64"/>
      <c r="AG321" s="64"/>
      <c r="AJ321" s="65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H322" s="64"/>
      <c r="I322" s="64"/>
      <c r="J322" s="64"/>
      <c r="K322" s="64"/>
      <c r="L322" s="64"/>
      <c r="O322" s="64"/>
      <c r="P322" s="64"/>
      <c r="Q322" s="64"/>
      <c r="R322" s="64"/>
      <c r="S322" s="64"/>
      <c r="V322" s="64"/>
      <c r="W322" s="64"/>
      <c r="X322" s="64"/>
      <c r="Y322" s="64"/>
      <c r="Z322" s="64"/>
      <c r="AC322" s="64"/>
      <c r="AD322" s="64"/>
      <c r="AE322" s="64"/>
      <c r="AF322" s="64"/>
      <c r="AG322" s="64"/>
      <c r="AJ322" s="65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H323" s="64"/>
      <c r="I323" s="64"/>
      <c r="J323" s="64"/>
      <c r="K323" s="64"/>
      <c r="L323" s="64"/>
      <c r="O323" s="64"/>
      <c r="P323" s="64"/>
      <c r="Q323" s="64"/>
      <c r="R323" s="64"/>
      <c r="S323" s="64"/>
      <c r="V323" s="64"/>
      <c r="W323" s="64"/>
      <c r="X323" s="64"/>
      <c r="Y323" s="64"/>
      <c r="Z323" s="64"/>
      <c r="AC323" s="64"/>
      <c r="AD323" s="64"/>
      <c r="AE323" s="64"/>
      <c r="AF323" s="64"/>
      <c r="AG323" s="64"/>
      <c r="AJ323" s="65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H324" s="64"/>
      <c r="I324" s="64"/>
      <c r="J324" s="64"/>
      <c r="K324" s="64"/>
      <c r="L324" s="64"/>
      <c r="O324" s="64"/>
      <c r="P324" s="64"/>
      <c r="Q324" s="64"/>
      <c r="R324" s="64"/>
      <c r="S324" s="64"/>
      <c r="V324" s="64"/>
      <c r="W324" s="64"/>
      <c r="X324" s="64"/>
      <c r="Y324" s="64"/>
      <c r="Z324" s="64"/>
      <c r="AC324" s="64"/>
      <c r="AD324" s="64"/>
      <c r="AE324" s="64"/>
      <c r="AF324" s="64"/>
      <c r="AG324" s="64"/>
      <c r="AJ324" s="65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H325" s="64"/>
      <c r="I325" s="64"/>
      <c r="J325" s="64"/>
      <c r="K325" s="64"/>
      <c r="L325" s="64"/>
      <c r="O325" s="64"/>
      <c r="P325" s="64"/>
      <c r="Q325" s="64"/>
      <c r="R325" s="64"/>
      <c r="S325" s="64"/>
      <c r="V325" s="64"/>
      <c r="W325" s="64"/>
      <c r="X325" s="64"/>
      <c r="Y325" s="64"/>
      <c r="Z325" s="64"/>
      <c r="AC325" s="64"/>
      <c r="AD325" s="64"/>
      <c r="AE325" s="64"/>
      <c r="AF325" s="64"/>
      <c r="AG325" s="64"/>
      <c r="AJ325" s="65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H326" s="64"/>
      <c r="I326" s="64"/>
      <c r="J326" s="64"/>
      <c r="K326" s="64"/>
      <c r="L326" s="64"/>
      <c r="O326" s="64"/>
      <c r="P326" s="64"/>
      <c r="Q326" s="64"/>
      <c r="R326" s="64"/>
      <c r="S326" s="64"/>
      <c r="V326" s="64"/>
      <c r="W326" s="64"/>
      <c r="X326" s="64"/>
      <c r="Y326" s="64"/>
      <c r="Z326" s="64"/>
      <c r="AC326" s="64"/>
      <c r="AD326" s="64"/>
      <c r="AE326" s="64"/>
      <c r="AF326" s="64"/>
      <c r="AG326" s="64"/>
      <c r="AJ326" s="65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H327" s="64"/>
      <c r="I327" s="64"/>
      <c r="J327" s="64"/>
      <c r="K327" s="64"/>
      <c r="L327" s="64"/>
      <c r="O327" s="64"/>
      <c r="P327" s="64"/>
      <c r="Q327" s="64"/>
      <c r="R327" s="64"/>
      <c r="S327" s="64"/>
      <c r="V327" s="64"/>
      <c r="W327" s="64"/>
      <c r="X327" s="64"/>
      <c r="Y327" s="64"/>
      <c r="Z327" s="64"/>
      <c r="AC327" s="64"/>
      <c r="AD327" s="64"/>
      <c r="AE327" s="64"/>
      <c r="AF327" s="64"/>
      <c r="AG327" s="64"/>
      <c r="AJ327" s="65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H328" s="64"/>
      <c r="I328" s="64"/>
      <c r="J328" s="64"/>
      <c r="K328" s="64"/>
      <c r="L328" s="64"/>
      <c r="O328" s="64"/>
      <c r="P328" s="64"/>
      <c r="Q328" s="64"/>
      <c r="R328" s="64"/>
      <c r="S328" s="64"/>
      <c r="V328" s="64"/>
      <c r="W328" s="64"/>
      <c r="X328" s="64"/>
      <c r="Y328" s="64"/>
      <c r="Z328" s="64"/>
      <c r="AC328" s="64"/>
      <c r="AD328" s="64"/>
      <c r="AE328" s="64"/>
      <c r="AF328" s="64"/>
      <c r="AG328" s="64"/>
      <c r="AJ328" s="65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H329" s="64"/>
      <c r="I329" s="64"/>
      <c r="J329" s="64"/>
      <c r="K329" s="64"/>
      <c r="L329" s="64"/>
      <c r="O329" s="64"/>
      <c r="P329" s="64"/>
      <c r="Q329" s="64"/>
      <c r="R329" s="64"/>
      <c r="S329" s="64"/>
      <c r="V329" s="64"/>
      <c r="W329" s="64"/>
      <c r="X329" s="64"/>
      <c r="Y329" s="64"/>
      <c r="Z329" s="64"/>
      <c r="AC329" s="64"/>
      <c r="AD329" s="64"/>
      <c r="AE329" s="64"/>
      <c r="AF329" s="64"/>
      <c r="AG329" s="64"/>
      <c r="AJ329" s="65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H330" s="64"/>
      <c r="I330" s="64"/>
      <c r="J330" s="64"/>
      <c r="K330" s="64"/>
      <c r="L330" s="64"/>
      <c r="O330" s="64"/>
      <c r="P330" s="64"/>
      <c r="Q330" s="64"/>
      <c r="R330" s="64"/>
      <c r="S330" s="64"/>
      <c r="V330" s="64"/>
      <c r="W330" s="64"/>
      <c r="X330" s="64"/>
      <c r="Y330" s="64"/>
      <c r="Z330" s="64"/>
      <c r="AC330" s="64"/>
      <c r="AD330" s="64"/>
      <c r="AE330" s="64"/>
      <c r="AF330" s="64"/>
      <c r="AG330" s="64"/>
      <c r="AJ330" s="65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H331" s="64"/>
      <c r="I331" s="64"/>
      <c r="J331" s="64"/>
      <c r="K331" s="64"/>
      <c r="L331" s="64"/>
      <c r="O331" s="64"/>
      <c r="P331" s="64"/>
      <c r="Q331" s="64"/>
      <c r="R331" s="64"/>
      <c r="S331" s="64"/>
      <c r="V331" s="64"/>
      <c r="W331" s="64"/>
      <c r="X331" s="64"/>
      <c r="Y331" s="64"/>
      <c r="Z331" s="64"/>
      <c r="AC331" s="64"/>
      <c r="AD331" s="64"/>
      <c r="AE331" s="64"/>
      <c r="AF331" s="64"/>
      <c r="AG331" s="64"/>
      <c r="AJ331" s="65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H332" s="64"/>
      <c r="I332" s="64"/>
      <c r="J332" s="64"/>
      <c r="K332" s="64"/>
      <c r="L332" s="64"/>
      <c r="O332" s="64"/>
      <c r="P332" s="64"/>
      <c r="Q332" s="64"/>
      <c r="R332" s="64"/>
      <c r="S332" s="64"/>
      <c r="V332" s="64"/>
      <c r="W332" s="64"/>
      <c r="X332" s="64"/>
      <c r="Y332" s="64"/>
      <c r="Z332" s="64"/>
      <c r="AC332" s="64"/>
      <c r="AD332" s="64"/>
      <c r="AE332" s="64"/>
      <c r="AF332" s="64"/>
      <c r="AG332" s="64"/>
      <c r="AJ332" s="65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H333" s="64"/>
      <c r="I333" s="64"/>
      <c r="J333" s="64"/>
      <c r="K333" s="64"/>
      <c r="L333" s="64"/>
      <c r="O333" s="64"/>
      <c r="P333" s="64"/>
      <c r="Q333" s="64"/>
      <c r="R333" s="64"/>
      <c r="S333" s="64"/>
      <c r="V333" s="64"/>
      <c r="W333" s="64"/>
      <c r="X333" s="64"/>
      <c r="Y333" s="64"/>
      <c r="Z333" s="64"/>
      <c r="AC333" s="64"/>
      <c r="AD333" s="64"/>
      <c r="AE333" s="64"/>
      <c r="AF333" s="64"/>
      <c r="AG333" s="64"/>
      <c r="AJ333" s="65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H334" s="64"/>
      <c r="I334" s="64"/>
      <c r="J334" s="64"/>
      <c r="K334" s="64"/>
      <c r="L334" s="64"/>
      <c r="O334" s="64"/>
      <c r="P334" s="64"/>
      <c r="Q334" s="64"/>
      <c r="R334" s="64"/>
      <c r="S334" s="64"/>
      <c r="V334" s="64"/>
      <c r="W334" s="64"/>
      <c r="X334" s="64"/>
      <c r="Y334" s="64"/>
      <c r="Z334" s="64"/>
      <c r="AC334" s="64"/>
      <c r="AD334" s="64"/>
      <c r="AE334" s="64"/>
      <c r="AF334" s="64"/>
      <c r="AG334" s="64"/>
      <c r="AJ334" s="65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H335" s="64"/>
      <c r="I335" s="64"/>
      <c r="J335" s="64"/>
      <c r="K335" s="64"/>
      <c r="L335" s="64"/>
      <c r="O335" s="64"/>
      <c r="P335" s="64"/>
      <c r="Q335" s="64"/>
      <c r="R335" s="64"/>
      <c r="S335" s="64"/>
      <c r="V335" s="64"/>
      <c r="W335" s="64"/>
      <c r="X335" s="64"/>
      <c r="Y335" s="64"/>
      <c r="Z335" s="64"/>
      <c r="AC335" s="64"/>
      <c r="AD335" s="64"/>
      <c r="AE335" s="64"/>
      <c r="AF335" s="64"/>
      <c r="AG335" s="64"/>
      <c r="AJ335" s="65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H336" s="64"/>
      <c r="I336" s="64"/>
      <c r="J336" s="64"/>
      <c r="K336" s="64"/>
      <c r="L336" s="64"/>
      <c r="O336" s="64"/>
      <c r="P336" s="64"/>
      <c r="Q336" s="64"/>
      <c r="R336" s="64"/>
      <c r="S336" s="64"/>
      <c r="V336" s="64"/>
      <c r="W336" s="64"/>
      <c r="X336" s="64"/>
      <c r="Y336" s="64"/>
      <c r="Z336" s="64"/>
      <c r="AC336" s="64"/>
      <c r="AD336" s="64"/>
      <c r="AE336" s="64"/>
      <c r="AF336" s="64"/>
      <c r="AG336" s="64"/>
      <c r="AJ336" s="65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H337" s="64"/>
      <c r="I337" s="64"/>
      <c r="J337" s="64"/>
      <c r="K337" s="64"/>
      <c r="L337" s="64"/>
      <c r="O337" s="64"/>
      <c r="P337" s="64"/>
      <c r="Q337" s="64"/>
      <c r="R337" s="64"/>
      <c r="S337" s="64"/>
      <c r="V337" s="64"/>
      <c r="W337" s="64"/>
      <c r="X337" s="64"/>
      <c r="Y337" s="64"/>
      <c r="Z337" s="64"/>
      <c r="AC337" s="64"/>
      <c r="AD337" s="64"/>
      <c r="AE337" s="64"/>
      <c r="AF337" s="64"/>
      <c r="AG337" s="64"/>
      <c r="AJ337" s="65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H338" s="64"/>
      <c r="I338" s="64"/>
      <c r="J338" s="64"/>
      <c r="K338" s="64"/>
      <c r="L338" s="64"/>
      <c r="O338" s="64"/>
      <c r="P338" s="64"/>
      <c r="Q338" s="64"/>
      <c r="R338" s="64"/>
      <c r="S338" s="64"/>
      <c r="V338" s="64"/>
      <c r="W338" s="64"/>
      <c r="X338" s="64"/>
      <c r="Y338" s="64"/>
      <c r="Z338" s="64"/>
      <c r="AC338" s="64"/>
      <c r="AD338" s="64"/>
      <c r="AE338" s="64"/>
      <c r="AF338" s="64"/>
      <c r="AG338" s="64"/>
      <c r="AJ338" s="65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H339" s="64"/>
      <c r="I339" s="64"/>
      <c r="J339" s="64"/>
      <c r="K339" s="64"/>
      <c r="L339" s="64"/>
      <c r="O339" s="64"/>
      <c r="P339" s="64"/>
      <c r="Q339" s="64"/>
      <c r="R339" s="64"/>
      <c r="S339" s="64"/>
      <c r="V339" s="64"/>
      <c r="W339" s="64"/>
      <c r="X339" s="64"/>
      <c r="Y339" s="64"/>
      <c r="Z339" s="64"/>
      <c r="AC339" s="64"/>
      <c r="AD339" s="64"/>
      <c r="AE339" s="64"/>
      <c r="AF339" s="64"/>
      <c r="AG339" s="64"/>
      <c r="AJ339" s="65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48" priority="8" operator="lessThan">
      <formula>0</formula>
    </cfRule>
  </conditionalFormatting>
  <conditionalFormatting sqref="M80 P80 R80:AJ80 F131:H131 J131">
    <cfRule type="cellIs" dxfId="47" priority="11" operator="lessThan">
      <formula>0</formula>
    </cfRule>
  </conditionalFormatting>
  <conditionalFormatting sqref="M120:X123">
    <cfRule type="cellIs" dxfId="46" priority="9" operator="lessThan">
      <formula>0</formula>
    </cfRule>
  </conditionalFormatting>
  <conditionalFormatting sqref="M128:X132">
    <cfRule type="cellIs" dxfId="45" priority="6" operator="lessThan">
      <formula>0</formula>
    </cfRule>
  </conditionalFormatting>
  <conditionalFormatting sqref="M77:AJ79 F77:L87 M81:AJ87 F88:AK117 M118:AJ119 F118:J130 K118:L132 AK118:AK135 F132:J135 K134:AJ135">
    <cfRule type="cellIs" dxfId="44" priority="7" operator="lessThan">
      <formula>0</formula>
    </cfRule>
  </conditionalFormatting>
  <conditionalFormatting sqref="M124:AJ124 M125:X126 M127:Q127 S127:X127">
    <cfRule type="cellIs" dxfId="43" priority="10" operator="lessThan">
      <formula>0</formula>
    </cfRule>
  </conditionalFormatting>
  <conditionalFormatting sqref="Z120:AJ123">
    <cfRule type="cellIs" dxfId="42" priority="5" operator="lessThan">
      <formula>0</formula>
    </cfRule>
  </conditionalFormatting>
  <conditionalFormatting sqref="Z125:AJ133">
    <cfRule type="cellIs" dxfId="41" priority="4" operator="lessThan">
      <formula>0</formula>
    </cfRule>
  </conditionalFormatting>
  <conditionalFormatting sqref="AK29:AK30">
    <cfRule type="cellIs" dxfId="40" priority="3" operator="lessThan">
      <formula>0</formula>
    </cfRule>
  </conditionalFormatting>
  <conditionalFormatting sqref="F29:AJ30">
    <cfRule type="cellIs" dxfId="3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17D5-2898-4F39-9429-528218FD2736}">
  <dimension ref="A1:AS339"/>
  <sheetViews>
    <sheetView zoomScale="80" zoomScaleNormal="80" workbookViewId="0">
      <pane xSplit="1" ySplit="2" topLeftCell="B15" activePane="bottomRight" state="frozen"/>
      <selection pane="bottomRight" activeCell="A29" sqref="A29:XFD30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8" bestFit="1" customWidth="1"/>
    <col min="9" max="9" width="5.5703125" style="68" bestFit="1" customWidth="1"/>
    <col min="10" max="11" width="5.5703125" style="64" bestFit="1" customWidth="1"/>
    <col min="12" max="12" width="5.5703125" style="64" customWidth="1"/>
    <col min="13" max="14" width="5.5703125" style="64" bestFit="1" customWidth="1"/>
    <col min="15" max="16" width="5.5703125" style="68" bestFit="1" customWidth="1"/>
    <col min="17" max="17" width="6.140625" style="64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4" bestFit="1" customWidth="1"/>
    <col min="22" max="22" width="5.5703125" style="68" bestFit="1" customWidth="1"/>
    <col min="23" max="23" width="4.5703125" style="68" bestFit="1" customWidth="1"/>
    <col min="24" max="26" width="5.5703125" style="64" bestFit="1" customWidth="1"/>
    <col min="27" max="27" width="6.7109375" style="64" bestFit="1" customWidth="1"/>
    <col min="28" max="28" width="5.140625" style="64" bestFit="1" customWidth="1"/>
    <col min="29" max="29" width="5" style="68" bestFit="1" customWidth="1"/>
    <col min="30" max="30" width="6.7109375" style="68" bestFit="1" customWidth="1"/>
    <col min="31" max="31" width="5.5703125" style="64" bestFit="1" customWidth="1"/>
    <col min="32" max="33" width="4.5703125" style="64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334</v>
      </c>
      <c r="G1" s="116" t="s">
        <v>335</v>
      </c>
      <c r="H1" s="120" t="s">
        <v>336</v>
      </c>
      <c r="I1" s="120" t="s">
        <v>337</v>
      </c>
      <c r="J1" s="116" t="s">
        <v>338</v>
      </c>
      <c r="K1" s="116" t="s">
        <v>339</v>
      </c>
      <c r="L1" s="116" t="s">
        <v>333</v>
      </c>
      <c r="M1" s="116" t="s">
        <v>334</v>
      </c>
      <c r="N1" s="116" t="s">
        <v>335</v>
      </c>
      <c r="O1" s="120" t="s">
        <v>336</v>
      </c>
      <c r="P1" s="120" t="s">
        <v>337</v>
      </c>
      <c r="Q1" s="116" t="s">
        <v>338</v>
      </c>
      <c r="R1" s="116" t="s">
        <v>339</v>
      </c>
      <c r="S1" s="116" t="s">
        <v>333</v>
      </c>
      <c r="T1" s="116" t="s">
        <v>334</v>
      </c>
      <c r="U1" s="116" t="s">
        <v>335</v>
      </c>
      <c r="V1" s="120" t="s">
        <v>336</v>
      </c>
      <c r="W1" s="120" t="s">
        <v>337</v>
      </c>
      <c r="X1" s="116" t="s">
        <v>338</v>
      </c>
      <c r="Y1" s="116" t="s">
        <v>339</v>
      </c>
      <c r="Z1" s="116" t="s">
        <v>333</v>
      </c>
      <c r="AA1" s="116" t="s">
        <v>334</v>
      </c>
      <c r="AB1" s="116" t="s">
        <v>335</v>
      </c>
      <c r="AC1" s="120" t="s">
        <v>336</v>
      </c>
      <c r="AD1" s="120" t="s">
        <v>337</v>
      </c>
      <c r="AE1" s="116" t="s">
        <v>338</v>
      </c>
      <c r="AF1" s="116" t="s">
        <v>339</v>
      </c>
      <c r="AG1" s="116" t="s">
        <v>333</v>
      </c>
      <c r="AH1" s="116" t="s">
        <v>334</v>
      </c>
      <c r="AI1" s="116" t="s">
        <v>335</v>
      </c>
      <c r="AJ1" s="116" t="s">
        <v>336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46478</v>
      </c>
      <c r="G2" s="112">
        <v>46479</v>
      </c>
      <c r="H2" s="129">
        <v>46480</v>
      </c>
      <c r="I2" s="129">
        <v>46481</v>
      </c>
      <c r="J2" s="112">
        <v>46482</v>
      </c>
      <c r="K2" s="112">
        <v>46483</v>
      </c>
      <c r="L2" s="112">
        <v>46484</v>
      </c>
      <c r="M2" s="112">
        <v>46485</v>
      </c>
      <c r="N2" s="112">
        <v>46486</v>
      </c>
      <c r="O2" s="129">
        <v>46487</v>
      </c>
      <c r="P2" s="129">
        <v>46488</v>
      </c>
      <c r="Q2" s="112">
        <v>46489</v>
      </c>
      <c r="R2" s="112">
        <v>46490</v>
      </c>
      <c r="S2" s="112">
        <v>46491</v>
      </c>
      <c r="T2" s="112">
        <v>46492</v>
      </c>
      <c r="U2" s="112">
        <v>46493</v>
      </c>
      <c r="V2" s="129">
        <v>46494</v>
      </c>
      <c r="W2" s="129">
        <v>46495</v>
      </c>
      <c r="X2" s="112">
        <v>46496</v>
      </c>
      <c r="Y2" s="112">
        <v>46497</v>
      </c>
      <c r="Z2" s="112">
        <v>46498</v>
      </c>
      <c r="AA2" s="112">
        <v>46499</v>
      </c>
      <c r="AB2" s="112">
        <v>46500</v>
      </c>
      <c r="AC2" s="129">
        <v>46501</v>
      </c>
      <c r="AD2" s="129">
        <v>46502</v>
      </c>
      <c r="AE2" s="112">
        <v>46503</v>
      </c>
      <c r="AF2" s="112">
        <v>46504</v>
      </c>
      <c r="AG2" s="112">
        <v>46505</v>
      </c>
      <c r="AH2" s="112">
        <v>46506</v>
      </c>
      <c r="AI2" s="112">
        <v>46507</v>
      </c>
      <c r="AJ2" s="112"/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120"/>
      <c r="I4" s="120"/>
      <c r="J4" s="70"/>
      <c r="K4" s="70"/>
      <c r="L4" s="70"/>
      <c r="M4" s="70"/>
      <c r="N4" s="70"/>
      <c r="O4" s="120"/>
      <c r="P4" s="120"/>
      <c r="Q4" s="70"/>
      <c r="R4" s="70"/>
      <c r="S4" s="70"/>
      <c r="T4" s="70"/>
      <c r="U4" s="70"/>
      <c r="V4" s="120"/>
      <c r="W4" s="120"/>
      <c r="X4" s="70"/>
      <c r="Y4" s="70"/>
      <c r="Z4" s="70"/>
      <c r="AA4" s="70"/>
      <c r="AB4" s="70"/>
      <c r="AC4" s="120"/>
      <c r="AD4" s="120"/>
      <c r="AE4" s="70"/>
      <c r="AF4" s="70"/>
      <c r="AG4" s="7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120"/>
      <c r="I5" s="120"/>
      <c r="J5" s="70"/>
      <c r="K5" s="70"/>
      <c r="L5" s="70"/>
      <c r="M5" s="70"/>
      <c r="N5" s="70"/>
      <c r="O5" s="120"/>
      <c r="P5" s="120"/>
      <c r="Q5" s="70"/>
      <c r="R5" s="70"/>
      <c r="S5" s="70"/>
      <c r="T5" s="70"/>
      <c r="U5" s="70"/>
      <c r="V5" s="120"/>
      <c r="W5" s="120"/>
      <c r="X5" s="70"/>
      <c r="Y5" s="70"/>
      <c r="Z5" s="70"/>
      <c r="AA5" s="70"/>
      <c r="AB5" s="70"/>
      <c r="AC5" s="120"/>
      <c r="AD5" s="120"/>
      <c r="AE5" s="70"/>
      <c r="AF5" s="70"/>
      <c r="AG5" s="7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/>
      <c r="H6" s="120"/>
      <c r="I6" s="120"/>
      <c r="J6" s="70"/>
      <c r="K6" s="70"/>
      <c r="L6" s="70"/>
      <c r="M6" s="70"/>
      <c r="N6" s="70"/>
      <c r="O6" s="120"/>
      <c r="P6" s="120"/>
      <c r="Q6" s="70"/>
      <c r="R6" s="70"/>
      <c r="S6" s="70"/>
      <c r="T6" s="70"/>
      <c r="U6" s="70"/>
      <c r="V6" s="120"/>
      <c r="W6" s="120"/>
      <c r="X6" s="70"/>
      <c r="Y6" s="70"/>
      <c r="Z6" s="70"/>
      <c r="AA6" s="70"/>
      <c r="AB6" s="70"/>
      <c r="AC6" s="120"/>
      <c r="AD6" s="120"/>
      <c r="AE6" s="70"/>
      <c r="AF6" s="70"/>
      <c r="AG6" s="70"/>
      <c r="AH6" s="70"/>
      <c r="AI6" s="70"/>
      <c r="AJ6" s="7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120"/>
      <c r="I7" s="120"/>
      <c r="J7" s="70"/>
      <c r="K7" s="70"/>
      <c r="L7" s="70"/>
      <c r="M7" s="70"/>
      <c r="N7" s="70"/>
      <c r="O7" s="120"/>
      <c r="P7" s="120"/>
      <c r="Q7" s="70"/>
      <c r="R7" s="70"/>
      <c r="S7" s="70"/>
      <c r="T7" s="70"/>
      <c r="U7" s="70"/>
      <c r="V7" s="120"/>
      <c r="W7" s="120"/>
      <c r="X7" s="70"/>
      <c r="Y7" s="70"/>
      <c r="Z7" s="70"/>
      <c r="AA7" s="70"/>
      <c r="AB7" s="70"/>
      <c r="AC7" s="120"/>
      <c r="AD7" s="120"/>
      <c r="AE7" s="70"/>
      <c r="AF7" s="70"/>
      <c r="AG7" s="70"/>
      <c r="AH7" s="70"/>
      <c r="AI7" s="70"/>
      <c r="AJ7" s="70"/>
      <c r="AK7" s="78">
        <f t="shared" si="0"/>
        <v>0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28"/>
      <c r="J8" s="108"/>
      <c r="K8" s="108"/>
      <c r="L8" s="108"/>
      <c r="M8" s="108"/>
      <c r="N8" s="108"/>
      <c r="O8" s="128"/>
      <c r="P8" s="128"/>
      <c r="Q8" s="108"/>
      <c r="R8" s="108"/>
      <c r="S8" s="108"/>
      <c r="T8" s="108"/>
      <c r="U8" s="70"/>
      <c r="V8" s="128"/>
      <c r="W8" s="120"/>
      <c r="X8" s="70"/>
      <c r="Y8" s="108"/>
      <c r="Z8" s="108"/>
      <c r="AA8" s="108"/>
      <c r="AB8" s="108"/>
      <c r="AC8" s="128"/>
      <c r="AD8" s="120"/>
      <c r="AE8" s="70"/>
      <c r="AF8" s="70"/>
      <c r="AG8" s="7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120"/>
      <c r="I9" s="120"/>
      <c r="J9" s="70"/>
      <c r="K9" s="70"/>
      <c r="L9" s="70"/>
      <c r="M9" s="70"/>
      <c r="N9" s="70"/>
      <c r="O9" s="120"/>
      <c r="P9" s="120"/>
      <c r="Q9" s="70"/>
      <c r="R9" s="70"/>
      <c r="S9" s="70"/>
      <c r="T9" s="70"/>
      <c r="U9" s="70"/>
      <c r="V9" s="120"/>
      <c r="W9" s="120"/>
      <c r="X9" s="70"/>
      <c r="Y9" s="70"/>
      <c r="Z9" s="70"/>
      <c r="AA9" s="70"/>
      <c r="AB9" s="70"/>
      <c r="AC9" s="120"/>
      <c r="AD9" s="120"/>
      <c r="AE9" s="70"/>
      <c r="AF9" s="70"/>
      <c r="AG9" s="7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120"/>
      <c r="I10" s="120"/>
      <c r="J10" s="70"/>
      <c r="K10" s="70"/>
      <c r="L10" s="70"/>
      <c r="M10" s="70"/>
      <c r="N10" s="70"/>
      <c r="O10" s="120"/>
      <c r="P10" s="120"/>
      <c r="Q10" s="70"/>
      <c r="R10" s="70"/>
      <c r="S10" s="70"/>
      <c r="T10" s="70"/>
      <c r="U10" s="70"/>
      <c r="V10" s="120"/>
      <c r="W10" s="120"/>
      <c r="X10" s="70"/>
      <c r="Y10" s="70"/>
      <c r="Z10" s="70"/>
      <c r="AA10" s="70"/>
      <c r="AB10" s="70"/>
      <c r="AC10" s="120"/>
      <c r="AD10" s="120"/>
      <c r="AE10" s="70"/>
      <c r="AF10" s="70"/>
      <c r="AG10" s="7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120"/>
      <c r="I11" s="120"/>
      <c r="J11" s="70"/>
      <c r="K11" s="70"/>
      <c r="L11" s="70"/>
      <c r="M11" s="70"/>
      <c r="N11" s="70"/>
      <c r="O11" s="120"/>
      <c r="P11" s="120"/>
      <c r="Q11" s="70"/>
      <c r="R11" s="70"/>
      <c r="S11" s="70"/>
      <c r="T11" s="70"/>
      <c r="U11" s="70"/>
      <c r="V11" s="120"/>
      <c r="W11" s="120"/>
      <c r="X11" s="70"/>
      <c r="Y11" s="70"/>
      <c r="Z11" s="70"/>
      <c r="AA11" s="70"/>
      <c r="AB11" s="70"/>
      <c r="AC11" s="120"/>
      <c r="AD11" s="120"/>
      <c r="AE11" s="70"/>
      <c r="AF11" s="70"/>
      <c r="AG11" s="7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120"/>
      <c r="I12" s="120"/>
      <c r="J12" s="70"/>
      <c r="K12" s="70"/>
      <c r="L12" s="70"/>
      <c r="M12" s="70"/>
      <c r="N12" s="70"/>
      <c r="O12" s="120"/>
      <c r="P12" s="120"/>
      <c r="Q12" s="70"/>
      <c r="R12" s="70"/>
      <c r="S12" s="70"/>
      <c r="T12" s="70"/>
      <c r="U12" s="70"/>
      <c r="V12" s="120"/>
      <c r="W12" s="120"/>
      <c r="X12" s="70"/>
      <c r="Y12" s="70"/>
      <c r="Z12" s="70"/>
      <c r="AA12" s="70"/>
      <c r="AB12" s="70"/>
      <c r="AC12" s="120"/>
      <c r="AD12" s="120"/>
      <c r="AE12" s="70"/>
      <c r="AF12" s="70"/>
      <c r="AG12" s="7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120"/>
      <c r="I13" s="120"/>
      <c r="J13" s="70"/>
      <c r="K13" s="70"/>
      <c r="L13" s="70"/>
      <c r="M13" s="70"/>
      <c r="N13" s="70"/>
      <c r="O13" s="120"/>
      <c r="P13" s="120"/>
      <c r="Q13" s="70"/>
      <c r="R13" s="70"/>
      <c r="S13" s="70"/>
      <c r="T13" s="70"/>
      <c r="U13" s="70"/>
      <c r="V13" s="120"/>
      <c r="W13" s="120"/>
      <c r="X13" s="70"/>
      <c r="Y13" s="70"/>
      <c r="Z13" s="70"/>
      <c r="AA13" s="70"/>
      <c r="AB13" s="70"/>
      <c r="AC13" s="120"/>
      <c r="AD13" s="120"/>
      <c r="AE13" s="70"/>
      <c r="AF13" s="70"/>
      <c r="AG13" s="7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120"/>
      <c r="I14" s="120"/>
      <c r="J14" s="70"/>
      <c r="K14" s="70"/>
      <c r="L14" s="70"/>
      <c r="M14" s="70"/>
      <c r="N14" s="70"/>
      <c r="O14" s="120"/>
      <c r="P14" s="120"/>
      <c r="Q14" s="70"/>
      <c r="R14" s="70"/>
      <c r="S14" s="70"/>
      <c r="T14" s="70"/>
      <c r="U14" s="70"/>
      <c r="V14" s="120"/>
      <c r="W14" s="120"/>
      <c r="X14" s="70"/>
      <c r="Y14" s="70"/>
      <c r="Z14" s="70"/>
      <c r="AA14" s="70"/>
      <c r="AB14" s="70"/>
      <c r="AC14" s="120"/>
      <c r="AD14" s="120"/>
      <c r="AE14" s="70"/>
      <c r="AF14" s="70"/>
      <c r="AG14" s="7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120"/>
      <c r="I15" s="120"/>
      <c r="J15" s="70"/>
      <c r="K15" s="70"/>
      <c r="L15" s="70"/>
      <c r="M15" s="70"/>
      <c r="N15" s="70"/>
      <c r="O15" s="120"/>
      <c r="P15" s="120"/>
      <c r="Q15" s="70"/>
      <c r="R15" s="70"/>
      <c r="S15" s="70"/>
      <c r="T15" s="70"/>
      <c r="U15" s="70"/>
      <c r="V15" s="120"/>
      <c r="W15" s="120"/>
      <c r="X15" s="70"/>
      <c r="Y15" s="70"/>
      <c r="Z15" s="70"/>
      <c r="AA15" s="70"/>
      <c r="AB15" s="70"/>
      <c r="AC15" s="120"/>
      <c r="AD15" s="120"/>
      <c r="AE15" s="70"/>
      <c r="AF15" s="70"/>
      <c r="AG15" s="7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120"/>
      <c r="I16" s="120"/>
      <c r="J16" s="70"/>
      <c r="K16" s="70"/>
      <c r="L16" s="70"/>
      <c r="M16" s="70"/>
      <c r="N16" s="70"/>
      <c r="O16" s="120"/>
      <c r="P16" s="120"/>
      <c r="Q16" s="70"/>
      <c r="R16" s="70"/>
      <c r="S16" s="70"/>
      <c r="T16" s="70"/>
      <c r="U16" s="70"/>
      <c r="V16" s="120"/>
      <c r="W16" s="120"/>
      <c r="X16" s="70"/>
      <c r="Y16" s="70"/>
      <c r="Z16" s="70"/>
      <c r="AA16" s="70"/>
      <c r="AB16" s="70"/>
      <c r="AC16" s="120"/>
      <c r="AD16" s="120"/>
      <c r="AE16" s="70"/>
      <c r="AF16" s="70"/>
      <c r="AG16" s="7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120"/>
      <c r="I17" s="120"/>
      <c r="J17" s="70"/>
      <c r="K17" s="70"/>
      <c r="L17" s="70"/>
      <c r="M17" s="70"/>
      <c r="N17" s="70"/>
      <c r="O17" s="120"/>
      <c r="P17" s="120"/>
      <c r="Q17" s="70"/>
      <c r="R17" s="70"/>
      <c r="S17" s="70"/>
      <c r="T17" s="70"/>
      <c r="U17" s="70"/>
      <c r="V17" s="120"/>
      <c r="W17" s="120"/>
      <c r="X17" s="70"/>
      <c r="Y17" s="70"/>
      <c r="Z17" s="70"/>
      <c r="AA17" s="70"/>
      <c r="AB17" s="70"/>
      <c r="AC17" s="120"/>
      <c r="AD17" s="120"/>
      <c r="AE17" s="70"/>
      <c r="AF17" s="70"/>
      <c r="AG17" s="7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120"/>
      <c r="I18" s="120"/>
      <c r="J18" s="70"/>
      <c r="K18" s="70"/>
      <c r="L18" s="70"/>
      <c r="M18" s="70"/>
      <c r="N18" s="70"/>
      <c r="O18" s="120"/>
      <c r="P18" s="120"/>
      <c r="Q18" s="70"/>
      <c r="R18" s="70"/>
      <c r="S18" s="70"/>
      <c r="T18" s="70"/>
      <c r="U18" s="70"/>
      <c r="V18" s="120"/>
      <c r="W18" s="120"/>
      <c r="X18" s="70"/>
      <c r="Y18" s="70"/>
      <c r="Z18" s="70"/>
      <c r="AA18" s="70"/>
      <c r="AB18" s="70"/>
      <c r="AC18" s="120"/>
      <c r="AD18" s="120"/>
      <c r="AE18" s="70"/>
      <c r="AF18" s="70"/>
      <c r="AG18" s="7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120"/>
      <c r="I19" s="120"/>
      <c r="J19" s="70"/>
      <c r="K19" s="70"/>
      <c r="L19" s="70"/>
      <c r="M19" s="70"/>
      <c r="N19" s="70"/>
      <c r="O19" s="120"/>
      <c r="P19" s="120"/>
      <c r="Q19" s="70"/>
      <c r="R19" s="70"/>
      <c r="S19" s="70"/>
      <c r="T19" s="70"/>
      <c r="U19" s="70"/>
      <c r="V19" s="120"/>
      <c r="W19" s="120"/>
      <c r="X19" s="70"/>
      <c r="Y19" s="70"/>
      <c r="Z19" s="70"/>
      <c r="AA19" s="70"/>
      <c r="AB19" s="70"/>
      <c r="AC19" s="120"/>
      <c r="AD19" s="120"/>
      <c r="AE19" s="70"/>
      <c r="AF19" s="70"/>
      <c r="AG19" s="7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120"/>
      <c r="I20" s="120"/>
      <c r="J20" s="70"/>
      <c r="K20" s="70"/>
      <c r="L20" s="70"/>
      <c r="M20" s="70"/>
      <c r="N20" s="70"/>
      <c r="O20" s="120"/>
      <c r="P20" s="120"/>
      <c r="Q20" s="70"/>
      <c r="R20" s="70"/>
      <c r="S20" s="70"/>
      <c r="T20" s="70"/>
      <c r="U20" s="70"/>
      <c r="V20" s="120"/>
      <c r="W20" s="120"/>
      <c r="X20" s="70"/>
      <c r="Y20" s="70"/>
      <c r="Z20" s="70"/>
      <c r="AA20" s="70"/>
      <c r="AB20" s="70"/>
      <c r="AC20" s="120"/>
      <c r="AD20" s="120"/>
      <c r="AE20" s="70"/>
      <c r="AF20" s="70"/>
      <c r="AG20" s="7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120"/>
      <c r="I21" s="120"/>
      <c r="J21" s="70"/>
      <c r="K21" s="70"/>
      <c r="L21" s="70"/>
      <c r="M21" s="70"/>
      <c r="N21" s="70"/>
      <c r="O21" s="120"/>
      <c r="P21" s="120"/>
      <c r="Q21" s="70"/>
      <c r="R21" s="70"/>
      <c r="S21" s="70"/>
      <c r="T21" s="70"/>
      <c r="U21" s="70"/>
      <c r="V21" s="120"/>
      <c r="W21" s="120"/>
      <c r="X21" s="70"/>
      <c r="Y21" s="70"/>
      <c r="Z21" s="70"/>
      <c r="AA21" s="70"/>
      <c r="AB21" s="70"/>
      <c r="AC21" s="120"/>
      <c r="AD21" s="120"/>
      <c r="AE21" s="70"/>
      <c r="AF21" s="70"/>
      <c r="AG21" s="7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120"/>
      <c r="I22" s="120"/>
      <c r="J22" s="70"/>
      <c r="K22" s="70"/>
      <c r="L22" s="70"/>
      <c r="M22" s="70"/>
      <c r="N22" s="70"/>
      <c r="O22" s="120"/>
      <c r="P22" s="120"/>
      <c r="Q22" s="70"/>
      <c r="R22" s="70"/>
      <c r="S22" s="70"/>
      <c r="T22" s="70"/>
      <c r="U22" s="70"/>
      <c r="V22" s="120"/>
      <c r="W22" s="120"/>
      <c r="X22" s="70"/>
      <c r="Y22" s="70"/>
      <c r="Z22" s="70"/>
      <c r="AA22" s="70"/>
      <c r="AB22" s="70"/>
      <c r="AC22" s="120"/>
      <c r="AD22" s="120"/>
      <c r="AE22" s="70"/>
      <c r="AF22" s="70"/>
      <c r="AG22" s="7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120"/>
      <c r="I23" s="120"/>
      <c r="J23" s="70"/>
      <c r="K23" s="70"/>
      <c r="L23" s="70"/>
      <c r="M23" s="70"/>
      <c r="N23" s="70"/>
      <c r="O23" s="120"/>
      <c r="P23" s="120"/>
      <c r="Q23" s="70"/>
      <c r="R23" s="70"/>
      <c r="S23" s="70"/>
      <c r="T23" s="70"/>
      <c r="U23" s="70"/>
      <c r="V23" s="120"/>
      <c r="W23" s="120"/>
      <c r="X23" s="70"/>
      <c r="Y23" s="70"/>
      <c r="Z23" s="70"/>
      <c r="AA23" s="70"/>
      <c r="AB23" s="70"/>
      <c r="AC23" s="120"/>
      <c r="AD23" s="120"/>
      <c r="AE23" s="70"/>
      <c r="AF23" s="70"/>
      <c r="AG23" s="7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120"/>
      <c r="I24" s="120"/>
      <c r="J24" s="70"/>
      <c r="K24" s="70"/>
      <c r="L24" s="70"/>
      <c r="M24" s="70"/>
      <c r="N24" s="70"/>
      <c r="O24" s="120"/>
      <c r="P24" s="120"/>
      <c r="Q24" s="70"/>
      <c r="R24" s="70"/>
      <c r="S24" s="70"/>
      <c r="T24" s="70"/>
      <c r="U24" s="70"/>
      <c r="V24" s="120"/>
      <c r="W24" s="120"/>
      <c r="X24" s="70"/>
      <c r="Y24" s="70"/>
      <c r="Z24" s="70"/>
      <c r="AA24" s="70"/>
      <c r="AB24" s="70"/>
      <c r="AC24" s="120"/>
      <c r="AD24" s="120"/>
      <c r="AE24" s="70"/>
      <c r="AF24" s="70"/>
      <c r="AG24" s="7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120"/>
      <c r="I25" s="120"/>
      <c r="J25" s="70"/>
      <c r="K25" s="70"/>
      <c r="L25" s="70"/>
      <c r="M25" s="70"/>
      <c r="N25" s="70"/>
      <c r="O25" s="120"/>
      <c r="P25" s="120"/>
      <c r="Q25" s="70"/>
      <c r="R25" s="70"/>
      <c r="S25" s="70"/>
      <c r="T25" s="70"/>
      <c r="U25" s="70"/>
      <c r="V25" s="120"/>
      <c r="W25" s="120"/>
      <c r="X25" s="70"/>
      <c r="Y25" s="70"/>
      <c r="Z25" s="70"/>
      <c r="AA25" s="70"/>
      <c r="AB25" s="70"/>
      <c r="AC25" s="120"/>
      <c r="AD25" s="120"/>
      <c r="AE25" s="70"/>
      <c r="AF25" s="70"/>
      <c r="AG25" s="7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120"/>
      <c r="I26" s="120"/>
      <c r="J26" s="70"/>
      <c r="K26" s="70"/>
      <c r="L26" s="70"/>
      <c r="M26" s="70"/>
      <c r="N26" s="70"/>
      <c r="O26" s="120"/>
      <c r="P26" s="120"/>
      <c r="Q26" s="70"/>
      <c r="R26" s="70"/>
      <c r="S26" s="70"/>
      <c r="T26" s="70"/>
      <c r="U26" s="70"/>
      <c r="V26" s="120"/>
      <c r="W26" s="120"/>
      <c r="X26" s="70"/>
      <c r="Y26" s="70"/>
      <c r="Z26" s="70"/>
      <c r="AA26" s="70"/>
      <c r="AB26" s="70"/>
      <c r="AC26" s="120"/>
      <c r="AD26" s="120"/>
      <c r="AE26" s="70"/>
      <c r="AF26" s="70"/>
      <c r="AG26" s="7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120"/>
      <c r="I27" s="120"/>
      <c r="J27" s="70"/>
      <c r="K27" s="70"/>
      <c r="L27" s="70"/>
      <c r="M27" s="70"/>
      <c r="N27" s="70"/>
      <c r="O27" s="120"/>
      <c r="P27" s="120"/>
      <c r="Q27" s="70"/>
      <c r="R27" s="70"/>
      <c r="S27" s="70"/>
      <c r="T27" s="70"/>
      <c r="U27" s="70"/>
      <c r="V27" s="120"/>
      <c r="W27" s="120"/>
      <c r="X27" s="70"/>
      <c r="Y27" s="70"/>
      <c r="Z27" s="70"/>
      <c r="AA27" s="70"/>
      <c r="AB27" s="70"/>
      <c r="AC27" s="120"/>
      <c r="AD27" s="120"/>
      <c r="AE27" s="70"/>
      <c r="AF27" s="70"/>
      <c r="AG27" s="7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120"/>
      <c r="I28" s="120"/>
      <c r="J28" s="70"/>
      <c r="K28" s="70"/>
      <c r="L28" s="70"/>
      <c r="M28" s="70"/>
      <c r="N28" s="70"/>
      <c r="O28" s="120"/>
      <c r="P28" s="120"/>
      <c r="Q28" s="70"/>
      <c r="R28" s="70"/>
      <c r="S28" s="70"/>
      <c r="T28" s="70"/>
      <c r="U28" s="70"/>
      <c r="V28" s="120"/>
      <c r="W28" s="120"/>
      <c r="X28" s="70"/>
      <c r="Y28" s="70"/>
      <c r="Z28" s="70"/>
      <c r="AA28" s="70"/>
      <c r="AB28" s="70"/>
      <c r="AC28" s="120"/>
      <c r="AD28" s="120"/>
      <c r="AE28" s="70"/>
      <c r="AF28" s="70"/>
      <c r="AG28" s="7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120"/>
      <c r="I29" s="120"/>
      <c r="J29" s="70"/>
      <c r="K29" s="70"/>
      <c r="L29" s="70"/>
      <c r="M29" s="70"/>
      <c r="N29" s="70"/>
      <c r="O29" s="120"/>
      <c r="P29" s="120"/>
      <c r="Q29" s="70"/>
      <c r="R29" s="70"/>
      <c r="S29" s="70"/>
      <c r="T29" s="70"/>
      <c r="U29" s="70"/>
      <c r="V29" s="120"/>
      <c r="W29" s="120"/>
      <c r="X29" s="70"/>
      <c r="Y29" s="70"/>
      <c r="Z29" s="70"/>
      <c r="AA29" s="70"/>
      <c r="AB29" s="70"/>
      <c r="AC29" s="120"/>
      <c r="AD29" s="120"/>
      <c r="AE29" s="70"/>
      <c r="AF29" s="70"/>
      <c r="AG29" s="7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120"/>
      <c r="I30" s="120"/>
      <c r="J30" s="70"/>
      <c r="K30" s="70"/>
      <c r="L30" s="70"/>
      <c r="M30" s="70"/>
      <c r="N30" s="70"/>
      <c r="O30" s="120"/>
      <c r="P30" s="120"/>
      <c r="Q30" s="70"/>
      <c r="R30" s="70"/>
      <c r="S30" s="70"/>
      <c r="T30" s="70"/>
      <c r="U30" s="70"/>
      <c r="V30" s="120"/>
      <c r="W30" s="120"/>
      <c r="X30" s="70"/>
      <c r="Y30" s="70"/>
      <c r="Z30" s="70"/>
      <c r="AA30" s="70"/>
      <c r="AB30" s="70"/>
      <c r="AC30" s="120"/>
      <c r="AD30" s="120"/>
      <c r="AE30" s="70"/>
      <c r="AF30" s="70"/>
      <c r="AG30" s="7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120"/>
      <c r="I31" s="120"/>
      <c r="J31" s="70"/>
      <c r="K31" s="70"/>
      <c r="L31" s="70"/>
      <c r="M31" s="70"/>
      <c r="N31" s="70"/>
      <c r="O31" s="120"/>
      <c r="P31" s="120"/>
      <c r="Q31" s="70"/>
      <c r="R31" s="70"/>
      <c r="S31" s="70"/>
      <c r="T31" s="70"/>
      <c r="U31" s="70"/>
      <c r="V31" s="120"/>
      <c r="W31" s="120"/>
      <c r="X31" s="70"/>
      <c r="Y31" s="70"/>
      <c r="Z31" s="70"/>
      <c r="AA31" s="70"/>
      <c r="AB31" s="70"/>
      <c r="AC31" s="120"/>
      <c r="AD31" s="120"/>
      <c r="AE31" s="70"/>
      <c r="AF31" s="70"/>
      <c r="AG31" s="7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120"/>
      <c r="I32" s="120"/>
      <c r="J32" s="70"/>
      <c r="K32" s="108"/>
      <c r="L32" s="108"/>
      <c r="M32" s="108"/>
      <c r="N32" s="108"/>
      <c r="O32" s="128"/>
      <c r="P32" s="120"/>
      <c r="Q32" s="70"/>
      <c r="R32" s="70"/>
      <c r="S32" s="108"/>
      <c r="T32" s="108"/>
      <c r="U32" s="108"/>
      <c r="V32" s="128"/>
      <c r="W32" s="128"/>
      <c r="X32" s="108"/>
      <c r="Y32" s="108"/>
      <c r="Z32" s="108"/>
      <c r="AA32" s="108"/>
      <c r="AB32" s="108"/>
      <c r="AC32" s="128"/>
      <c r="AD32" s="128"/>
      <c r="AE32" s="108"/>
      <c r="AF32" s="108"/>
      <c r="AG32" s="10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120"/>
      <c r="I33" s="120"/>
      <c r="J33" s="70"/>
      <c r="K33" s="70"/>
      <c r="L33" s="70"/>
      <c r="M33" s="70"/>
      <c r="N33" s="70"/>
      <c r="O33" s="120"/>
      <c r="P33" s="120"/>
      <c r="Q33" s="70"/>
      <c r="R33" s="70"/>
      <c r="S33" s="70"/>
      <c r="T33" s="70"/>
      <c r="U33" s="70"/>
      <c r="V33" s="120"/>
      <c r="W33" s="120"/>
      <c r="X33" s="70"/>
      <c r="Y33" s="70"/>
      <c r="Z33" s="70"/>
      <c r="AA33" s="70"/>
      <c r="AB33" s="70"/>
      <c r="AC33" s="120"/>
      <c r="AD33" s="120"/>
      <c r="AE33" s="70"/>
      <c r="AF33" s="70"/>
      <c r="AG33" s="70"/>
      <c r="AH33" s="70"/>
      <c r="AI33" s="70"/>
      <c r="AJ33" s="70"/>
      <c r="AK33" s="78">
        <f t="shared" si="1"/>
        <v>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120"/>
      <c r="I34" s="120"/>
      <c r="J34" s="70"/>
      <c r="K34" s="70"/>
      <c r="L34" s="70"/>
      <c r="M34" s="70"/>
      <c r="N34" s="70"/>
      <c r="O34" s="120"/>
      <c r="P34" s="120"/>
      <c r="Q34" s="70"/>
      <c r="R34" s="70"/>
      <c r="S34" s="70"/>
      <c r="T34" s="70"/>
      <c r="U34" s="70"/>
      <c r="V34" s="120"/>
      <c r="W34" s="120"/>
      <c r="X34" s="70"/>
      <c r="Y34" s="70"/>
      <c r="Z34" s="70"/>
      <c r="AA34" s="70"/>
      <c r="AB34" s="70"/>
      <c r="AC34" s="120"/>
      <c r="AD34" s="120"/>
      <c r="AE34" s="70"/>
      <c r="AF34" s="70"/>
      <c r="AG34" s="70"/>
      <c r="AH34" s="70"/>
      <c r="AI34" s="70"/>
      <c r="AJ34" s="7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120"/>
      <c r="I35" s="120"/>
      <c r="J35" s="70"/>
      <c r="K35" s="70"/>
      <c r="L35" s="70"/>
      <c r="M35" s="70"/>
      <c r="N35" s="70"/>
      <c r="O35" s="120"/>
      <c r="P35" s="120"/>
      <c r="Q35" s="70"/>
      <c r="R35" s="70"/>
      <c r="S35" s="70"/>
      <c r="T35" s="70"/>
      <c r="U35" s="70"/>
      <c r="V35" s="120"/>
      <c r="W35" s="120"/>
      <c r="X35" s="70"/>
      <c r="Y35" s="70"/>
      <c r="Z35" s="70"/>
      <c r="AA35" s="70"/>
      <c r="AB35" s="70"/>
      <c r="AC35" s="120"/>
      <c r="AD35" s="120"/>
      <c r="AE35" s="70"/>
      <c r="AF35" s="70"/>
      <c r="AG35" s="7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120"/>
      <c r="I36" s="120"/>
      <c r="J36" s="70"/>
      <c r="K36" s="70"/>
      <c r="L36" s="70"/>
      <c r="M36" s="70"/>
      <c r="N36" s="70"/>
      <c r="O36" s="120"/>
      <c r="P36" s="120"/>
      <c r="Q36" s="70"/>
      <c r="R36" s="70"/>
      <c r="S36" s="70"/>
      <c r="T36" s="70"/>
      <c r="U36" s="70"/>
      <c r="V36" s="120"/>
      <c r="W36" s="120"/>
      <c r="X36" s="70"/>
      <c r="Y36" s="70"/>
      <c r="Z36" s="70"/>
      <c r="AA36" s="70"/>
      <c r="AB36" s="70"/>
      <c r="AC36" s="120"/>
      <c r="AD36" s="120"/>
      <c r="AE36" s="70"/>
      <c r="AF36" s="70"/>
      <c r="AG36" s="7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8"/>
      <c r="I37" s="68"/>
      <c r="J37" s="64"/>
      <c r="K37" s="64"/>
      <c r="L37" s="64"/>
      <c r="M37" s="64"/>
      <c r="N37" s="64"/>
      <c r="O37" s="68"/>
      <c r="P37" s="68"/>
      <c r="Q37" s="64"/>
      <c r="R37" s="64"/>
      <c r="S37" s="64"/>
      <c r="T37" s="64"/>
      <c r="U37" s="64"/>
      <c r="V37" s="68"/>
      <c r="W37" s="68"/>
      <c r="X37" s="64"/>
      <c r="Y37" s="64"/>
      <c r="Z37" s="64"/>
      <c r="AA37" s="64"/>
      <c r="AB37" s="64"/>
      <c r="AC37" s="68"/>
      <c r="AD37" s="68"/>
      <c r="AE37" s="64"/>
      <c r="AF37" s="64"/>
      <c r="AG37" s="64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8"/>
      <c r="I38" s="68"/>
      <c r="J38" s="64"/>
      <c r="K38" s="64"/>
      <c r="L38" s="64"/>
      <c r="M38" s="64"/>
      <c r="N38" s="64"/>
      <c r="O38" s="68"/>
      <c r="P38" s="68"/>
      <c r="Q38" s="64"/>
      <c r="R38" s="64"/>
      <c r="S38" s="64"/>
      <c r="T38" s="64"/>
      <c r="U38" s="64"/>
      <c r="V38" s="68"/>
      <c r="W38" s="68"/>
      <c r="X38" s="64"/>
      <c r="Y38" s="64"/>
      <c r="Z38" s="64"/>
      <c r="AA38" s="64"/>
      <c r="AB38" s="64"/>
      <c r="AC38" s="68"/>
      <c r="AD38" s="68"/>
      <c r="AE38" s="64"/>
      <c r="AF38" s="64"/>
      <c r="AG38" s="64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120"/>
      <c r="I39" s="120"/>
      <c r="J39" s="70"/>
      <c r="K39" s="70"/>
      <c r="L39" s="70"/>
      <c r="M39" s="70"/>
      <c r="N39" s="70"/>
      <c r="O39" s="120"/>
      <c r="P39" s="120"/>
      <c r="Q39" s="70"/>
      <c r="R39" s="70"/>
      <c r="S39" s="70"/>
      <c r="T39" s="70"/>
      <c r="U39" s="70"/>
      <c r="V39" s="120"/>
      <c r="W39" s="120"/>
      <c r="X39" s="70"/>
      <c r="Y39" s="70"/>
      <c r="Z39" s="70"/>
      <c r="AA39" s="70"/>
      <c r="AB39" s="70"/>
      <c r="AC39" s="120"/>
      <c r="AD39" s="120"/>
      <c r="AE39" s="70"/>
      <c r="AF39" s="70"/>
      <c r="AG39" s="70"/>
      <c r="AH39" s="70"/>
      <c r="AI39" s="70"/>
      <c r="AJ39" s="7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124"/>
      <c r="I40" s="124"/>
      <c r="J40" s="92"/>
      <c r="K40" s="92"/>
      <c r="L40" s="92"/>
      <c r="M40" s="92"/>
      <c r="N40" s="92"/>
      <c r="O40" s="124"/>
      <c r="P40" s="124"/>
      <c r="Q40" s="92"/>
      <c r="R40" s="92"/>
      <c r="S40" s="92"/>
      <c r="T40" s="92"/>
      <c r="U40" s="92"/>
      <c r="V40" s="124"/>
      <c r="W40" s="124"/>
      <c r="X40" s="92"/>
      <c r="Y40" s="92"/>
      <c r="Z40" s="92"/>
      <c r="AA40" s="92"/>
      <c r="AB40" s="92"/>
      <c r="AC40" s="124"/>
      <c r="AD40" s="124"/>
      <c r="AE40" s="92"/>
      <c r="AF40" s="92"/>
      <c r="AG40" s="92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131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127"/>
      <c r="I42" s="127"/>
      <c r="J42" s="62"/>
      <c r="K42" s="62"/>
      <c r="L42" s="64"/>
      <c r="M42" s="64"/>
      <c r="N42" s="62"/>
      <c r="O42" s="127"/>
      <c r="P42" s="127"/>
      <c r="Q42" s="62"/>
      <c r="R42" s="62"/>
      <c r="S42" s="64"/>
      <c r="T42" s="64"/>
      <c r="U42" s="62"/>
      <c r="V42" s="127"/>
      <c r="W42" s="127"/>
      <c r="X42" s="62"/>
      <c r="Y42" s="62"/>
      <c r="Z42" s="64"/>
      <c r="AA42" s="64"/>
      <c r="AB42" s="62"/>
      <c r="AC42" s="127"/>
      <c r="AD42" s="127"/>
      <c r="AE42" s="62"/>
      <c r="AF42" s="62"/>
      <c r="AG42" s="64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127"/>
      <c r="I43" s="127"/>
      <c r="J43" s="62"/>
      <c r="K43" s="62"/>
      <c r="N43" s="62"/>
      <c r="O43" s="127"/>
      <c r="P43" s="127"/>
      <c r="Q43" s="62"/>
      <c r="R43" s="62"/>
      <c r="U43" s="62"/>
      <c r="V43" s="127"/>
      <c r="W43" s="127"/>
      <c r="X43" s="62"/>
      <c r="Y43" s="62"/>
      <c r="AB43" s="62"/>
      <c r="AC43" s="127"/>
      <c r="AD43" s="127"/>
      <c r="AE43" s="62"/>
      <c r="AF43" s="62"/>
      <c r="AH43"/>
      <c r="AI43"/>
      <c r="AJ43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127"/>
      <c r="I44" s="127"/>
      <c r="J44" s="62"/>
      <c r="K44" s="62"/>
      <c r="L44" s="64"/>
      <c r="M44" s="64"/>
      <c r="N44" s="62"/>
      <c r="O44" s="127"/>
      <c r="P44" s="127"/>
      <c r="Q44" s="62"/>
      <c r="R44" s="62"/>
      <c r="S44" s="64"/>
      <c r="T44" s="64"/>
      <c r="U44" s="62"/>
      <c r="V44" s="127"/>
      <c r="W44" s="127"/>
      <c r="X44" s="62"/>
      <c r="Y44" s="62"/>
      <c r="Z44" s="64"/>
      <c r="AA44" s="64"/>
      <c r="AB44" s="62"/>
      <c r="AC44" s="127"/>
      <c r="AD44" s="127"/>
      <c r="AE44" s="62"/>
      <c r="AF44" s="62"/>
      <c r="AG44" s="64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127"/>
      <c r="I45" s="127"/>
      <c r="J45" s="62"/>
      <c r="K45" s="62"/>
      <c r="L45" s="64"/>
      <c r="M45" s="64"/>
      <c r="N45" s="62"/>
      <c r="O45" s="127"/>
      <c r="P45" s="127"/>
      <c r="Q45" s="62"/>
      <c r="R45" s="62"/>
      <c r="S45" s="64"/>
      <c r="T45" s="64"/>
      <c r="U45" s="62"/>
      <c r="V45" s="127"/>
      <c r="W45" s="127"/>
      <c r="X45" s="62"/>
      <c r="Y45" s="62"/>
      <c r="Z45" s="64"/>
      <c r="AA45" s="64"/>
      <c r="AB45" s="62"/>
      <c r="AC45" s="127"/>
      <c r="AD45" s="127"/>
      <c r="AE45" s="62"/>
      <c r="AF45" s="62"/>
      <c r="AG45" s="64"/>
      <c r="AH45"/>
      <c r="AI45"/>
      <c r="AJ45"/>
      <c r="AK45" s="78">
        <f t="shared" si="1"/>
        <v>0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127"/>
      <c r="I46" s="127"/>
      <c r="J46" s="62"/>
      <c r="K46" s="62"/>
      <c r="L46" s="64"/>
      <c r="M46" s="64"/>
      <c r="N46" s="62"/>
      <c r="O46" s="127"/>
      <c r="P46" s="127"/>
      <c r="Q46" s="62"/>
      <c r="R46" s="62"/>
      <c r="S46" s="64"/>
      <c r="T46" s="64"/>
      <c r="U46" s="62"/>
      <c r="V46" s="127"/>
      <c r="W46" s="127"/>
      <c r="X46" s="62"/>
      <c r="Y46" s="62"/>
      <c r="Z46" s="64"/>
      <c r="AA46" s="64"/>
      <c r="AB46" s="62"/>
      <c r="AC46" s="127"/>
      <c r="AD46" s="127"/>
      <c r="AE46" s="62"/>
      <c r="AF46" s="62"/>
      <c r="AG46" s="64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127"/>
      <c r="I47" s="127"/>
      <c r="J47" s="62"/>
      <c r="K47" s="62"/>
      <c r="L47" s="64"/>
      <c r="M47" s="64"/>
      <c r="N47" s="62"/>
      <c r="O47" s="127"/>
      <c r="P47" s="127"/>
      <c r="Q47" s="62"/>
      <c r="R47" s="62"/>
      <c r="S47" s="64"/>
      <c r="T47" s="64"/>
      <c r="U47" s="62"/>
      <c r="V47" s="127"/>
      <c r="W47" s="127"/>
      <c r="X47" s="62"/>
      <c r="Y47" s="62"/>
      <c r="Z47" s="64"/>
      <c r="AA47" s="64"/>
      <c r="AB47" s="62"/>
      <c r="AC47" s="127"/>
      <c r="AD47" s="127"/>
      <c r="AE47" s="62"/>
      <c r="AF47" s="62"/>
      <c r="AG47" s="64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127"/>
      <c r="I48" s="127"/>
      <c r="J48" s="62"/>
      <c r="K48" s="62"/>
      <c r="L48" s="64"/>
      <c r="M48" s="64"/>
      <c r="N48" s="62"/>
      <c r="O48" s="127"/>
      <c r="P48" s="127"/>
      <c r="Q48" s="62"/>
      <c r="R48" s="62"/>
      <c r="S48" s="64"/>
      <c r="T48" s="64"/>
      <c r="U48" s="62"/>
      <c r="V48" s="127"/>
      <c r="W48" s="127"/>
      <c r="X48" s="62"/>
      <c r="Y48" s="62"/>
      <c r="Z48" s="64"/>
      <c r="AA48" s="64"/>
      <c r="AB48" s="62"/>
      <c r="AC48" s="127"/>
      <c r="AD48" s="127"/>
      <c r="AE48" s="62"/>
      <c r="AF48" s="62"/>
      <c r="AG48" s="64"/>
      <c r="AH48"/>
      <c r="AI48"/>
      <c r="AJ48"/>
      <c r="AK48" s="78">
        <f t="shared" si="1"/>
        <v>0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>
        <v>8</v>
      </c>
      <c r="G49" s="62"/>
      <c r="H49" s="127"/>
      <c r="I49" s="127"/>
      <c r="J49" s="62"/>
      <c r="K49" s="62"/>
      <c r="L49" s="64"/>
      <c r="M49" s="64"/>
      <c r="N49" s="62"/>
      <c r="O49" s="127"/>
      <c r="P49" s="127"/>
      <c r="Q49" s="62"/>
      <c r="R49" s="62"/>
      <c r="S49" s="64"/>
      <c r="T49" s="64"/>
      <c r="U49" s="62"/>
      <c r="V49" s="127"/>
      <c r="W49" s="127"/>
      <c r="X49" s="62"/>
      <c r="Y49" s="62"/>
      <c r="Z49" s="64"/>
      <c r="AA49" s="64"/>
      <c r="AB49" s="62"/>
      <c r="AC49" s="127"/>
      <c r="AD49" s="127"/>
      <c r="AE49" s="62"/>
      <c r="AF49" s="62"/>
      <c r="AG49" s="64"/>
      <c r="AH49"/>
      <c r="AI49"/>
      <c r="AJ49"/>
      <c r="AK49" s="78">
        <f t="shared" si="1"/>
        <v>8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127"/>
      <c r="I50" s="127"/>
      <c r="J50" s="62"/>
      <c r="K50" s="62"/>
      <c r="L50" s="64"/>
      <c r="M50" s="64"/>
      <c r="N50" s="62"/>
      <c r="O50" s="127"/>
      <c r="P50" s="127"/>
      <c r="Q50" s="62"/>
      <c r="R50" s="62"/>
      <c r="S50" s="64"/>
      <c r="T50" s="64"/>
      <c r="U50" s="62"/>
      <c r="V50" s="127"/>
      <c r="W50" s="127"/>
      <c r="X50" s="62"/>
      <c r="Y50" s="62"/>
      <c r="Z50" s="64"/>
      <c r="AA50" s="64"/>
      <c r="AB50" s="62"/>
      <c r="AC50" s="127"/>
      <c r="AD50" s="127"/>
      <c r="AE50" s="62"/>
      <c r="AF50" s="62"/>
      <c r="AG50" s="64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127"/>
      <c r="I51" s="127"/>
      <c r="J51" s="62"/>
      <c r="K51" s="62"/>
      <c r="L51" s="64"/>
      <c r="M51" s="64"/>
      <c r="N51" s="62"/>
      <c r="O51" s="127"/>
      <c r="P51" s="127"/>
      <c r="Q51" s="62"/>
      <c r="R51" s="62"/>
      <c r="S51" s="64"/>
      <c r="T51" s="64"/>
      <c r="U51" s="62"/>
      <c r="V51" s="127"/>
      <c r="W51" s="127"/>
      <c r="X51" s="62"/>
      <c r="Y51" s="62"/>
      <c r="Z51" s="64"/>
      <c r="AA51" s="64"/>
      <c r="AB51" s="62"/>
      <c r="AC51" s="127"/>
      <c r="AD51" s="127"/>
      <c r="AE51" s="62"/>
      <c r="AF51" s="62"/>
      <c r="AG51" s="64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127"/>
      <c r="I52" s="127"/>
      <c r="J52" s="62"/>
      <c r="K52" s="62"/>
      <c r="L52" s="64"/>
      <c r="M52" s="64"/>
      <c r="N52" s="62"/>
      <c r="O52" s="127"/>
      <c r="P52" s="127"/>
      <c r="Q52" s="62"/>
      <c r="R52" s="62"/>
      <c r="S52" s="64"/>
      <c r="T52" s="64"/>
      <c r="U52" s="62"/>
      <c r="V52" s="127"/>
      <c r="W52" s="127"/>
      <c r="X52" s="62"/>
      <c r="Y52" s="62"/>
      <c r="Z52" s="64"/>
      <c r="AA52" s="64"/>
      <c r="AB52" s="62"/>
      <c r="AC52" s="127"/>
      <c r="AD52" s="127"/>
      <c r="AE52" s="62"/>
      <c r="AF52" s="62"/>
      <c r="AG52" s="64"/>
      <c r="AH52"/>
      <c r="AI52"/>
      <c r="AJ52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127"/>
      <c r="I53" s="127"/>
      <c r="J53" s="62"/>
      <c r="K53" s="62"/>
      <c r="L53" s="64"/>
      <c r="M53" s="64"/>
      <c r="N53" s="62"/>
      <c r="O53" s="127"/>
      <c r="P53" s="127"/>
      <c r="Q53" s="62"/>
      <c r="R53" s="62"/>
      <c r="S53" s="64"/>
      <c r="T53" s="64"/>
      <c r="U53" s="62"/>
      <c r="V53" s="127"/>
      <c r="W53" s="127"/>
      <c r="X53" s="62"/>
      <c r="Y53" s="62"/>
      <c r="Z53" s="64"/>
      <c r="AA53" s="64"/>
      <c r="AB53" s="62"/>
      <c r="AC53" s="127"/>
      <c r="AD53" s="127"/>
      <c r="AE53" s="62"/>
      <c r="AF53" s="62"/>
      <c r="AG53" s="64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>
        <v>8</v>
      </c>
      <c r="H54" s="127"/>
      <c r="I54" s="127"/>
      <c r="J54" s="62"/>
      <c r="K54" s="62"/>
      <c r="L54" s="64"/>
      <c r="M54" s="64"/>
      <c r="N54" s="62"/>
      <c r="O54" s="127"/>
      <c r="P54" s="127"/>
      <c r="Q54" s="62"/>
      <c r="R54" s="62"/>
      <c r="S54" s="64"/>
      <c r="T54" s="64"/>
      <c r="U54" s="62"/>
      <c r="V54" s="127"/>
      <c r="W54" s="127"/>
      <c r="X54" s="62"/>
      <c r="Y54" s="62"/>
      <c r="Z54" s="64"/>
      <c r="AA54" s="64"/>
      <c r="AB54" s="62"/>
      <c r="AC54" s="127"/>
      <c r="AD54" s="127"/>
      <c r="AE54" s="62"/>
      <c r="AF54" s="62"/>
      <c r="AG54" s="64"/>
      <c r="AH54"/>
      <c r="AI54"/>
      <c r="AJ54"/>
      <c r="AK54" s="78">
        <f t="shared" si="1"/>
        <v>8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127"/>
      <c r="I55" s="127"/>
      <c r="J55" s="62"/>
      <c r="K55" s="62"/>
      <c r="L55" s="64"/>
      <c r="M55" s="64"/>
      <c r="N55" s="62"/>
      <c r="O55" s="127"/>
      <c r="P55" s="127"/>
      <c r="Q55" s="62"/>
      <c r="R55" s="62"/>
      <c r="S55" s="64"/>
      <c r="T55" s="64"/>
      <c r="U55" s="62"/>
      <c r="V55" s="127"/>
      <c r="W55" s="127"/>
      <c r="X55" s="62"/>
      <c r="Y55" s="62"/>
      <c r="Z55" s="64"/>
      <c r="AA55" s="64"/>
      <c r="AB55" s="62"/>
      <c r="AC55" s="127"/>
      <c r="AD55" s="127"/>
      <c r="AE55" s="62"/>
      <c r="AF55" s="62"/>
      <c r="AG55" s="64"/>
      <c r="AH55"/>
      <c r="AI55"/>
      <c r="AJ55"/>
      <c r="AK55" s="78">
        <f t="shared" si="1"/>
        <v>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127"/>
      <c r="I56" s="127"/>
      <c r="J56" s="62"/>
      <c r="K56" s="62"/>
      <c r="L56" s="64"/>
      <c r="M56" s="64"/>
      <c r="N56" s="62"/>
      <c r="O56" s="127"/>
      <c r="P56" s="127"/>
      <c r="Q56" s="62"/>
      <c r="R56" s="62"/>
      <c r="S56" s="64"/>
      <c r="T56" s="64"/>
      <c r="U56" s="62"/>
      <c r="V56" s="127"/>
      <c r="W56" s="127"/>
      <c r="X56" s="62"/>
      <c r="Y56" s="62"/>
      <c r="Z56" s="64"/>
      <c r="AA56" s="64"/>
      <c r="AB56" s="62"/>
      <c r="AC56" s="127"/>
      <c r="AD56" s="127"/>
      <c r="AE56" s="62"/>
      <c r="AF56" s="62"/>
      <c r="AG56" s="64"/>
      <c r="AH56"/>
      <c r="AI56"/>
      <c r="AJ56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127"/>
      <c r="I57" s="127"/>
      <c r="J57" s="62"/>
      <c r="K57" s="62"/>
      <c r="L57" s="64"/>
      <c r="M57" s="64"/>
      <c r="N57" s="62"/>
      <c r="O57" s="127"/>
      <c r="P57" s="127"/>
      <c r="Q57" s="62"/>
      <c r="R57" s="62"/>
      <c r="S57" s="64"/>
      <c r="T57" s="64"/>
      <c r="U57" s="62"/>
      <c r="V57" s="127"/>
      <c r="W57" s="127"/>
      <c r="X57" s="62"/>
      <c r="Y57" s="62"/>
      <c r="Z57" s="64"/>
      <c r="AA57" s="64"/>
      <c r="AB57" s="62"/>
      <c r="AC57" s="127"/>
      <c r="AD57" s="127"/>
      <c r="AE57" s="62"/>
      <c r="AF57" s="62"/>
      <c r="AG57" s="64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127"/>
      <c r="I58" s="127"/>
      <c r="J58" s="62"/>
      <c r="K58" s="62"/>
      <c r="L58" s="64"/>
      <c r="M58" s="64"/>
      <c r="N58" s="62"/>
      <c r="O58" s="127"/>
      <c r="P58" s="127"/>
      <c r="Q58" s="62"/>
      <c r="R58" s="62"/>
      <c r="S58" s="64"/>
      <c r="T58" s="64"/>
      <c r="U58" s="62"/>
      <c r="V58" s="127"/>
      <c r="W58" s="127"/>
      <c r="X58" s="62"/>
      <c r="Y58" s="62"/>
      <c r="Z58" s="64"/>
      <c r="AA58" s="64"/>
      <c r="AB58" s="62"/>
      <c r="AC58" s="127"/>
      <c r="AD58" s="127"/>
      <c r="AE58" s="62"/>
      <c r="AF58" s="62"/>
      <c r="AG58" s="64"/>
      <c r="AH58"/>
      <c r="AI58"/>
      <c r="AJ58"/>
      <c r="AK58" s="78">
        <f t="shared" si="1"/>
        <v>0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120"/>
      <c r="I59" s="120"/>
      <c r="J59" s="70"/>
      <c r="M59" s="70"/>
      <c r="N59" s="70"/>
      <c r="O59" s="120"/>
      <c r="P59" s="120"/>
      <c r="Q59" s="70"/>
      <c r="T59" s="70"/>
      <c r="U59" s="70"/>
      <c r="V59" s="120"/>
      <c r="W59" s="120"/>
      <c r="X59" s="70"/>
      <c r="AA59" s="70"/>
      <c r="AB59" s="70"/>
      <c r="AC59" s="120"/>
      <c r="AD59" s="120"/>
      <c r="AE59" s="7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121"/>
      <c r="I60" s="121"/>
      <c r="J60" s="73"/>
      <c r="K60" s="92"/>
      <c r="L60" s="92"/>
      <c r="M60" s="73"/>
      <c r="N60" s="73"/>
      <c r="O60" s="121"/>
      <c r="P60" s="121"/>
      <c r="Q60" s="73"/>
      <c r="R60" s="92"/>
      <c r="S60" s="92"/>
      <c r="T60" s="73"/>
      <c r="U60" s="73"/>
      <c r="V60" s="121"/>
      <c r="W60" s="121"/>
      <c r="X60" s="73"/>
      <c r="Y60" s="92"/>
      <c r="Z60" s="92"/>
      <c r="AA60" s="73"/>
      <c r="AB60" s="73"/>
      <c r="AC60" s="121"/>
      <c r="AD60" s="121"/>
      <c r="AE60" s="73"/>
      <c r="AF60" s="92"/>
      <c r="AG60" s="92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120"/>
      <c r="I61" s="120"/>
      <c r="J61" s="70"/>
      <c r="M61" s="70"/>
      <c r="N61" s="70"/>
      <c r="O61" s="120"/>
      <c r="P61" s="120"/>
      <c r="Q61" s="70"/>
      <c r="T61" s="70"/>
      <c r="U61" s="70"/>
      <c r="V61" s="120"/>
      <c r="W61" s="120"/>
      <c r="X61" s="70"/>
      <c r="AA61" s="70"/>
      <c r="AB61" s="70"/>
      <c r="AC61" s="120"/>
      <c r="AD61" s="120"/>
      <c r="AE61" s="7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122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120"/>
      <c r="L74" s="70"/>
      <c r="N74" s="70"/>
      <c r="O74" s="120"/>
      <c r="P74" s="120"/>
      <c r="R74" s="70"/>
      <c r="S74" s="70"/>
      <c r="T74" s="70"/>
      <c r="U74" s="70"/>
      <c r="V74" s="120"/>
      <c r="W74" s="120"/>
      <c r="X74" s="70"/>
      <c r="Y74" s="70"/>
      <c r="Z74" s="70"/>
      <c r="AA74" s="70"/>
      <c r="AB74" s="70"/>
      <c r="AC74" s="120"/>
      <c r="AD74" s="120"/>
      <c r="AE74" s="70"/>
      <c r="AF74" s="70"/>
      <c r="AG74" s="7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26"/>
      <c r="I76" s="126"/>
      <c r="J76" s="100"/>
      <c r="K76" s="100"/>
      <c r="L76" s="92"/>
      <c r="M76" s="92"/>
      <c r="N76" s="100"/>
      <c r="O76" s="126"/>
      <c r="P76" s="126"/>
      <c r="Q76" s="100"/>
      <c r="R76" s="100"/>
      <c r="S76" s="92"/>
      <c r="T76" s="92"/>
      <c r="U76" s="100"/>
      <c r="V76" s="126"/>
      <c r="W76" s="126"/>
      <c r="X76" s="100"/>
      <c r="Y76" s="100"/>
      <c r="Z76" s="92"/>
      <c r="AA76" s="92"/>
      <c r="AB76" s="100"/>
      <c r="AC76" s="126"/>
      <c r="AD76" s="126"/>
      <c r="AE76" s="100"/>
      <c r="AF76" s="100"/>
      <c r="AG76" s="92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12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120"/>
      <c r="AD83" s="120"/>
      <c r="AF83" s="70"/>
      <c r="AG83" s="7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120"/>
      <c r="Y86" s="7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124"/>
      <c r="I87" s="124"/>
      <c r="J87" s="92"/>
      <c r="K87" s="92"/>
      <c r="L87" s="92"/>
      <c r="M87" s="92"/>
      <c r="N87" s="92"/>
      <c r="O87" s="124"/>
      <c r="P87" s="124"/>
      <c r="Q87" s="92"/>
      <c r="R87" s="92"/>
      <c r="S87" s="92"/>
      <c r="T87" s="92"/>
      <c r="U87" s="92"/>
      <c r="V87" s="121"/>
      <c r="W87" s="124"/>
      <c r="X87" s="92"/>
      <c r="Y87" s="73"/>
      <c r="Z87" s="92"/>
      <c r="AA87" s="92"/>
      <c r="AB87" s="92"/>
      <c r="AC87" s="124"/>
      <c r="AD87" s="124"/>
      <c r="AE87" s="92"/>
      <c r="AF87" s="92"/>
      <c r="AG87" s="92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131"/>
      <c r="I88" s="68"/>
      <c r="J88" s="64"/>
      <c r="K88" s="64"/>
      <c r="L88" s="64"/>
      <c r="M88" s="64"/>
      <c r="N88" s="64"/>
      <c r="O88" s="68"/>
      <c r="P88" s="68"/>
      <c r="Q88" s="64"/>
      <c r="R88" s="64"/>
      <c r="S88" s="64"/>
      <c r="T88" s="64"/>
      <c r="U88" s="64"/>
      <c r="V88" s="68"/>
      <c r="W88" s="125"/>
      <c r="X88"/>
      <c r="Y88" s="64"/>
      <c r="Z88" s="64"/>
      <c r="AA88"/>
      <c r="AB88" s="64"/>
      <c r="AC88" s="68"/>
      <c r="AD88" s="68"/>
      <c r="AE88" s="64"/>
      <c r="AF88" s="64"/>
      <c r="AG88" s="64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120"/>
      <c r="I89" s="120"/>
      <c r="J89" s="70"/>
      <c r="K89" s="70"/>
      <c r="L89" s="70"/>
      <c r="M89" s="70"/>
      <c r="N89" s="70"/>
      <c r="O89" s="68"/>
      <c r="P89" s="120"/>
      <c r="Q89" s="70"/>
      <c r="R89" s="70"/>
      <c r="S89" s="70"/>
      <c r="T89" s="70"/>
      <c r="U89" s="64"/>
      <c r="V89" s="68"/>
      <c r="W89" s="68"/>
      <c r="X89" s="64"/>
      <c r="Y89" s="70"/>
      <c r="Z89" s="70"/>
      <c r="AA89" s="70"/>
      <c r="AB89" s="70"/>
      <c r="AC89" s="68"/>
      <c r="AD89" s="120"/>
      <c r="AE89" s="64"/>
      <c r="AF89" s="70"/>
      <c r="AG89" s="7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120"/>
      <c r="I90" s="120"/>
      <c r="J90" s="70"/>
      <c r="K90" s="70"/>
      <c r="L90" s="70"/>
      <c r="M90" s="70"/>
      <c r="N90" s="70"/>
      <c r="O90" s="120"/>
      <c r="P90" s="120"/>
      <c r="Q90" s="70"/>
      <c r="R90" s="70"/>
      <c r="S90" s="70"/>
      <c r="T90" s="70"/>
      <c r="U90" s="70"/>
      <c r="V90" s="120"/>
      <c r="W90" s="120"/>
      <c r="X90" s="70"/>
      <c r="Y90" s="70"/>
      <c r="Z90" s="70"/>
      <c r="AA90" s="70"/>
      <c r="AB90" s="70"/>
      <c r="AC90" s="120"/>
      <c r="AD90" s="120"/>
      <c r="AE90" s="70"/>
      <c r="AF90" s="70"/>
      <c r="AG90" s="7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120"/>
      <c r="I91" s="120"/>
      <c r="J91" s="70"/>
      <c r="K91" s="70"/>
      <c r="L91" s="70"/>
      <c r="M91" s="70"/>
      <c r="N91" s="70"/>
      <c r="O91" s="120"/>
      <c r="P91" s="120"/>
      <c r="Q91" s="70"/>
      <c r="R91" s="70"/>
      <c r="S91" s="70"/>
      <c r="T91" s="70"/>
      <c r="U91" s="70"/>
      <c r="V91" s="120"/>
      <c r="W91" s="120"/>
      <c r="X91" s="70"/>
      <c r="Y91" s="70"/>
      <c r="Z91" s="70"/>
      <c r="AA91" s="70"/>
      <c r="AB91" s="70"/>
      <c r="AC91" s="120"/>
      <c r="AD91" s="120"/>
      <c r="AE91" s="70"/>
      <c r="AF91" s="70"/>
      <c r="AG91" s="7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120"/>
      <c r="I92" s="120"/>
      <c r="J92" s="70"/>
      <c r="K92" s="70"/>
      <c r="L92" s="70"/>
      <c r="M92" s="70"/>
      <c r="N92" s="70"/>
      <c r="O92" s="120"/>
      <c r="P92" s="120"/>
      <c r="Q92" s="70"/>
      <c r="R92" s="70"/>
      <c r="S92" s="70"/>
      <c r="T92" s="70"/>
      <c r="U92" s="70"/>
      <c r="V92" s="120"/>
      <c r="W92" s="120"/>
      <c r="X92" s="70"/>
      <c r="Y92" s="70"/>
      <c r="Z92" s="70"/>
      <c r="AA92" s="70"/>
      <c r="AB92" s="70"/>
      <c r="AC92" s="120"/>
      <c r="AD92" s="120"/>
      <c r="AE92" s="70"/>
      <c r="AF92" s="70"/>
      <c r="AG92" s="7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120"/>
      <c r="I93" s="120"/>
      <c r="J93" s="70"/>
      <c r="K93" s="70"/>
      <c r="L93" s="70"/>
      <c r="M93" s="70"/>
      <c r="N93" s="70"/>
      <c r="O93" s="120"/>
      <c r="P93" s="120"/>
      <c r="Q93" s="70"/>
      <c r="R93" s="70"/>
      <c r="S93" s="70"/>
      <c r="T93" s="70"/>
      <c r="U93" s="70"/>
      <c r="V93" s="120"/>
      <c r="W93" s="120"/>
      <c r="X93" s="70"/>
      <c r="Y93" s="70"/>
      <c r="Z93" s="70"/>
      <c r="AA93" s="70"/>
      <c r="AB93" s="70"/>
      <c r="AC93" s="120"/>
      <c r="AD93" s="120"/>
      <c r="AE93" s="70"/>
      <c r="AF93" s="70"/>
      <c r="AG93" s="7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120"/>
      <c r="I94" s="120"/>
      <c r="J94" s="70"/>
      <c r="K94" s="70"/>
      <c r="L94" s="70"/>
      <c r="M94" s="70"/>
      <c r="N94" s="70"/>
      <c r="O94" s="120"/>
      <c r="P94" s="120"/>
      <c r="Q94" s="70"/>
      <c r="R94" s="70"/>
      <c r="S94" s="70"/>
      <c r="T94" s="70"/>
      <c r="U94" s="70"/>
      <c r="V94" s="120"/>
      <c r="W94" s="120"/>
      <c r="X94" s="70"/>
      <c r="Y94" s="70"/>
      <c r="Z94" s="70"/>
      <c r="AA94" s="70"/>
      <c r="AB94" s="70"/>
      <c r="AC94" s="120"/>
      <c r="AD94" s="120"/>
      <c r="AE94" s="70"/>
      <c r="AF94" s="70"/>
      <c r="AG94" s="7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120"/>
      <c r="I95" s="120"/>
      <c r="J95" s="70"/>
      <c r="K95" s="70"/>
      <c r="L95" s="70"/>
      <c r="M95" s="70"/>
      <c r="N95" s="70"/>
      <c r="O95" s="120"/>
      <c r="P95" s="120"/>
      <c r="Q95" s="70"/>
      <c r="R95" s="70"/>
      <c r="S95" s="70"/>
      <c r="T95" s="70"/>
      <c r="U95" s="70"/>
      <c r="V95" s="120"/>
      <c r="W95" s="120"/>
      <c r="X95" s="70"/>
      <c r="Y95" s="70"/>
      <c r="Z95" s="70"/>
      <c r="AA95" s="70"/>
      <c r="AB95" s="70"/>
      <c r="AC95" s="120"/>
      <c r="AD95" s="120"/>
      <c r="AE95" s="70"/>
      <c r="AF95" s="70"/>
      <c r="AG95" s="7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8"/>
      <c r="I105" s="68"/>
      <c r="J105" s="64"/>
      <c r="K105" s="64"/>
      <c r="L105" s="64"/>
      <c r="M105" s="64"/>
      <c r="N105" s="64"/>
      <c r="O105" s="68"/>
      <c r="P105" s="68"/>
      <c r="Q105" s="64"/>
      <c r="R105" s="64"/>
      <c r="S105" s="64"/>
      <c r="T105" s="64"/>
      <c r="U105" s="64"/>
      <c r="V105" s="68"/>
      <c r="W105" s="68"/>
      <c r="X105" s="64"/>
      <c r="Y105" s="64"/>
      <c r="Z105" s="64"/>
      <c r="AA105" s="64"/>
      <c r="AB105" s="64"/>
      <c r="AC105" s="68"/>
      <c r="AD105" s="68"/>
      <c r="AE105" s="64"/>
      <c r="AF105" s="64"/>
      <c r="AG105" s="64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8"/>
      <c r="I106" s="68"/>
      <c r="J106" s="64"/>
      <c r="K106" s="64"/>
      <c r="L106" s="64"/>
      <c r="M106" s="64"/>
      <c r="N106" s="64"/>
      <c r="O106" s="68"/>
      <c r="P106" s="68"/>
      <c r="Q106" s="64"/>
      <c r="R106" s="64"/>
      <c r="S106" s="64"/>
      <c r="T106" s="64"/>
      <c r="U106" s="64"/>
      <c r="V106" s="68"/>
      <c r="W106" s="68"/>
      <c r="X106" s="64"/>
      <c r="Y106" s="64"/>
      <c r="Z106" s="64"/>
      <c r="AA106" s="64"/>
      <c r="AB106" s="64"/>
      <c r="AC106" s="68"/>
      <c r="AD106" s="68"/>
      <c r="AE106" s="64"/>
      <c r="AF106" s="64"/>
      <c r="AG106" s="64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8"/>
      <c r="I107" s="68"/>
      <c r="J107" s="64"/>
      <c r="K107" s="64"/>
      <c r="L107" s="64"/>
      <c r="M107" s="64"/>
      <c r="N107" s="64"/>
      <c r="O107" s="68"/>
      <c r="P107" s="68"/>
      <c r="Q107" s="64"/>
      <c r="R107" s="64"/>
      <c r="S107" s="64"/>
      <c r="T107" s="64"/>
      <c r="U107" s="64"/>
      <c r="V107" s="68"/>
      <c r="W107" s="68"/>
      <c r="X107" s="64"/>
      <c r="Y107" s="64"/>
      <c r="Z107" s="64"/>
      <c r="AA107" s="64"/>
      <c r="AB107" s="64"/>
      <c r="AC107" s="68"/>
      <c r="AD107" s="68"/>
      <c r="AE107" s="64"/>
      <c r="AF107" s="64"/>
      <c r="AG107" s="64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8"/>
      <c r="I108" s="68"/>
      <c r="J108" s="64"/>
      <c r="K108" s="64"/>
      <c r="L108" s="64"/>
      <c r="M108" s="64"/>
      <c r="N108" s="64"/>
      <c r="O108" s="68"/>
      <c r="P108" s="68"/>
      <c r="Q108" s="64"/>
      <c r="R108" s="64"/>
      <c r="S108" s="64"/>
      <c r="T108" s="64"/>
      <c r="U108" s="64"/>
      <c r="V108" s="68"/>
      <c r="W108" s="68"/>
      <c r="X108" s="64"/>
      <c r="Y108" s="64"/>
      <c r="Z108" s="64"/>
      <c r="AA108" s="64"/>
      <c r="AB108" s="64"/>
      <c r="AC108" s="68"/>
      <c r="AD108" s="68"/>
      <c r="AE108" s="64"/>
      <c r="AF108" s="64"/>
      <c r="AG108" s="64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8"/>
      <c r="I109" s="68"/>
      <c r="J109" s="64"/>
      <c r="K109" s="64"/>
      <c r="L109" s="64"/>
      <c r="M109" s="64"/>
      <c r="N109" s="64"/>
      <c r="O109" s="68"/>
      <c r="P109" s="68"/>
      <c r="Q109" s="64"/>
      <c r="R109" s="64"/>
      <c r="S109" s="64"/>
      <c r="T109" s="64"/>
      <c r="U109" s="64"/>
      <c r="V109" s="68"/>
      <c r="W109" s="68"/>
      <c r="X109" s="64"/>
      <c r="Y109" s="64"/>
      <c r="Z109" s="64"/>
      <c r="AA109" s="64"/>
      <c r="AB109" s="64"/>
      <c r="AC109" s="68"/>
      <c r="AD109" s="68"/>
      <c r="AE109" s="64"/>
      <c r="AF109" s="64"/>
      <c r="AG109" s="64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8"/>
      <c r="I110" s="68"/>
      <c r="J110" s="64"/>
      <c r="K110" s="64"/>
      <c r="L110" s="64"/>
      <c r="M110" s="64"/>
      <c r="N110" s="64"/>
      <c r="O110" s="68"/>
      <c r="P110" s="68"/>
      <c r="Q110" s="64"/>
      <c r="R110" s="64"/>
      <c r="S110" s="64"/>
      <c r="T110" s="64"/>
      <c r="U110" s="64"/>
      <c r="V110" s="68"/>
      <c r="W110" s="68"/>
      <c r="X110" s="64"/>
      <c r="Y110" s="64"/>
      <c r="Z110" s="64"/>
      <c r="AA110" s="64"/>
      <c r="AB110" s="64"/>
      <c r="AC110" s="68"/>
      <c r="AD110" s="68"/>
      <c r="AE110" s="64"/>
      <c r="AF110" s="64"/>
      <c r="AG110" s="64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8"/>
      <c r="I111" s="68"/>
      <c r="J111" s="64"/>
      <c r="K111" s="64"/>
      <c r="L111" s="64"/>
      <c r="M111" s="64"/>
      <c r="N111" s="64"/>
      <c r="O111" s="68"/>
      <c r="P111" s="68"/>
      <c r="Q111" s="64"/>
      <c r="R111" s="64"/>
      <c r="S111" s="64"/>
      <c r="T111" s="64"/>
      <c r="U111" s="64"/>
      <c r="V111" s="68"/>
      <c r="W111" s="68"/>
      <c r="X111" s="64"/>
      <c r="Y111" s="64"/>
      <c r="Z111" s="64"/>
      <c r="AA111" s="64"/>
      <c r="AB111" s="64"/>
      <c r="AC111" s="68"/>
      <c r="AD111" s="68"/>
      <c r="AE111" s="64"/>
      <c r="AF111" s="64"/>
      <c r="AG111" s="64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8"/>
      <c r="I112" s="68"/>
      <c r="J112" s="64"/>
      <c r="K112" s="64"/>
      <c r="L112" s="64"/>
      <c r="M112" s="64"/>
      <c r="N112" s="64"/>
      <c r="O112" s="68"/>
      <c r="P112" s="68"/>
      <c r="Q112" s="64"/>
      <c r="R112" s="64"/>
      <c r="S112" s="64"/>
      <c r="T112" s="64"/>
      <c r="U112" s="64"/>
      <c r="V112" s="68"/>
      <c r="W112" s="68"/>
      <c r="X112" s="64"/>
      <c r="Y112" s="64"/>
      <c r="Z112" s="64"/>
      <c r="AA112" s="64"/>
      <c r="AB112" s="64"/>
      <c r="AC112" s="68"/>
      <c r="AD112" s="68"/>
      <c r="AE112" s="64"/>
      <c r="AF112" s="64"/>
      <c r="AG112" s="64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8"/>
      <c r="I113" s="68"/>
      <c r="J113" s="64"/>
      <c r="K113" s="64"/>
      <c r="L113" s="64"/>
      <c r="M113" s="64"/>
      <c r="N113" s="64"/>
      <c r="O113" s="68"/>
      <c r="P113" s="68"/>
      <c r="Q113" s="64"/>
      <c r="R113" s="64"/>
      <c r="S113" s="64"/>
      <c r="T113" s="64"/>
      <c r="U113" s="64"/>
      <c r="V113" s="68"/>
      <c r="W113" s="68"/>
      <c r="X113" s="64"/>
      <c r="Y113" s="64"/>
      <c r="Z113" s="64"/>
      <c r="AA113" s="64"/>
      <c r="AB113" s="64"/>
      <c r="AC113" s="68"/>
      <c r="AD113" s="68"/>
      <c r="AE113" s="64"/>
      <c r="AF113" s="64"/>
      <c r="AG113" s="64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8"/>
      <c r="I114" s="68"/>
      <c r="J114" s="64"/>
      <c r="K114" s="64"/>
      <c r="L114" s="64"/>
      <c r="M114" s="64"/>
      <c r="N114" s="64"/>
      <c r="O114" s="68"/>
      <c r="P114" s="68"/>
      <c r="Q114" s="64"/>
      <c r="R114" s="64"/>
      <c r="S114" s="64"/>
      <c r="T114" s="64"/>
      <c r="U114" s="64"/>
      <c r="V114" s="68"/>
      <c r="W114" s="68"/>
      <c r="X114" s="64"/>
      <c r="Y114" s="64"/>
      <c r="Z114" s="64"/>
      <c r="AA114" s="64"/>
      <c r="AB114" s="64"/>
      <c r="AC114" s="68"/>
      <c r="AD114" s="68"/>
      <c r="AE114" s="64"/>
      <c r="AF114" s="64"/>
      <c r="AG114" s="64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8"/>
      <c r="I115" s="68"/>
      <c r="J115" s="64"/>
      <c r="K115" s="64"/>
      <c r="L115" s="64"/>
      <c r="M115" s="64"/>
      <c r="N115" s="64"/>
      <c r="O115" s="68"/>
      <c r="P115" s="68"/>
      <c r="Q115" s="64"/>
      <c r="R115" s="64"/>
      <c r="S115" s="64"/>
      <c r="T115" s="64"/>
      <c r="U115" s="64"/>
      <c r="V115" s="68"/>
      <c r="W115" s="68"/>
      <c r="X115" s="64"/>
      <c r="Y115" s="64"/>
      <c r="Z115" s="64"/>
      <c r="AA115" s="64"/>
      <c r="AB115" s="64"/>
      <c r="AC115" s="68"/>
      <c r="AD115" s="68"/>
      <c r="AE115" s="64"/>
      <c r="AF115" s="64"/>
      <c r="AG115" s="64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8"/>
      <c r="I116" s="68"/>
      <c r="J116" s="64"/>
      <c r="K116" s="64"/>
      <c r="L116" s="64"/>
      <c r="M116" s="64"/>
      <c r="N116" s="64"/>
      <c r="O116" s="68"/>
      <c r="P116" s="68"/>
      <c r="Q116" s="64"/>
      <c r="R116" s="64"/>
      <c r="S116" s="64"/>
      <c r="T116" s="64"/>
      <c r="U116" s="64"/>
      <c r="V116" s="68"/>
      <c r="W116" s="68"/>
      <c r="X116" s="64"/>
      <c r="Y116" s="64"/>
      <c r="Z116" s="64"/>
      <c r="AA116" s="64"/>
      <c r="AB116" s="64"/>
      <c r="AC116" s="68"/>
      <c r="AD116" s="68"/>
      <c r="AE116" s="64"/>
      <c r="AF116" s="64"/>
      <c r="AG116" s="64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124"/>
      <c r="I117" s="124"/>
      <c r="J117" s="92"/>
      <c r="K117" s="92"/>
      <c r="L117" s="92"/>
      <c r="M117" s="92"/>
      <c r="N117" s="92"/>
      <c r="O117" s="124"/>
      <c r="P117" s="124"/>
      <c r="Q117" s="92"/>
      <c r="R117" s="92"/>
      <c r="S117" s="92"/>
      <c r="T117" s="92"/>
      <c r="U117" s="92"/>
      <c r="V117" s="124"/>
      <c r="W117" s="124"/>
      <c r="X117" s="92"/>
      <c r="Y117" s="92"/>
      <c r="Z117" s="92"/>
      <c r="AA117" s="92"/>
      <c r="AB117" s="92"/>
      <c r="AC117" s="124"/>
      <c r="AD117" s="124"/>
      <c r="AE117" s="92"/>
      <c r="AF117" s="92"/>
      <c r="AG117" s="92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70"/>
      <c r="Z118" s="70"/>
      <c r="AC118" s="120"/>
      <c r="AD118" s="120"/>
      <c r="AF118" s="70"/>
      <c r="AG118" s="7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23"/>
      <c r="S119" s="156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122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8"/>
      <c r="I122" s="68"/>
      <c r="J122" s="64"/>
      <c r="K122" s="64"/>
      <c r="L122" s="64"/>
      <c r="M122" s="64"/>
      <c r="N122" s="64"/>
      <c r="O122" s="68"/>
      <c r="P122" s="68"/>
      <c r="Q122" s="80"/>
      <c r="R122" s="70"/>
      <c r="S122" s="64"/>
      <c r="T122" s="64"/>
      <c r="U122" s="70"/>
      <c r="V122" s="68"/>
      <c r="W122" s="68"/>
      <c r="X122" s="64"/>
      <c r="Y122" s="64"/>
      <c r="Z122" s="64"/>
      <c r="AA122" s="64"/>
      <c r="AB122" s="64"/>
      <c r="AC122" s="122"/>
      <c r="AD122" s="68"/>
      <c r="AE122" s="64"/>
      <c r="AF122" s="64"/>
      <c r="AG122" s="64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70"/>
      <c r="W125" s="12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8"/>
      <c r="I126" s="68"/>
      <c r="J126" s="64"/>
      <c r="K126" s="64"/>
      <c r="L126" s="64"/>
      <c r="M126" s="70"/>
      <c r="N126" s="64"/>
      <c r="O126" s="68"/>
      <c r="P126" s="68"/>
      <c r="Q126" s="70"/>
      <c r="R126" s="64"/>
      <c r="S126" s="70"/>
      <c r="T126" s="64"/>
      <c r="U126" s="64"/>
      <c r="V126" s="68"/>
      <c r="W126" s="120"/>
      <c r="X126" s="64"/>
      <c r="Y126" s="64"/>
      <c r="Z126" s="64"/>
      <c r="AA126" s="64"/>
      <c r="AB126" s="64"/>
      <c r="AC126" s="68"/>
      <c r="AD126" s="68"/>
      <c r="AE126" s="64"/>
      <c r="AF126" s="64"/>
      <c r="AG126" s="64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120"/>
      <c r="I128" s="120"/>
      <c r="J128" s="70"/>
      <c r="M128" s="70"/>
      <c r="N128" s="70"/>
      <c r="O128" s="120"/>
      <c r="P128" s="120"/>
      <c r="Q128" s="70"/>
      <c r="R128" s="70"/>
      <c r="S128" s="70"/>
      <c r="T128" s="70"/>
      <c r="V128" s="120"/>
      <c r="W128" s="120"/>
      <c r="X128" s="70"/>
      <c r="Z128" s="70"/>
      <c r="AA128" s="70"/>
      <c r="AB128" s="70"/>
      <c r="AC128" s="120"/>
      <c r="AD128" s="120"/>
      <c r="AE128" s="70"/>
      <c r="AF128" s="70"/>
      <c r="AG128" s="7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120"/>
      <c r="J134" s="70"/>
      <c r="M134" s="70"/>
      <c r="N134" s="70"/>
      <c r="O134" s="120"/>
      <c r="P134" s="120"/>
      <c r="Q134" s="70"/>
      <c r="R134" s="70"/>
      <c r="T134" s="70"/>
      <c r="U134" s="70"/>
      <c r="V134" s="120"/>
      <c r="Y134" s="70"/>
      <c r="Z134" s="70"/>
      <c r="AA134" s="70"/>
      <c r="AB134" s="70"/>
      <c r="AC134" s="120"/>
      <c r="AD134" s="12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120"/>
      <c r="AD135" s="120"/>
      <c r="AF135" s="7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121"/>
      <c r="I136" s="121"/>
      <c r="J136" s="73"/>
      <c r="K136" s="73"/>
      <c r="L136" s="73"/>
      <c r="M136" s="73"/>
      <c r="N136" s="73"/>
      <c r="O136" s="121"/>
      <c r="P136" s="121"/>
      <c r="Q136" s="73"/>
      <c r="R136" s="73"/>
      <c r="S136" s="73"/>
      <c r="T136" s="73"/>
      <c r="U136" s="73"/>
      <c r="V136" s="121"/>
      <c r="W136" s="121"/>
      <c r="X136" s="73"/>
      <c r="Y136" s="73"/>
      <c r="Z136" s="73"/>
      <c r="AA136" s="73"/>
      <c r="AB136" s="73"/>
      <c r="AC136" s="121"/>
      <c r="AD136" s="121"/>
      <c r="AE136" s="73"/>
      <c r="AF136" s="73"/>
      <c r="AG136" s="73"/>
      <c r="AH136" s="73"/>
      <c r="AI136" s="73"/>
      <c r="AJ136" s="73"/>
      <c r="AK136" s="71">
        <f>SUM(AK3:AK135)</f>
        <v>16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120"/>
      <c r="I137" s="120"/>
      <c r="J137" s="70"/>
      <c r="K137" s="70"/>
      <c r="L137" s="70"/>
      <c r="M137" s="70"/>
      <c r="N137" s="70"/>
      <c r="O137" s="120"/>
      <c r="P137" s="120"/>
      <c r="Q137" s="70"/>
      <c r="R137" s="70"/>
      <c r="S137" s="70"/>
      <c r="T137" s="70"/>
      <c r="U137" s="70"/>
      <c r="V137" s="120"/>
      <c r="W137" s="120"/>
      <c r="X137" s="70"/>
      <c r="Y137" s="70"/>
      <c r="Z137" s="70"/>
      <c r="AA137" s="70"/>
      <c r="AB137" s="70"/>
      <c r="AC137" s="120"/>
      <c r="AD137" s="68"/>
      <c r="AE137" s="64"/>
      <c r="AF137" s="64"/>
      <c r="AG137" s="64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8"/>
      <c r="I138" s="68"/>
      <c r="J138" s="64"/>
      <c r="K138" s="64"/>
      <c r="L138" s="64"/>
      <c r="M138" s="64"/>
      <c r="N138" s="64"/>
      <c r="O138" s="68"/>
      <c r="P138" s="68"/>
      <c r="Q138" s="64"/>
      <c r="R138" s="64"/>
      <c r="S138" s="64"/>
      <c r="T138" s="64"/>
      <c r="U138" s="64"/>
      <c r="V138" s="68"/>
      <c r="W138" s="68"/>
      <c r="X138" s="64"/>
      <c r="Y138" s="64"/>
      <c r="Z138" s="64"/>
      <c r="AA138" s="64"/>
      <c r="AB138" s="64"/>
      <c r="AC138" s="68"/>
      <c r="AD138" s="68"/>
      <c r="AE138" s="64"/>
      <c r="AF138" s="64"/>
      <c r="AG138" s="64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J146" s="64"/>
      <c r="K146" s="64"/>
      <c r="L146" s="64"/>
      <c r="M146" s="64"/>
      <c r="N146" s="64"/>
      <c r="Q146" s="64"/>
      <c r="R146" s="64"/>
      <c r="S146" s="64"/>
      <c r="T146" s="64"/>
      <c r="U146" s="64"/>
      <c r="X146" s="64"/>
      <c r="Y146" s="64"/>
      <c r="Z146" s="64"/>
      <c r="AA146" s="64"/>
      <c r="AB146" s="64"/>
      <c r="AE146" s="64"/>
      <c r="AF146" s="64"/>
      <c r="AG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J147" s="64"/>
      <c r="K147" s="64"/>
      <c r="L147" s="64"/>
      <c r="M147" s="64"/>
      <c r="N147" s="64"/>
      <c r="Q147" s="64"/>
      <c r="R147" s="64"/>
      <c r="S147" s="64"/>
      <c r="T147" s="64"/>
      <c r="U147" s="64"/>
      <c r="X147" s="64"/>
      <c r="Y147" s="64"/>
      <c r="Z147" s="64"/>
      <c r="AA147" s="64"/>
      <c r="AB147" s="64"/>
      <c r="AE147" s="64"/>
      <c r="AF147" s="64"/>
      <c r="AG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J148" s="64"/>
      <c r="K148" s="64"/>
      <c r="L148" s="64"/>
      <c r="M148" s="64"/>
      <c r="N148" s="64"/>
      <c r="Q148" s="64"/>
      <c r="R148" s="64"/>
      <c r="S148" s="64"/>
      <c r="T148" s="64"/>
      <c r="U148" s="64"/>
      <c r="X148" s="64"/>
      <c r="Y148" s="64"/>
      <c r="Z148" s="64"/>
      <c r="AA148" s="64"/>
      <c r="AB148" s="64"/>
      <c r="AE148" s="64"/>
      <c r="AF148" s="64"/>
      <c r="AG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J149" s="64"/>
      <c r="K149" s="64"/>
      <c r="L149" s="64"/>
      <c r="M149" s="64"/>
      <c r="N149" s="64"/>
      <c r="Q149" s="64"/>
      <c r="R149" s="64"/>
      <c r="S149" s="64"/>
      <c r="T149" s="64"/>
      <c r="U149" s="64"/>
      <c r="X149" s="64"/>
      <c r="Y149" s="64"/>
      <c r="Z149" s="64"/>
      <c r="AA149" s="64"/>
      <c r="AB149" s="64"/>
      <c r="AE149" s="64"/>
      <c r="AF149" s="64"/>
      <c r="AG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J150" s="64"/>
      <c r="K150" s="64"/>
      <c r="L150" s="64"/>
      <c r="M150" s="64"/>
      <c r="N150" s="64"/>
      <c r="Q150" s="64"/>
      <c r="R150" s="64"/>
      <c r="S150" s="64"/>
      <c r="T150" s="64"/>
      <c r="U150" s="64"/>
      <c r="X150" s="64"/>
      <c r="Y150" s="64"/>
      <c r="Z150" s="64"/>
      <c r="AA150" s="64"/>
      <c r="AB150" s="64"/>
      <c r="AE150" s="64"/>
      <c r="AF150" s="64"/>
      <c r="AG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J151" s="64"/>
      <c r="K151" s="64"/>
      <c r="L151" s="64"/>
      <c r="M151" s="64"/>
      <c r="N151" s="64"/>
      <c r="Q151" s="64"/>
      <c r="R151" s="64"/>
      <c r="S151" s="64"/>
      <c r="T151" s="64"/>
      <c r="U151" s="64"/>
      <c r="X151" s="64"/>
      <c r="Y151" s="64"/>
      <c r="Z151" s="64"/>
      <c r="AA151" s="64"/>
      <c r="AB151" s="64"/>
      <c r="AE151" s="64"/>
      <c r="AF151" s="64"/>
      <c r="AG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J152" s="64"/>
      <c r="K152" s="64"/>
      <c r="L152" s="64"/>
      <c r="M152" s="64"/>
      <c r="N152" s="64"/>
      <c r="Q152" s="64"/>
      <c r="R152" s="64"/>
      <c r="S152" s="64"/>
      <c r="T152" s="64"/>
      <c r="U152" s="64"/>
      <c r="X152" s="64"/>
      <c r="Y152" s="64"/>
      <c r="Z152" s="64"/>
      <c r="AA152" s="64"/>
      <c r="AB152" s="64"/>
      <c r="AE152" s="64"/>
      <c r="AF152" s="64"/>
      <c r="AG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J153" s="64"/>
      <c r="K153" s="64"/>
      <c r="L153" s="64"/>
      <c r="M153" s="64"/>
      <c r="N153" s="64"/>
      <c r="Q153" s="64"/>
      <c r="R153" s="64"/>
      <c r="S153" s="64"/>
      <c r="T153" s="64"/>
      <c r="U153" s="64"/>
      <c r="X153" s="64"/>
      <c r="Y153" s="64"/>
      <c r="Z153" s="64"/>
      <c r="AA153" s="64"/>
      <c r="AB153" s="64"/>
      <c r="AE153" s="64"/>
      <c r="AF153" s="64"/>
      <c r="AG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J154" s="64"/>
      <c r="K154" s="64"/>
      <c r="L154" s="64"/>
      <c r="M154" s="64"/>
      <c r="N154" s="64"/>
      <c r="Q154" s="64"/>
      <c r="R154" s="64"/>
      <c r="S154" s="64"/>
      <c r="T154" s="64"/>
      <c r="U154" s="64"/>
      <c r="X154" s="64"/>
      <c r="Y154" s="64"/>
      <c r="Z154" s="64"/>
      <c r="AA154" s="64"/>
      <c r="AB154" s="64"/>
      <c r="AE154" s="64"/>
      <c r="AF154" s="64"/>
      <c r="AG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J155" s="64"/>
      <c r="K155" s="64"/>
      <c r="L155" s="64"/>
      <c r="M155" s="64"/>
      <c r="N155" s="64"/>
      <c r="Q155" s="64"/>
      <c r="R155" s="64"/>
      <c r="S155" s="64"/>
      <c r="T155" s="64"/>
      <c r="U155" s="64"/>
      <c r="X155" s="64"/>
      <c r="Y155" s="64"/>
      <c r="Z155" s="64"/>
      <c r="AA155" s="64"/>
      <c r="AB155" s="64"/>
      <c r="AE155" s="64"/>
      <c r="AF155" s="64"/>
      <c r="AG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J156" s="64"/>
      <c r="K156" s="64"/>
      <c r="L156" s="64"/>
      <c r="M156" s="64"/>
      <c r="N156" s="64"/>
      <c r="Q156" s="64"/>
      <c r="R156" s="64"/>
      <c r="S156" s="64"/>
      <c r="T156" s="64"/>
      <c r="U156" s="64"/>
      <c r="X156" s="64"/>
      <c r="Y156" s="64"/>
      <c r="Z156" s="64"/>
      <c r="AA156" s="64"/>
      <c r="AB156" s="64"/>
      <c r="AE156" s="64"/>
      <c r="AF156" s="64"/>
      <c r="AG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J157" s="64"/>
      <c r="K157" s="64"/>
      <c r="L157" s="64"/>
      <c r="M157" s="64"/>
      <c r="N157" s="64"/>
      <c r="Q157" s="64"/>
      <c r="R157" s="64"/>
      <c r="S157" s="64"/>
      <c r="T157" s="64"/>
      <c r="U157" s="64"/>
      <c r="X157" s="64"/>
      <c r="Y157" s="64"/>
      <c r="Z157" s="64"/>
      <c r="AA157" s="64"/>
      <c r="AB157" s="64"/>
      <c r="AE157" s="64"/>
      <c r="AF157" s="64"/>
      <c r="AG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J158" s="64"/>
      <c r="K158" s="64"/>
      <c r="L158" s="64"/>
      <c r="M158" s="64"/>
      <c r="N158" s="64"/>
      <c r="Q158" s="64"/>
      <c r="R158" s="64"/>
      <c r="S158" s="64"/>
      <c r="T158" s="64"/>
      <c r="U158" s="64"/>
      <c r="X158" s="64"/>
      <c r="Y158" s="64"/>
      <c r="Z158" s="64"/>
      <c r="AA158" s="64"/>
      <c r="AB158" s="64"/>
      <c r="AE158" s="64"/>
      <c r="AF158" s="64"/>
      <c r="AG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J159" s="64"/>
      <c r="K159" s="64"/>
      <c r="L159" s="64"/>
      <c r="M159" s="64"/>
      <c r="N159" s="64"/>
      <c r="Q159" s="64"/>
      <c r="R159" s="64"/>
      <c r="S159" s="64"/>
      <c r="T159" s="64"/>
      <c r="U159" s="64"/>
      <c r="X159" s="64"/>
      <c r="Y159" s="64"/>
      <c r="Z159" s="64"/>
      <c r="AA159" s="64"/>
      <c r="AB159" s="64"/>
      <c r="AE159" s="64"/>
      <c r="AF159" s="64"/>
      <c r="AG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J160" s="64"/>
      <c r="K160" s="64"/>
      <c r="L160" s="64"/>
      <c r="M160" s="64"/>
      <c r="N160" s="64"/>
      <c r="Q160" s="64"/>
      <c r="R160" s="64"/>
      <c r="S160" s="64"/>
      <c r="T160" s="64"/>
      <c r="U160" s="64"/>
      <c r="X160" s="64"/>
      <c r="Y160" s="64"/>
      <c r="Z160" s="64"/>
      <c r="AA160" s="64"/>
      <c r="AB160" s="64"/>
      <c r="AE160" s="64"/>
      <c r="AF160" s="64"/>
      <c r="AG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J161" s="64"/>
      <c r="K161" s="64"/>
      <c r="L161" s="64"/>
      <c r="M161" s="64"/>
      <c r="N161" s="64"/>
      <c r="Q161" s="64"/>
      <c r="R161" s="64"/>
      <c r="S161" s="64"/>
      <c r="T161" s="64"/>
      <c r="U161" s="64"/>
      <c r="X161" s="64"/>
      <c r="Y161" s="64"/>
      <c r="Z161" s="64"/>
      <c r="AA161" s="64"/>
      <c r="AB161" s="64"/>
      <c r="AE161" s="64"/>
      <c r="AF161" s="64"/>
      <c r="AG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J162" s="64"/>
      <c r="K162" s="64"/>
      <c r="L162" s="64"/>
      <c r="M162" s="64"/>
      <c r="N162" s="64"/>
      <c r="Q162" s="64"/>
      <c r="R162" s="64"/>
      <c r="S162" s="64"/>
      <c r="T162" s="64"/>
      <c r="U162" s="64"/>
      <c r="X162" s="64"/>
      <c r="Y162" s="64"/>
      <c r="Z162" s="64"/>
      <c r="AA162" s="64"/>
      <c r="AB162" s="64"/>
      <c r="AE162" s="64"/>
      <c r="AF162" s="64"/>
      <c r="AG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J163" s="64"/>
      <c r="K163" s="64"/>
      <c r="L163" s="64"/>
      <c r="M163" s="64"/>
      <c r="N163" s="64"/>
      <c r="Q163" s="64"/>
      <c r="R163" s="64"/>
      <c r="S163" s="64"/>
      <c r="T163" s="64"/>
      <c r="U163" s="64"/>
      <c r="X163" s="64"/>
      <c r="Y163" s="64"/>
      <c r="Z163" s="64"/>
      <c r="AA163" s="64"/>
      <c r="AB163" s="64"/>
      <c r="AE163" s="64"/>
      <c r="AF163" s="64"/>
      <c r="AG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J164" s="64"/>
      <c r="K164" s="64"/>
      <c r="L164" s="64"/>
      <c r="M164" s="64"/>
      <c r="N164" s="64"/>
      <c r="Q164" s="64"/>
      <c r="R164" s="64"/>
      <c r="S164" s="64"/>
      <c r="T164" s="64"/>
      <c r="U164" s="64"/>
      <c r="X164" s="64"/>
      <c r="Y164" s="64"/>
      <c r="Z164" s="64"/>
      <c r="AA164" s="64"/>
      <c r="AB164" s="64"/>
      <c r="AE164" s="64"/>
      <c r="AF164" s="64"/>
      <c r="AG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J165" s="64"/>
      <c r="K165" s="64"/>
      <c r="L165" s="64"/>
      <c r="M165" s="64"/>
      <c r="N165" s="64"/>
      <c r="Q165" s="64"/>
      <c r="R165" s="64"/>
      <c r="S165" s="64"/>
      <c r="T165" s="64"/>
      <c r="U165" s="64"/>
      <c r="X165" s="64"/>
      <c r="Y165" s="64"/>
      <c r="Z165" s="64"/>
      <c r="AA165" s="64"/>
      <c r="AB165" s="64"/>
      <c r="AE165" s="64"/>
      <c r="AF165" s="64"/>
      <c r="AG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J166" s="64"/>
      <c r="K166" s="64"/>
      <c r="L166" s="64"/>
      <c r="M166" s="64"/>
      <c r="N166" s="64"/>
      <c r="Q166" s="64"/>
      <c r="R166" s="64"/>
      <c r="S166" s="64"/>
      <c r="T166" s="64"/>
      <c r="U166" s="64"/>
      <c r="X166" s="64"/>
      <c r="Y166" s="64"/>
      <c r="Z166" s="64"/>
      <c r="AA166" s="64"/>
      <c r="AB166" s="64"/>
      <c r="AE166" s="64"/>
      <c r="AF166" s="64"/>
      <c r="AG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J167" s="64"/>
      <c r="K167" s="64"/>
      <c r="L167" s="64"/>
      <c r="M167" s="64"/>
      <c r="N167" s="64"/>
      <c r="Q167" s="64"/>
      <c r="R167" s="64"/>
      <c r="S167" s="64"/>
      <c r="T167" s="64"/>
      <c r="U167" s="64"/>
      <c r="X167" s="64"/>
      <c r="Y167" s="64"/>
      <c r="Z167" s="64"/>
      <c r="AA167" s="64"/>
      <c r="AB167" s="64"/>
      <c r="AE167" s="64"/>
      <c r="AF167" s="64"/>
      <c r="AG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J168" s="64"/>
      <c r="K168" s="64"/>
      <c r="L168" s="64"/>
      <c r="M168" s="64"/>
      <c r="N168" s="64"/>
      <c r="Q168" s="64"/>
      <c r="R168" s="64"/>
      <c r="S168" s="64"/>
      <c r="T168" s="64"/>
      <c r="U168" s="64"/>
      <c r="X168" s="64"/>
      <c r="Y168" s="64"/>
      <c r="Z168" s="64"/>
      <c r="AA168" s="64"/>
      <c r="AB168" s="64"/>
      <c r="AE168" s="64"/>
      <c r="AF168" s="64"/>
      <c r="AG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J169" s="64"/>
      <c r="K169" s="64"/>
      <c r="L169" s="64"/>
      <c r="M169" s="64"/>
      <c r="N169" s="64"/>
      <c r="Q169" s="64"/>
      <c r="R169" s="64"/>
      <c r="S169" s="64"/>
      <c r="T169" s="64"/>
      <c r="U169" s="64"/>
      <c r="X169" s="64"/>
      <c r="Y169" s="64"/>
      <c r="Z169" s="64"/>
      <c r="AA169" s="64"/>
      <c r="AB169" s="64"/>
      <c r="AE169" s="64"/>
      <c r="AF169" s="64"/>
      <c r="AG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J170" s="64"/>
      <c r="K170" s="64"/>
      <c r="L170" s="64"/>
      <c r="M170" s="64"/>
      <c r="N170" s="64"/>
      <c r="Q170" s="64"/>
      <c r="R170" s="64"/>
      <c r="S170" s="64"/>
      <c r="T170" s="64"/>
      <c r="U170" s="64"/>
      <c r="X170" s="64"/>
      <c r="Y170" s="64"/>
      <c r="Z170" s="64"/>
      <c r="AA170" s="64"/>
      <c r="AB170" s="64"/>
      <c r="AE170" s="64"/>
      <c r="AF170" s="64"/>
      <c r="AG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J171" s="64"/>
      <c r="K171" s="64"/>
      <c r="L171" s="64"/>
      <c r="M171" s="64"/>
      <c r="N171" s="64"/>
      <c r="Q171" s="64"/>
      <c r="R171" s="64"/>
      <c r="S171" s="64"/>
      <c r="T171" s="64"/>
      <c r="U171" s="64"/>
      <c r="X171" s="64"/>
      <c r="Y171" s="64"/>
      <c r="Z171" s="64"/>
      <c r="AA171" s="64"/>
      <c r="AB171" s="64"/>
      <c r="AE171" s="64"/>
      <c r="AF171" s="64"/>
      <c r="AG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J172" s="64"/>
      <c r="K172" s="64"/>
      <c r="L172" s="64"/>
      <c r="M172" s="64"/>
      <c r="N172" s="64"/>
      <c r="Q172" s="64"/>
      <c r="R172" s="64"/>
      <c r="S172" s="64"/>
      <c r="T172" s="64"/>
      <c r="U172" s="64"/>
      <c r="X172" s="64"/>
      <c r="Y172" s="64"/>
      <c r="Z172" s="64"/>
      <c r="AA172" s="64"/>
      <c r="AB172" s="64"/>
      <c r="AE172" s="64"/>
      <c r="AF172" s="64"/>
      <c r="AG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J173" s="64"/>
      <c r="K173" s="64"/>
      <c r="L173" s="64"/>
      <c r="M173" s="64"/>
      <c r="N173" s="64"/>
      <c r="Q173" s="64"/>
      <c r="R173" s="64"/>
      <c r="S173" s="64"/>
      <c r="T173" s="64"/>
      <c r="U173" s="64"/>
      <c r="X173" s="64"/>
      <c r="Y173" s="64"/>
      <c r="Z173" s="64"/>
      <c r="AA173" s="64"/>
      <c r="AB173" s="64"/>
      <c r="AE173" s="64"/>
      <c r="AF173" s="64"/>
      <c r="AG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J174" s="64"/>
      <c r="K174" s="64"/>
      <c r="L174" s="64"/>
      <c r="M174" s="64"/>
      <c r="N174" s="64"/>
      <c r="Q174" s="64"/>
      <c r="R174" s="64"/>
      <c r="S174" s="64"/>
      <c r="T174" s="64"/>
      <c r="U174" s="64"/>
      <c r="X174" s="64"/>
      <c r="Y174" s="64"/>
      <c r="Z174" s="64"/>
      <c r="AA174" s="64"/>
      <c r="AB174" s="64"/>
      <c r="AE174" s="64"/>
      <c r="AF174" s="64"/>
      <c r="AG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J175" s="64"/>
      <c r="K175" s="64"/>
      <c r="L175" s="64"/>
      <c r="M175" s="64"/>
      <c r="N175" s="64"/>
      <c r="Q175" s="64"/>
      <c r="R175" s="64"/>
      <c r="S175" s="64"/>
      <c r="T175" s="64"/>
      <c r="U175" s="64"/>
      <c r="X175" s="64"/>
      <c r="Y175" s="64"/>
      <c r="Z175" s="64"/>
      <c r="AA175" s="64"/>
      <c r="AB175" s="64"/>
      <c r="AE175" s="64"/>
      <c r="AF175" s="64"/>
      <c r="AG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J176" s="64"/>
      <c r="K176" s="64"/>
      <c r="L176" s="64"/>
      <c r="M176" s="64"/>
      <c r="N176" s="64"/>
      <c r="Q176" s="64"/>
      <c r="R176" s="64"/>
      <c r="S176" s="64"/>
      <c r="T176" s="64"/>
      <c r="U176" s="64"/>
      <c r="X176" s="64"/>
      <c r="Y176" s="64"/>
      <c r="Z176" s="64"/>
      <c r="AA176" s="64"/>
      <c r="AB176" s="64"/>
      <c r="AE176" s="64"/>
      <c r="AF176" s="64"/>
      <c r="AG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J177" s="64"/>
      <c r="K177" s="64"/>
      <c r="L177" s="64"/>
      <c r="M177" s="64"/>
      <c r="N177" s="64"/>
      <c r="Q177" s="64"/>
      <c r="R177" s="64"/>
      <c r="S177" s="64"/>
      <c r="T177" s="64"/>
      <c r="U177" s="64"/>
      <c r="X177" s="64"/>
      <c r="Y177" s="64"/>
      <c r="Z177" s="64"/>
      <c r="AA177" s="64"/>
      <c r="AB177" s="64"/>
      <c r="AE177" s="64"/>
      <c r="AF177" s="64"/>
      <c r="AG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J178" s="64"/>
      <c r="K178" s="64"/>
      <c r="L178" s="64"/>
      <c r="M178" s="64"/>
      <c r="N178" s="64"/>
      <c r="Q178" s="64"/>
      <c r="R178" s="64"/>
      <c r="S178" s="64"/>
      <c r="T178" s="64"/>
      <c r="U178" s="64"/>
      <c r="X178" s="64"/>
      <c r="Y178" s="64"/>
      <c r="Z178" s="64"/>
      <c r="AA178" s="64"/>
      <c r="AB178" s="64"/>
      <c r="AE178" s="64"/>
      <c r="AF178" s="64"/>
      <c r="AG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J179" s="64"/>
      <c r="K179" s="64"/>
      <c r="L179" s="64"/>
      <c r="M179" s="64"/>
      <c r="N179" s="64"/>
      <c r="Q179" s="64"/>
      <c r="R179" s="64"/>
      <c r="S179" s="64"/>
      <c r="T179" s="64"/>
      <c r="U179" s="64"/>
      <c r="X179" s="64"/>
      <c r="Y179" s="64"/>
      <c r="Z179" s="64"/>
      <c r="AA179" s="64"/>
      <c r="AB179" s="64"/>
      <c r="AE179" s="64"/>
      <c r="AF179" s="64"/>
      <c r="AG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J180" s="64"/>
      <c r="K180" s="64"/>
      <c r="L180" s="64"/>
      <c r="M180" s="64"/>
      <c r="N180" s="64"/>
      <c r="Q180" s="64"/>
      <c r="R180" s="64"/>
      <c r="S180" s="64"/>
      <c r="T180" s="64"/>
      <c r="U180" s="64"/>
      <c r="X180" s="64"/>
      <c r="Y180" s="64"/>
      <c r="Z180" s="64"/>
      <c r="AA180" s="64"/>
      <c r="AB180" s="64"/>
      <c r="AE180" s="64"/>
      <c r="AF180" s="64"/>
      <c r="AG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J181" s="64"/>
      <c r="K181" s="64"/>
      <c r="L181" s="64"/>
      <c r="M181" s="64"/>
      <c r="N181" s="64"/>
      <c r="Q181" s="64"/>
      <c r="R181" s="64"/>
      <c r="S181" s="64"/>
      <c r="T181" s="64"/>
      <c r="U181" s="64"/>
      <c r="X181" s="64"/>
      <c r="Y181" s="64"/>
      <c r="Z181" s="64"/>
      <c r="AA181" s="64"/>
      <c r="AB181" s="64"/>
      <c r="AE181" s="64"/>
      <c r="AF181" s="64"/>
      <c r="AG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J182" s="64"/>
      <c r="K182" s="64"/>
      <c r="L182" s="64"/>
      <c r="M182" s="64"/>
      <c r="N182" s="64"/>
      <c r="Q182" s="64"/>
      <c r="R182" s="64"/>
      <c r="S182" s="64"/>
      <c r="T182" s="64"/>
      <c r="U182" s="64"/>
      <c r="X182" s="64"/>
      <c r="Y182" s="64"/>
      <c r="Z182" s="64"/>
      <c r="AA182" s="64"/>
      <c r="AB182" s="64"/>
      <c r="AE182" s="64"/>
      <c r="AF182" s="64"/>
      <c r="AG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J183" s="64"/>
      <c r="K183" s="64"/>
      <c r="L183" s="64"/>
      <c r="M183" s="64"/>
      <c r="N183" s="64"/>
      <c r="Q183" s="64"/>
      <c r="R183" s="64"/>
      <c r="S183" s="64"/>
      <c r="T183" s="64"/>
      <c r="U183" s="64"/>
      <c r="X183" s="64"/>
      <c r="Y183" s="64"/>
      <c r="Z183" s="64"/>
      <c r="AA183" s="64"/>
      <c r="AB183" s="64"/>
      <c r="AE183" s="64"/>
      <c r="AF183" s="64"/>
      <c r="AG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J184" s="64"/>
      <c r="K184" s="64"/>
      <c r="L184" s="64"/>
      <c r="M184" s="64"/>
      <c r="N184" s="64"/>
      <c r="Q184" s="64"/>
      <c r="R184" s="64"/>
      <c r="S184" s="64"/>
      <c r="T184" s="64"/>
      <c r="U184" s="64"/>
      <c r="X184" s="64"/>
      <c r="Y184" s="64"/>
      <c r="Z184" s="64"/>
      <c r="AA184" s="64"/>
      <c r="AB184" s="64"/>
      <c r="AE184" s="64"/>
      <c r="AF184" s="64"/>
      <c r="AG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J185" s="64"/>
      <c r="K185" s="64"/>
      <c r="L185" s="64"/>
      <c r="M185" s="64"/>
      <c r="N185" s="64"/>
      <c r="Q185" s="64"/>
      <c r="R185" s="64"/>
      <c r="S185" s="64"/>
      <c r="T185" s="64"/>
      <c r="U185" s="64"/>
      <c r="X185" s="64"/>
      <c r="Y185" s="64"/>
      <c r="Z185" s="64"/>
      <c r="AA185" s="64"/>
      <c r="AB185" s="64"/>
      <c r="AE185" s="64"/>
      <c r="AF185" s="64"/>
      <c r="AG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J186" s="64"/>
      <c r="K186" s="64"/>
      <c r="L186" s="64"/>
      <c r="M186" s="64"/>
      <c r="N186" s="64"/>
      <c r="Q186" s="64"/>
      <c r="R186" s="64"/>
      <c r="S186" s="64"/>
      <c r="T186" s="64"/>
      <c r="U186" s="64"/>
      <c r="X186" s="64"/>
      <c r="Y186" s="64"/>
      <c r="Z186" s="64"/>
      <c r="AA186" s="64"/>
      <c r="AB186" s="64"/>
      <c r="AE186" s="64"/>
      <c r="AF186" s="64"/>
      <c r="AG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J187" s="64"/>
      <c r="K187" s="64"/>
      <c r="L187" s="64"/>
      <c r="M187" s="64"/>
      <c r="N187" s="64"/>
      <c r="Q187" s="64"/>
      <c r="R187" s="64"/>
      <c r="S187" s="64"/>
      <c r="T187" s="64"/>
      <c r="U187" s="64"/>
      <c r="X187" s="64"/>
      <c r="Y187" s="64"/>
      <c r="Z187" s="64"/>
      <c r="AA187" s="64"/>
      <c r="AB187" s="64"/>
      <c r="AE187" s="64"/>
      <c r="AF187" s="64"/>
      <c r="AG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J188" s="64"/>
      <c r="K188" s="64"/>
      <c r="L188" s="64"/>
      <c r="M188" s="64"/>
      <c r="N188" s="64"/>
      <c r="Q188" s="64"/>
      <c r="R188" s="64"/>
      <c r="S188" s="64"/>
      <c r="T188" s="64"/>
      <c r="U188" s="64"/>
      <c r="X188" s="64"/>
      <c r="Y188" s="64"/>
      <c r="Z188" s="64"/>
      <c r="AA188" s="64"/>
      <c r="AB188" s="64"/>
      <c r="AE188" s="64"/>
      <c r="AF188" s="64"/>
      <c r="AG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J189" s="64"/>
      <c r="K189" s="64"/>
      <c r="L189" s="64"/>
      <c r="M189" s="64"/>
      <c r="N189" s="64"/>
      <c r="Q189" s="64"/>
      <c r="R189" s="64"/>
      <c r="S189" s="64"/>
      <c r="T189" s="64"/>
      <c r="U189" s="64"/>
      <c r="X189" s="64"/>
      <c r="Y189" s="64"/>
      <c r="Z189" s="64"/>
      <c r="AA189" s="64"/>
      <c r="AB189" s="64"/>
      <c r="AE189" s="64"/>
      <c r="AF189" s="64"/>
      <c r="AG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J190" s="64"/>
      <c r="K190" s="64"/>
      <c r="L190" s="64"/>
      <c r="M190" s="64"/>
      <c r="N190" s="64"/>
      <c r="Q190" s="64"/>
      <c r="R190" s="64"/>
      <c r="S190" s="64"/>
      <c r="T190" s="64"/>
      <c r="U190" s="64"/>
      <c r="X190" s="64"/>
      <c r="Y190" s="64"/>
      <c r="Z190" s="64"/>
      <c r="AA190" s="64"/>
      <c r="AB190" s="64"/>
      <c r="AE190" s="64"/>
      <c r="AF190" s="64"/>
      <c r="AG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J191" s="64"/>
      <c r="K191" s="64"/>
      <c r="L191" s="64"/>
      <c r="M191" s="64"/>
      <c r="N191" s="64"/>
      <c r="Q191" s="64"/>
      <c r="R191" s="64"/>
      <c r="S191" s="64"/>
      <c r="T191" s="64"/>
      <c r="U191" s="64"/>
      <c r="X191" s="64"/>
      <c r="Y191" s="64"/>
      <c r="Z191" s="64"/>
      <c r="AA191" s="64"/>
      <c r="AB191" s="64"/>
      <c r="AE191" s="64"/>
      <c r="AF191" s="64"/>
      <c r="AG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J192" s="64"/>
      <c r="K192" s="64"/>
      <c r="L192" s="64"/>
      <c r="M192" s="64"/>
      <c r="N192" s="64"/>
      <c r="Q192" s="64"/>
      <c r="R192" s="64"/>
      <c r="S192" s="64"/>
      <c r="T192" s="64"/>
      <c r="U192" s="64"/>
      <c r="X192" s="64"/>
      <c r="Y192" s="64"/>
      <c r="Z192" s="64"/>
      <c r="AA192" s="64"/>
      <c r="AB192" s="64"/>
      <c r="AE192" s="64"/>
      <c r="AF192" s="64"/>
      <c r="AG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J193" s="64"/>
      <c r="K193" s="64"/>
      <c r="L193" s="64"/>
      <c r="M193" s="64"/>
      <c r="N193" s="64"/>
      <c r="Q193" s="64"/>
      <c r="R193" s="64"/>
      <c r="S193" s="64"/>
      <c r="T193" s="64"/>
      <c r="U193" s="64"/>
      <c r="X193" s="64"/>
      <c r="Y193" s="64"/>
      <c r="Z193" s="64"/>
      <c r="AA193" s="64"/>
      <c r="AB193" s="64"/>
      <c r="AE193" s="64"/>
      <c r="AF193" s="64"/>
      <c r="AG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J194" s="64"/>
      <c r="K194" s="64"/>
      <c r="L194" s="64"/>
      <c r="M194" s="64"/>
      <c r="N194" s="64"/>
      <c r="Q194" s="64"/>
      <c r="R194" s="64"/>
      <c r="S194" s="64"/>
      <c r="T194" s="64"/>
      <c r="U194" s="64"/>
      <c r="X194" s="64"/>
      <c r="Y194" s="64"/>
      <c r="Z194" s="64"/>
      <c r="AA194" s="64"/>
      <c r="AB194" s="64"/>
      <c r="AE194" s="64"/>
      <c r="AF194" s="64"/>
      <c r="AG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J195" s="64"/>
      <c r="K195" s="64"/>
      <c r="L195" s="64"/>
      <c r="M195" s="64"/>
      <c r="N195" s="64"/>
      <c r="Q195" s="64"/>
      <c r="R195" s="64"/>
      <c r="S195" s="64"/>
      <c r="T195" s="64"/>
      <c r="U195" s="64"/>
      <c r="X195" s="64"/>
      <c r="Y195" s="64"/>
      <c r="Z195" s="64"/>
      <c r="AA195" s="64"/>
      <c r="AB195" s="64"/>
      <c r="AE195" s="64"/>
      <c r="AF195" s="64"/>
      <c r="AG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J196" s="64"/>
      <c r="K196" s="64"/>
      <c r="L196" s="64"/>
      <c r="M196" s="64"/>
      <c r="N196" s="64"/>
      <c r="Q196" s="64"/>
      <c r="R196" s="64"/>
      <c r="S196" s="64"/>
      <c r="T196" s="64"/>
      <c r="U196" s="64"/>
      <c r="X196" s="64"/>
      <c r="Y196" s="64"/>
      <c r="Z196" s="64"/>
      <c r="AA196" s="64"/>
      <c r="AB196" s="64"/>
      <c r="AE196" s="64"/>
      <c r="AF196" s="64"/>
      <c r="AG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J197" s="64"/>
      <c r="K197" s="64"/>
      <c r="L197" s="64"/>
      <c r="M197" s="64"/>
      <c r="N197" s="64"/>
      <c r="Q197" s="64"/>
      <c r="R197" s="64"/>
      <c r="S197" s="64"/>
      <c r="T197" s="64"/>
      <c r="U197" s="64"/>
      <c r="X197" s="64"/>
      <c r="Y197" s="64"/>
      <c r="Z197" s="64"/>
      <c r="AA197" s="64"/>
      <c r="AB197" s="64"/>
      <c r="AE197" s="64"/>
      <c r="AF197" s="64"/>
      <c r="AG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J198" s="64"/>
      <c r="K198" s="64"/>
      <c r="L198" s="64"/>
      <c r="M198" s="64"/>
      <c r="N198" s="64"/>
      <c r="Q198" s="64"/>
      <c r="R198" s="64"/>
      <c r="S198" s="64"/>
      <c r="T198" s="64"/>
      <c r="U198" s="64"/>
      <c r="X198" s="64"/>
      <c r="Y198" s="64"/>
      <c r="Z198" s="64"/>
      <c r="AA198" s="64"/>
      <c r="AB198" s="64"/>
      <c r="AE198" s="64"/>
      <c r="AF198" s="64"/>
      <c r="AG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J199" s="64"/>
      <c r="K199" s="64"/>
      <c r="L199" s="64"/>
      <c r="M199" s="64"/>
      <c r="N199" s="64"/>
      <c r="Q199" s="64"/>
      <c r="R199" s="64"/>
      <c r="S199" s="64"/>
      <c r="T199" s="64"/>
      <c r="U199" s="64"/>
      <c r="X199" s="64"/>
      <c r="Y199" s="64"/>
      <c r="Z199" s="64"/>
      <c r="AA199" s="64"/>
      <c r="AB199" s="64"/>
      <c r="AE199" s="64"/>
      <c r="AF199" s="64"/>
      <c r="AG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J200" s="64"/>
      <c r="K200" s="64"/>
      <c r="L200" s="64"/>
      <c r="M200" s="64"/>
      <c r="N200" s="64"/>
      <c r="Q200" s="64"/>
      <c r="R200" s="64"/>
      <c r="S200" s="64"/>
      <c r="T200" s="64"/>
      <c r="U200" s="64"/>
      <c r="X200" s="64"/>
      <c r="Y200" s="64"/>
      <c r="Z200" s="64"/>
      <c r="AA200" s="64"/>
      <c r="AB200" s="64"/>
      <c r="AE200" s="64"/>
      <c r="AF200" s="64"/>
      <c r="AG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J201" s="64"/>
      <c r="K201" s="64"/>
      <c r="L201" s="64"/>
      <c r="M201" s="64"/>
      <c r="N201" s="64"/>
      <c r="Q201" s="64"/>
      <c r="R201" s="64"/>
      <c r="S201" s="64"/>
      <c r="T201" s="64"/>
      <c r="U201" s="64"/>
      <c r="X201" s="64"/>
      <c r="Y201" s="64"/>
      <c r="Z201" s="64"/>
      <c r="AA201" s="64"/>
      <c r="AB201" s="64"/>
      <c r="AE201" s="64"/>
      <c r="AF201" s="64"/>
      <c r="AG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J202" s="64"/>
      <c r="K202" s="64"/>
      <c r="L202" s="64"/>
      <c r="M202" s="64"/>
      <c r="N202" s="64"/>
      <c r="Q202" s="64"/>
      <c r="R202" s="64"/>
      <c r="S202" s="64"/>
      <c r="T202" s="64"/>
      <c r="U202" s="64"/>
      <c r="X202" s="64"/>
      <c r="Y202" s="64"/>
      <c r="Z202" s="64"/>
      <c r="AA202" s="64"/>
      <c r="AB202" s="64"/>
      <c r="AE202" s="64"/>
      <c r="AF202" s="64"/>
      <c r="AG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J203" s="64"/>
      <c r="K203" s="64"/>
      <c r="L203" s="64"/>
      <c r="M203" s="64"/>
      <c r="N203" s="64"/>
      <c r="Q203" s="64"/>
      <c r="R203" s="64"/>
      <c r="S203" s="64"/>
      <c r="T203" s="64"/>
      <c r="U203" s="64"/>
      <c r="X203" s="64"/>
      <c r="Y203" s="64"/>
      <c r="Z203" s="64"/>
      <c r="AA203" s="64"/>
      <c r="AB203" s="64"/>
      <c r="AE203" s="64"/>
      <c r="AF203" s="64"/>
      <c r="AG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J204" s="64"/>
      <c r="K204" s="64"/>
      <c r="L204" s="64"/>
      <c r="M204" s="64"/>
      <c r="N204" s="64"/>
      <c r="Q204" s="64"/>
      <c r="R204" s="64"/>
      <c r="S204" s="64"/>
      <c r="T204" s="64"/>
      <c r="U204" s="64"/>
      <c r="X204" s="64"/>
      <c r="Y204" s="64"/>
      <c r="Z204" s="64"/>
      <c r="AA204" s="64"/>
      <c r="AB204" s="64"/>
      <c r="AE204" s="64"/>
      <c r="AF204" s="64"/>
      <c r="AG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J205" s="64"/>
      <c r="K205" s="64"/>
      <c r="L205" s="64"/>
      <c r="M205" s="64"/>
      <c r="N205" s="64"/>
      <c r="Q205" s="64"/>
      <c r="R205" s="64"/>
      <c r="S205" s="64"/>
      <c r="T205" s="64"/>
      <c r="U205" s="64"/>
      <c r="X205" s="64"/>
      <c r="Y205" s="64"/>
      <c r="Z205" s="64"/>
      <c r="AA205" s="64"/>
      <c r="AB205" s="64"/>
      <c r="AE205" s="64"/>
      <c r="AF205" s="64"/>
      <c r="AG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J206" s="64"/>
      <c r="K206" s="64"/>
      <c r="L206" s="64"/>
      <c r="M206" s="64"/>
      <c r="N206" s="64"/>
      <c r="Q206" s="64"/>
      <c r="R206" s="64"/>
      <c r="S206" s="64"/>
      <c r="T206" s="64"/>
      <c r="U206" s="64"/>
      <c r="X206" s="64"/>
      <c r="Y206" s="64"/>
      <c r="Z206" s="64"/>
      <c r="AA206" s="64"/>
      <c r="AB206" s="64"/>
      <c r="AE206" s="64"/>
      <c r="AF206" s="64"/>
      <c r="AG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J207" s="64"/>
      <c r="K207" s="64"/>
      <c r="L207" s="64"/>
      <c r="M207" s="64"/>
      <c r="N207" s="64"/>
      <c r="Q207" s="64"/>
      <c r="R207" s="64"/>
      <c r="S207" s="64"/>
      <c r="T207" s="64"/>
      <c r="U207" s="64"/>
      <c r="X207" s="64"/>
      <c r="Y207" s="64"/>
      <c r="Z207" s="64"/>
      <c r="AA207" s="64"/>
      <c r="AB207" s="64"/>
      <c r="AE207" s="64"/>
      <c r="AF207" s="64"/>
      <c r="AG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J208" s="64"/>
      <c r="K208" s="64"/>
      <c r="L208" s="64"/>
      <c r="M208" s="64"/>
      <c r="N208" s="64"/>
      <c r="Q208" s="64"/>
      <c r="R208" s="64"/>
      <c r="S208" s="64"/>
      <c r="T208" s="64"/>
      <c r="U208" s="64"/>
      <c r="X208" s="64"/>
      <c r="Y208" s="64"/>
      <c r="Z208" s="64"/>
      <c r="AA208" s="64"/>
      <c r="AB208" s="64"/>
      <c r="AE208" s="64"/>
      <c r="AF208" s="64"/>
      <c r="AG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J209" s="64"/>
      <c r="K209" s="64"/>
      <c r="L209" s="64"/>
      <c r="M209" s="64"/>
      <c r="N209" s="64"/>
      <c r="Q209" s="64"/>
      <c r="R209" s="64"/>
      <c r="S209" s="64"/>
      <c r="T209" s="64"/>
      <c r="U209" s="64"/>
      <c r="X209" s="64"/>
      <c r="Y209" s="64"/>
      <c r="Z209" s="64"/>
      <c r="AA209" s="64"/>
      <c r="AB209" s="64"/>
      <c r="AE209" s="64"/>
      <c r="AF209" s="64"/>
      <c r="AG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J210" s="64"/>
      <c r="K210" s="64"/>
      <c r="L210" s="64"/>
      <c r="M210" s="64"/>
      <c r="N210" s="64"/>
      <c r="Q210" s="64"/>
      <c r="R210" s="64"/>
      <c r="S210" s="64"/>
      <c r="T210" s="64"/>
      <c r="U210" s="64"/>
      <c r="X210" s="64"/>
      <c r="Y210" s="64"/>
      <c r="Z210" s="64"/>
      <c r="AA210" s="64"/>
      <c r="AB210" s="64"/>
      <c r="AE210" s="64"/>
      <c r="AF210" s="64"/>
      <c r="AG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J211" s="64"/>
      <c r="K211" s="64"/>
      <c r="L211" s="64"/>
      <c r="M211" s="64"/>
      <c r="N211" s="64"/>
      <c r="Q211" s="64"/>
      <c r="R211" s="64"/>
      <c r="S211" s="64"/>
      <c r="T211" s="64"/>
      <c r="U211" s="64"/>
      <c r="X211" s="64"/>
      <c r="Y211" s="64"/>
      <c r="Z211" s="64"/>
      <c r="AA211" s="64"/>
      <c r="AB211" s="64"/>
      <c r="AE211" s="64"/>
      <c r="AF211" s="64"/>
      <c r="AG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J212" s="64"/>
      <c r="K212" s="64"/>
      <c r="L212" s="64"/>
      <c r="M212" s="64"/>
      <c r="N212" s="64"/>
      <c r="Q212" s="64"/>
      <c r="R212" s="64"/>
      <c r="S212" s="64"/>
      <c r="T212" s="64"/>
      <c r="U212" s="64"/>
      <c r="X212" s="64"/>
      <c r="Y212" s="64"/>
      <c r="Z212" s="64"/>
      <c r="AA212" s="64"/>
      <c r="AB212" s="64"/>
      <c r="AE212" s="64"/>
      <c r="AF212" s="64"/>
      <c r="AG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J213" s="64"/>
      <c r="K213" s="64"/>
      <c r="L213" s="64"/>
      <c r="M213" s="64"/>
      <c r="N213" s="64"/>
      <c r="Q213" s="64"/>
      <c r="R213" s="64"/>
      <c r="S213" s="64"/>
      <c r="T213" s="64"/>
      <c r="U213" s="64"/>
      <c r="X213" s="64"/>
      <c r="Y213" s="64"/>
      <c r="Z213" s="64"/>
      <c r="AA213" s="64"/>
      <c r="AB213" s="64"/>
      <c r="AE213" s="64"/>
      <c r="AF213" s="64"/>
      <c r="AG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J214" s="64"/>
      <c r="K214" s="64"/>
      <c r="L214" s="64"/>
      <c r="M214" s="64"/>
      <c r="N214" s="64"/>
      <c r="Q214" s="64"/>
      <c r="R214" s="64"/>
      <c r="S214" s="64"/>
      <c r="T214" s="64"/>
      <c r="U214" s="64"/>
      <c r="X214" s="64"/>
      <c r="Y214" s="64"/>
      <c r="Z214" s="64"/>
      <c r="AA214" s="64"/>
      <c r="AB214" s="64"/>
      <c r="AE214" s="64"/>
      <c r="AF214" s="64"/>
      <c r="AG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J215" s="64"/>
      <c r="K215" s="64"/>
      <c r="L215" s="64"/>
      <c r="M215" s="64"/>
      <c r="N215" s="64"/>
      <c r="Q215" s="64"/>
      <c r="R215" s="64"/>
      <c r="S215" s="64"/>
      <c r="T215" s="64"/>
      <c r="U215" s="64"/>
      <c r="X215" s="64"/>
      <c r="Y215" s="64"/>
      <c r="Z215" s="64"/>
      <c r="AA215" s="64"/>
      <c r="AB215" s="64"/>
      <c r="AE215" s="64"/>
      <c r="AF215" s="64"/>
      <c r="AG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J216" s="64"/>
      <c r="K216" s="64"/>
      <c r="L216" s="64"/>
      <c r="M216" s="64"/>
      <c r="N216" s="64"/>
      <c r="Q216" s="64"/>
      <c r="R216" s="64"/>
      <c r="S216" s="64"/>
      <c r="T216" s="64"/>
      <c r="U216" s="64"/>
      <c r="X216" s="64"/>
      <c r="Y216" s="64"/>
      <c r="Z216" s="64"/>
      <c r="AA216" s="64"/>
      <c r="AB216" s="64"/>
      <c r="AE216" s="64"/>
      <c r="AF216" s="64"/>
      <c r="AG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J217" s="64"/>
      <c r="K217" s="64"/>
      <c r="L217" s="64"/>
      <c r="M217" s="64"/>
      <c r="N217" s="64"/>
      <c r="Q217" s="64"/>
      <c r="R217" s="64"/>
      <c r="S217" s="64"/>
      <c r="T217" s="64"/>
      <c r="U217" s="64"/>
      <c r="X217" s="64"/>
      <c r="Y217" s="64"/>
      <c r="Z217" s="64"/>
      <c r="AA217" s="64"/>
      <c r="AB217" s="64"/>
      <c r="AE217" s="64"/>
      <c r="AF217" s="64"/>
      <c r="AG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J218" s="64"/>
      <c r="K218" s="64"/>
      <c r="L218" s="64"/>
      <c r="M218" s="64"/>
      <c r="N218" s="64"/>
      <c r="Q218" s="64"/>
      <c r="R218" s="64"/>
      <c r="S218" s="64"/>
      <c r="T218" s="64"/>
      <c r="U218" s="64"/>
      <c r="X218" s="64"/>
      <c r="Y218" s="64"/>
      <c r="Z218" s="64"/>
      <c r="AA218" s="64"/>
      <c r="AB218" s="64"/>
      <c r="AE218" s="64"/>
      <c r="AF218" s="64"/>
      <c r="AG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J219" s="64"/>
      <c r="K219" s="64"/>
      <c r="L219" s="64"/>
      <c r="M219" s="64"/>
      <c r="N219" s="64"/>
      <c r="Q219" s="64"/>
      <c r="R219" s="64"/>
      <c r="S219" s="64"/>
      <c r="T219" s="64"/>
      <c r="U219" s="64"/>
      <c r="X219" s="64"/>
      <c r="Y219" s="64"/>
      <c r="Z219" s="64"/>
      <c r="AA219" s="64"/>
      <c r="AB219" s="64"/>
      <c r="AE219" s="64"/>
      <c r="AF219" s="64"/>
      <c r="AG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J220" s="64"/>
      <c r="K220" s="64"/>
      <c r="L220" s="64"/>
      <c r="M220" s="64"/>
      <c r="N220" s="64"/>
      <c r="Q220" s="64"/>
      <c r="R220" s="64"/>
      <c r="S220" s="64"/>
      <c r="T220" s="64"/>
      <c r="U220" s="64"/>
      <c r="X220" s="64"/>
      <c r="Y220" s="64"/>
      <c r="Z220" s="64"/>
      <c r="AA220" s="64"/>
      <c r="AB220" s="64"/>
      <c r="AE220" s="64"/>
      <c r="AF220" s="64"/>
      <c r="AG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J221" s="64"/>
      <c r="K221" s="64"/>
      <c r="L221" s="64"/>
      <c r="M221" s="64"/>
      <c r="N221" s="64"/>
      <c r="Q221" s="64"/>
      <c r="R221" s="64"/>
      <c r="S221" s="64"/>
      <c r="T221" s="64"/>
      <c r="U221" s="64"/>
      <c r="X221" s="64"/>
      <c r="Y221" s="64"/>
      <c r="Z221" s="64"/>
      <c r="AA221" s="64"/>
      <c r="AB221" s="64"/>
      <c r="AE221" s="64"/>
      <c r="AF221" s="64"/>
      <c r="AG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J222" s="64"/>
      <c r="K222" s="64"/>
      <c r="L222" s="64"/>
      <c r="M222" s="64"/>
      <c r="N222" s="64"/>
      <c r="Q222" s="64"/>
      <c r="R222" s="64"/>
      <c r="S222" s="64"/>
      <c r="T222" s="64"/>
      <c r="U222" s="64"/>
      <c r="X222" s="64"/>
      <c r="Y222" s="64"/>
      <c r="Z222" s="64"/>
      <c r="AA222" s="64"/>
      <c r="AB222" s="64"/>
      <c r="AE222" s="64"/>
      <c r="AF222" s="64"/>
      <c r="AG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J223" s="64"/>
      <c r="K223" s="64"/>
      <c r="L223" s="64"/>
      <c r="M223" s="64"/>
      <c r="N223" s="64"/>
      <c r="Q223" s="64"/>
      <c r="R223" s="64"/>
      <c r="S223" s="64"/>
      <c r="T223" s="64"/>
      <c r="U223" s="64"/>
      <c r="X223" s="64"/>
      <c r="Y223" s="64"/>
      <c r="Z223" s="64"/>
      <c r="AA223" s="64"/>
      <c r="AB223" s="64"/>
      <c r="AE223" s="64"/>
      <c r="AF223" s="64"/>
      <c r="AG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J224" s="64"/>
      <c r="K224" s="64"/>
      <c r="L224" s="64"/>
      <c r="M224" s="64"/>
      <c r="N224" s="64"/>
      <c r="Q224" s="64"/>
      <c r="R224" s="64"/>
      <c r="S224" s="64"/>
      <c r="T224" s="64"/>
      <c r="U224" s="64"/>
      <c r="X224" s="64"/>
      <c r="Y224" s="64"/>
      <c r="Z224" s="64"/>
      <c r="AA224" s="64"/>
      <c r="AB224" s="64"/>
      <c r="AE224" s="64"/>
      <c r="AF224" s="64"/>
      <c r="AG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J225" s="64"/>
      <c r="K225" s="64"/>
      <c r="L225" s="64"/>
      <c r="M225" s="64"/>
      <c r="N225" s="64"/>
      <c r="Q225" s="64"/>
      <c r="R225" s="64"/>
      <c r="S225" s="64"/>
      <c r="T225" s="64"/>
      <c r="U225" s="64"/>
      <c r="X225" s="64"/>
      <c r="Y225" s="64"/>
      <c r="Z225" s="64"/>
      <c r="AA225" s="64"/>
      <c r="AB225" s="64"/>
      <c r="AE225" s="64"/>
      <c r="AF225" s="64"/>
      <c r="AG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J226" s="64"/>
      <c r="K226" s="64"/>
      <c r="L226" s="64"/>
      <c r="M226" s="64"/>
      <c r="N226" s="64"/>
      <c r="Q226" s="64"/>
      <c r="R226" s="64"/>
      <c r="S226" s="64"/>
      <c r="T226" s="64"/>
      <c r="U226" s="64"/>
      <c r="X226" s="64"/>
      <c r="Y226" s="64"/>
      <c r="Z226" s="64"/>
      <c r="AA226" s="64"/>
      <c r="AB226" s="64"/>
      <c r="AE226" s="64"/>
      <c r="AF226" s="64"/>
      <c r="AG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J227" s="64"/>
      <c r="K227" s="64"/>
      <c r="L227" s="64"/>
      <c r="M227" s="64"/>
      <c r="N227" s="64"/>
      <c r="Q227" s="64"/>
      <c r="R227" s="64"/>
      <c r="S227" s="64"/>
      <c r="T227" s="64"/>
      <c r="U227" s="64"/>
      <c r="X227" s="64"/>
      <c r="Y227" s="64"/>
      <c r="Z227" s="64"/>
      <c r="AA227" s="64"/>
      <c r="AB227" s="64"/>
      <c r="AE227" s="64"/>
      <c r="AF227" s="64"/>
      <c r="AG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J228" s="64"/>
      <c r="K228" s="64"/>
      <c r="L228" s="64"/>
      <c r="M228" s="64"/>
      <c r="N228" s="64"/>
      <c r="Q228" s="64"/>
      <c r="R228" s="64"/>
      <c r="S228" s="64"/>
      <c r="T228" s="64"/>
      <c r="U228" s="64"/>
      <c r="X228" s="64"/>
      <c r="Y228" s="64"/>
      <c r="Z228" s="64"/>
      <c r="AA228" s="64"/>
      <c r="AB228" s="64"/>
      <c r="AE228" s="64"/>
      <c r="AF228" s="64"/>
      <c r="AG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J229" s="64"/>
      <c r="K229" s="64"/>
      <c r="L229" s="64"/>
      <c r="M229" s="64"/>
      <c r="N229" s="64"/>
      <c r="Q229" s="64"/>
      <c r="R229" s="64"/>
      <c r="S229" s="64"/>
      <c r="T229" s="64"/>
      <c r="U229" s="64"/>
      <c r="X229" s="64"/>
      <c r="Y229" s="64"/>
      <c r="Z229" s="64"/>
      <c r="AA229" s="64"/>
      <c r="AB229" s="64"/>
      <c r="AE229" s="64"/>
      <c r="AF229" s="64"/>
      <c r="AG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J230" s="64"/>
      <c r="K230" s="64"/>
      <c r="L230" s="64"/>
      <c r="M230" s="64"/>
      <c r="N230" s="64"/>
      <c r="Q230" s="64"/>
      <c r="R230" s="64"/>
      <c r="S230" s="64"/>
      <c r="T230" s="64"/>
      <c r="U230" s="64"/>
      <c r="X230" s="64"/>
      <c r="Y230" s="64"/>
      <c r="Z230" s="64"/>
      <c r="AA230" s="64"/>
      <c r="AB230" s="64"/>
      <c r="AE230" s="64"/>
      <c r="AF230" s="64"/>
      <c r="AG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J231" s="64"/>
      <c r="K231" s="64"/>
      <c r="L231" s="64"/>
      <c r="M231" s="64"/>
      <c r="N231" s="64"/>
      <c r="Q231" s="64"/>
      <c r="R231" s="64"/>
      <c r="S231" s="64"/>
      <c r="T231" s="64"/>
      <c r="U231" s="64"/>
      <c r="X231" s="64"/>
      <c r="Y231" s="64"/>
      <c r="Z231" s="64"/>
      <c r="AA231" s="64"/>
      <c r="AB231" s="64"/>
      <c r="AE231" s="64"/>
      <c r="AF231" s="64"/>
      <c r="AG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J232" s="64"/>
      <c r="K232" s="64"/>
      <c r="L232" s="64"/>
      <c r="M232" s="64"/>
      <c r="N232" s="64"/>
      <c r="Q232" s="64"/>
      <c r="R232" s="64"/>
      <c r="S232" s="64"/>
      <c r="T232" s="64"/>
      <c r="U232" s="64"/>
      <c r="X232" s="64"/>
      <c r="Y232" s="64"/>
      <c r="Z232" s="64"/>
      <c r="AA232" s="64"/>
      <c r="AB232" s="64"/>
      <c r="AE232" s="64"/>
      <c r="AF232" s="64"/>
      <c r="AG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J233" s="64"/>
      <c r="K233" s="64"/>
      <c r="L233" s="64"/>
      <c r="M233" s="64"/>
      <c r="N233" s="64"/>
      <c r="Q233" s="64"/>
      <c r="R233" s="64"/>
      <c r="S233" s="64"/>
      <c r="T233" s="64"/>
      <c r="U233" s="64"/>
      <c r="X233" s="64"/>
      <c r="Y233" s="64"/>
      <c r="Z233" s="64"/>
      <c r="AA233" s="64"/>
      <c r="AB233" s="64"/>
      <c r="AE233" s="64"/>
      <c r="AF233" s="64"/>
      <c r="AG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J234" s="64"/>
      <c r="K234" s="64"/>
      <c r="L234" s="64"/>
      <c r="M234" s="64"/>
      <c r="N234" s="64"/>
      <c r="Q234" s="64"/>
      <c r="R234" s="64"/>
      <c r="S234" s="64"/>
      <c r="T234" s="64"/>
      <c r="U234" s="64"/>
      <c r="X234" s="64"/>
      <c r="Y234" s="64"/>
      <c r="Z234" s="64"/>
      <c r="AA234" s="64"/>
      <c r="AB234" s="64"/>
      <c r="AE234" s="64"/>
      <c r="AF234" s="64"/>
      <c r="AG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J235" s="64"/>
      <c r="K235" s="64"/>
      <c r="L235" s="64"/>
      <c r="M235" s="64"/>
      <c r="N235" s="64"/>
      <c r="Q235" s="64"/>
      <c r="R235" s="64"/>
      <c r="S235" s="64"/>
      <c r="T235" s="64"/>
      <c r="U235" s="64"/>
      <c r="X235" s="64"/>
      <c r="Y235" s="64"/>
      <c r="Z235" s="64"/>
      <c r="AA235" s="64"/>
      <c r="AB235" s="64"/>
      <c r="AE235" s="64"/>
      <c r="AF235" s="64"/>
      <c r="AG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J236" s="64"/>
      <c r="K236" s="64"/>
      <c r="L236" s="64"/>
      <c r="M236" s="64"/>
      <c r="N236" s="64"/>
      <c r="Q236" s="64"/>
      <c r="R236" s="64"/>
      <c r="S236" s="64"/>
      <c r="T236" s="64"/>
      <c r="U236" s="64"/>
      <c r="X236" s="64"/>
      <c r="Y236" s="64"/>
      <c r="Z236" s="64"/>
      <c r="AA236" s="64"/>
      <c r="AB236" s="64"/>
      <c r="AE236" s="64"/>
      <c r="AF236" s="64"/>
      <c r="AG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J237" s="64"/>
      <c r="K237" s="64"/>
      <c r="L237" s="64"/>
      <c r="M237" s="64"/>
      <c r="N237" s="64"/>
      <c r="Q237" s="64"/>
      <c r="R237" s="64"/>
      <c r="S237" s="64"/>
      <c r="T237" s="64"/>
      <c r="U237" s="64"/>
      <c r="X237" s="64"/>
      <c r="Y237" s="64"/>
      <c r="Z237" s="64"/>
      <c r="AA237" s="64"/>
      <c r="AB237" s="64"/>
      <c r="AE237" s="64"/>
      <c r="AF237" s="64"/>
      <c r="AG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J238" s="64"/>
      <c r="K238" s="64"/>
      <c r="L238" s="64"/>
      <c r="M238" s="64"/>
      <c r="N238" s="64"/>
      <c r="Q238" s="64"/>
      <c r="R238" s="64"/>
      <c r="S238" s="64"/>
      <c r="T238" s="64"/>
      <c r="U238" s="64"/>
      <c r="X238" s="64"/>
      <c r="Y238" s="64"/>
      <c r="Z238" s="64"/>
      <c r="AA238" s="64"/>
      <c r="AB238" s="64"/>
      <c r="AE238" s="64"/>
      <c r="AF238" s="64"/>
      <c r="AG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J239" s="64"/>
      <c r="K239" s="64"/>
      <c r="L239" s="64"/>
      <c r="M239" s="64"/>
      <c r="N239" s="64"/>
      <c r="Q239" s="64"/>
      <c r="R239" s="64"/>
      <c r="S239" s="64"/>
      <c r="T239" s="64"/>
      <c r="U239" s="64"/>
      <c r="X239" s="64"/>
      <c r="Y239" s="64"/>
      <c r="Z239" s="64"/>
      <c r="AA239" s="64"/>
      <c r="AB239" s="64"/>
      <c r="AE239" s="64"/>
      <c r="AF239" s="64"/>
      <c r="AG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J240" s="64"/>
      <c r="K240" s="64"/>
      <c r="L240" s="64"/>
      <c r="M240" s="64"/>
      <c r="N240" s="64"/>
      <c r="Q240" s="64"/>
      <c r="R240" s="64"/>
      <c r="S240" s="64"/>
      <c r="T240" s="64"/>
      <c r="U240" s="64"/>
      <c r="X240" s="64"/>
      <c r="Y240" s="64"/>
      <c r="Z240" s="64"/>
      <c r="AA240" s="64"/>
      <c r="AB240" s="64"/>
      <c r="AE240" s="64"/>
      <c r="AF240" s="64"/>
      <c r="AG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J241" s="64"/>
      <c r="K241" s="64"/>
      <c r="L241" s="64"/>
      <c r="M241" s="64"/>
      <c r="N241" s="64"/>
      <c r="Q241" s="64"/>
      <c r="R241" s="64"/>
      <c r="S241" s="64"/>
      <c r="T241" s="64"/>
      <c r="U241" s="64"/>
      <c r="X241" s="64"/>
      <c r="Y241" s="64"/>
      <c r="Z241" s="64"/>
      <c r="AA241" s="64"/>
      <c r="AB241" s="64"/>
      <c r="AE241" s="64"/>
      <c r="AF241" s="64"/>
      <c r="AG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J242" s="64"/>
      <c r="K242" s="64"/>
      <c r="L242" s="64"/>
      <c r="M242" s="64"/>
      <c r="N242" s="64"/>
      <c r="Q242" s="64"/>
      <c r="R242" s="64"/>
      <c r="S242" s="64"/>
      <c r="T242" s="64"/>
      <c r="U242" s="64"/>
      <c r="X242" s="64"/>
      <c r="Y242" s="64"/>
      <c r="Z242" s="64"/>
      <c r="AA242" s="64"/>
      <c r="AB242" s="64"/>
      <c r="AE242" s="64"/>
      <c r="AF242" s="64"/>
      <c r="AG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J243" s="64"/>
      <c r="K243" s="64"/>
      <c r="L243" s="64"/>
      <c r="M243" s="64"/>
      <c r="N243" s="64"/>
      <c r="Q243" s="64"/>
      <c r="R243" s="64"/>
      <c r="S243" s="64"/>
      <c r="T243" s="64"/>
      <c r="U243" s="64"/>
      <c r="X243" s="64"/>
      <c r="Y243" s="64"/>
      <c r="Z243" s="64"/>
      <c r="AA243" s="64"/>
      <c r="AB243" s="64"/>
      <c r="AE243" s="64"/>
      <c r="AF243" s="64"/>
      <c r="AG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J244" s="64"/>
      <c r="K244" s="64"/>
      <c r="L244" s="64"/>
      <c r="M244" s="64"/>
      <c r="N244" s="64"/>
      <c r="Q244" s="64"/>
      <c r="R244" s="64"/>
      <c r="S244" s="64"/>
      <c r="T244" s="64"/>
      <c r="U244" s="64"/>
      <c r="X244" s="64"/>
      <c r="Y244" s="64"/>
      <c r="Z244" s="64"/>
      <c r="AA244" s="64"/>
      <c r="AB244" s="64"/>
      <c r="AE244" s="64"/>
      <c r="AF244" s="64"/>
      <c r="AG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J245" s="64"/>
      <c r="K245" s="64"/>
      <c r="L245" s="64"/>
      <c r="M245" s="64"/>
      <c r="N245" s="64"/>
      <c r="Q245" s="64"/>
      <c r="R245" s="64"/>
      <c r="S245" s="64"/>
      <c r="T245" s="64"/>
      <c r="U245" s="64"/>
      <c r="X245" s="64"/>
      <c r="Y245" s="64"/>
      <c r="Z245" s="64"/>
      <c r="AA245" s="64"/>
      <c r="AB245" s="64"/>
      <c r="AE245" s="64"/>
      <c r="AF245" s="64"/>
      <c r="AG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J246" s="64"/>
      <c r="K246" s="64"/>
      <c r="L246" s="64"/>
      <c r="M246" s="64"/>
      <c r="N246" s="64"/>
      <c r="Q246" s="64"/>
      <c r="R246" s="64"/>
      <c r="S246" s="64"/>
      <c r="T246" s="64"/>
      <c r="U246" s="64"/>
      <c r="X246" s="64"/>
      <c r="Y246" s="64"/>
      <c r="Z246" s="64"/>
      <c r="AA246" s="64"/>
      <c r="AB246" s="64"/>
      <c r="AE246" s="64"/>
      <c r="AF246" s="64"/>
      <c r="AG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J247" s="64"/>
      <c r="K247" s="64"/>
      <c r="L247" s="64"/>
      <c r="M247" s="64"/>
      <c r="N247" s="64"/>
      <c r="Q247" s="64"/>
      <c r="R247" s="64"/>
      <c r="S247" s="64"/>
      <c r="T247" s="64"/>
      <c r="U247" s="64"/>
      <c r="X247" s="64"/>
      <c r="Y247" s="64"/>
      <c r="Z247" s="64"/>
      <c r="AA247" s="64"/>
      <c r="AB247" s="64"/>
      <c r="AE247" s="64"/>
      <c r="AF247" s="64"/>
      <c r="AG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J248" s="64"/>
      <c r="K248" s="64"/>
      <c r="L248" s="64"/>
      <c r="M248" s="64"/>
      <c r="N248" s="64"/>
      <c r="Q248" s="64"/>
      <c r="R248" s="64"/>
      <c r="S248" s="64"/>
      <c r="T248" s="64"/>
      <c r="U248" s="64"/>
      <c r="X248" s="64"/>
      <c r="Y248" s="64"/>
      <c r="Z248" s="64"/>
      <c r="AA248" s="64"/>
      <c r="AB248" s="64"/>
      <c r="AE248" s="64"/>
      <c r="AF248" s="64"/>
      <c r="AG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J249" s="64"/>
      <c r="K249" s="64"/>
      <c r="L249" s="64"/>
      <c r="M249" s="64"/>
      <c r="N249" s="64"/>
      <c r="Q249" s="64"/>
      <c r="R249" s="64"/>
      <c r="S249" s="64"/>
      <c r="T249" s="64"/>
      <c r="U249" s="64"/>
      <c r="X249" s="64"/>
      <c r="Y249" s="64"/>
      <c r="Z249" s="64"/>
      <c r="AA249" s="64"/>
      <c r="AB249" s="64"/>
      <c r="AE249" s="64"/>
      <c r="AF249" s="64"/>
      <c r="AG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J250" s="64"/>
      <c r="K250" s="64"/>
      <c r="L250" s="64"/>
      <c r="M250" s="64"/>
      <c r="N250" s="64"/>
      <c r="Q250" s="64"/>
      <c r="R250" s="64"/>
      <c r="S250" s="64"/>
      <c r="T250" s="64"/>
      <c r="U250" s="64"/>
      <c r="X250" s="64"/>
      <c r="Y250" s="64"/>
      <c r="Z250" s="64"/>
      <c r="AA250" s="64"/>
      <c r="AB250" s="64"/>
      <c r="AE250" s="64"/>
      <c r="AF250" s="64"/>
      <c r="AG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J251" s="64"/>
      <c r="K251" s="64"/>
      <c r="L251" s="64"/>
      <c r="M251" s="64"/>
      <c r="N251" s="64"/>
      <c r="Q251" s="64"/>
      <c r="R251" s="64"/>
      <c r="S251" s="64"/>
      <c r="T251" s="64"/>
      <c r="U251" s="64"/>
      <c r="X251" s="64"/>
      <c r="Y251" s="64"/>
      <c r="Z251" s="64"/>
      <c r="AA251" s="64"/>
      <c r="AB251" s="64"/>
      <c r="AE251" s="64"/>
      <c r="AF251" s="64"/>
      <c r="AG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J252" s="64"/>
      <c r="K252" s="64"/>
      <c r="L252" s="64"/>
      <c r="M252" s="64"/>
      <c r="N252" s="64"/>
      <c r="Q252" s="64"/>
      <c r="R252" s="64"/>
      <c r="S252" s="64"/>
      <c r="T252" s="64"/>
      <c r="U252" s="64"/>
      <c r="X252" s="64"/>
      <c r="Y252" s="64"/>
      <c r="Z252" s="64"/>
      <c r="AA252" s="64"/>
      <c r="AB252" s="64"/>
      <c r="AE252" s="64"/>
      <c r="AF252" s="64"/>
      <c r="AG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J253" s="64"/>
      <c r="K253" s="64"/>
      <c r="L253" s="64"/>
      <c r="M253" s="64"/>
      <c r="N253" s="64"/>
      <c r="Q253" s="64"/>
      <c r="R253" s="64"/>
      <c r="S253" s="64"/>
      <c r="T253" s="64"/>
      <c r="U253" s="64"/>
      <c r="X253" s="64"/>
      <c r="Y253" s="64"/>
      <c r="Z253" s="64"/>
      <c r="AA253" s="64"/>
      <c r="AB253" s="64"/>
      <c r="AE253" s="64"/>
      <c r="AF253" s="64"/>
      <c r="AG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J254" s="64"/>
      <c r="K254" s="64"/>
      <c r="L254" s="64"/>
      <c r="M254" s="64"/>
      <c r="N254" s="64"/>
      <c r="Q254" s="64"/>
      <c r="R254" s="64"/>
      <c r="S254" s="64"/>
      <c r="T254" s="64"/>
      <c r="U254" s="64"/>
      <c r="X254" s="64"/>
      <c r="Y254" s="64"/>
      <c r="Z254" s="64"/>
      <c r="AA254" s="64"/>
      <c r="AB254" s="64"/>
      <c r="AE254" s="64"/>
      <c r="AF254" s="64"/>
      <c r="AG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J255" s="64"/>
      <c r="K255" s="64"/>
      <c r="L255" s="64"/>
      <c r="M255" s="64"/>
      <c r="N255" s="64"/>
      <c r="Q255" s="64"/>
      <c r="R255" s="64"/>
      <c r="S255" s="64"/>
      <c r="T255" s="64"/>
      <c r="U255" s="64"/>
      <c r="X255" s="64"/>
      <c r="Y255" s="64"/>
      <c r="Z255" s="64"/>
      <c r="AA255" s="64"/>
      <c r="AB255" s="64"/>
      <c r="AE255" s="64"/>
      <c r="AF255" s="64"/>
      <c r="AG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J256" s="64"/>
      <c r="K256" s="64"/>
      <c r="L256" s="64"/>
      <c r="M256" s="64"/>
      <c r="N256" s="64"/>
      <c r="Q256" s="64"/>
      <c r="R256" s="64"/>
      <c r="S256" s="64"/>
      <c r="T256" s="64"/>
      <c r="U256" s="64"/>
      <c r="X256" s="64"/>
      <c r="Y256" s="64"/>
      <c r="Z256" s="64"/>
      <c r="AA256" s="64"/>
      <c r="AB256" s="64"/>
      <c r="AE256" s="64"/>
      <c r="AF256" s="64"/>
      <c r="AG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J257" s="64"/>
      <c r="K257" s="64"/>
      <c r="L257" s="64"/>
      <c r="M257" s="64"/>
      <c r="N257" s="64"/>
      <c r="Q257" s="64"/>
      <c r="R257" s="64"/>
      <c r="S257" s="64"/>
      <c r="T257" s="64"/>
      <c r="U257" s="64"/>
      <c r="X257" s="64"/>
      <c r="Y257" s="64"/>
      <c r="Z257" s="64"/>
      <c r="AA257" s="64"/>
      <c r="AB257" s="64"/>
      <c r="AE257" s="64"/>
      <c r="AF257" s="64"/>
      <c r="AG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J258" s="64"/>
      <c r="K258" s="64"/>
      <c r="L258" s="64"/>
      <c r="M258" s="64"/>
      <c r="N258" s="64"/>
      <c r="Q258" s="64"/>
      <c r="R258" s="64"/>
      <c r="S258" s="64"/>
      <c r="T258" s="64"/>
      <c r="U258" s="64"/>
      <c r="X258" s="64"/>
      <c r="Y258" s="64"/>
      <c r="Z258" s="64"/>
      <c r="AA258" s="64"/>
      <c r="AB258" s="64"/>
      <c r="AE258" s="64"/>
      <c r="AF258" s="64"/>
      <c r="AG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J259" s="64"/>
      <c r="K259" s="64"/>
      <c r="L259" s="64"/>
      <c r="M259" s="64"/>
      <c r="N259" s="64"/>
      <c r="Q259" s="64"/>
      <c r="R259" s="64"/>
      <c r="S259" s="64"/>
      <c r="T259" s="64"/>
      <c r="U259" s="64"/>
      <c r="X259" s="64"/>
      <c r="Y259" s="64"/>
      <c r="Z259" s="64"/>
      <c r="AA259" s="64"/>
      <c r="AB259" s="64"/>
      <c r="AE259" s="64"/>
      <c r="AF259" s="64"/>
      <c r="AG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J260" s="64"/>
      <c r="K260" s="64"/>
      <c r="L260" s="64"/>
      <c r="M260" s="64"/>
      <c r="N260" s="64"/>
      <c r="Q260" s="64"/>
      <c r="R260" s="64"/>
      <c r="S260" s="64"/>
      <c r="T260" s="64"/>
      <c r="U260" s="64"/>
      <c r="X260" s="64"/>
      <c r="Y260" s="64"/>
      <c r="Z260" s="64"/>
      <c r="AA260" s="64"/>
      <c r="AB260" s="64"/>
      <c r="AE260" s="64"/>
      <c r="AF260" s="64"/>
      <c r="AG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J261" s="64"/>
      <c r="K261" s="64"/>
      <c r="L261" s="64"/>
      <c r="M261" s="64"/>
      <c r="N261" s="64"/>
      <c r="Q261" s="64"/>
      <c r="R261" s="64"/>
      <c r="S261" s="64"/>
      <c r="T261" s="64"/>
      <c r="U261" s="64"/>
      <c r="X261" s="64"/>
      <c r="Y261" s="64"/>
      <c r="Z261" s="64"/>
      <c r="AA261" s="64"/>
      <c r="AB261" s="64"/>
      <c r="AE261" s="64"/>
      <c r="AF261" s="64"/>
      <c r="AG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J262" s="64"/>
      <c r="K262" s="64"/>
      <c r="L262" s="64"/>
      <c r="M262" s="64"/>
      <c r="N262" s="64"/>
      <c r="Q262" s="64"/>
      <c r="R262" s="64"/>
      <c r="S262" s="64"/>
      <c r="T262" s="64"/>
      <c r="U262" s="64"/>
      <c r="X262" s="64"/>
      <c r="Y262" s="64"/>
      <c r="Z262" s="64"/>
      <c r="AA262" s="64"/>
      <c r="AB262" s="64"/>
      <c r="AE262" s="64"/>
      <c r="AF262" s="64"/>
      <c r="AG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J263" s="64"/>
      <c r="K263" s="64"/>
      <c r="L263" s="64"/>
      <c r="M263" s="64"/>
      <c r="N263" s="64"/>
      <c r="Q263" s="64"/>
      <c r="R263" s="64"/>
      <c r="S263" s="64"/>
      <c r="T263" s="64"/>
      <c r="U263" s="64"/>
      <c r="X263" s="64"/>
      <c r="Y263" s="64"/>
      <c r="Z263" s="64"/>
      <c r="AA263" s="64"/>
      <c r="AB263" s="64"/>
      <c r="AE263" s="64"/>
      <c r="AF263" s="64"/>
      <c r="AG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J264" s="64"/>
      <c r="K264" s="64"/>
      <c r="L264" s="64"/>
      <c r="M264" s="64"/>
      <c r="N264" s="64"/>
      <c r="Q264" s="64"/>
      <c r="R264" s="64"/>
      <c r="S264" s="64"/>
      <c r="T264" s="64"/>
      <c r="U264" s="64"/>
      <c r="X264" s="64"/>
      <c r="Y264" s="64"/>
      <c r="Z264" s="64"/>
      <c r="AA264" s="64"/>
      <c r="AB264" s="64"/>
      <c r="AE264" s="64"/>
      <c r="AF264" s="64"/>
      <c r="AG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J265" s="64"/>
      <c r="K265" s="64"/>
      <c r="L265" s="64"/>
      <c r="M265" s="64"/>
      <c r="N265" s="64"/>
      <c r="Q265" s="64"/>
      <c r="R265" s="64"/>
      <c r="S265" s="64"/>
      <c r="T265" s="64"/>
      <c r="U265" s="64"/>
      <c r="X265" s="64"/>
      <c r="Y265" s="64"/>
      <c r="Z265" s="64"/>
      <c r="AA265" s="64"/>
      <c r="AB265" s="64"/>
      <c r="AE265" s="64"/>
      <c r="AF265" s="64"/>
      <c r="AG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J266" s="64"/>
      <c r="K266" s="64"/>
      <c r="L266" s="64"/>
      <c r="M266" s="64"/>
      <c r="N266" s="64"/>
      <c r="Q266" s="64"/>
      <c r="R266" s="64"/>
      <c r="S266" s="64"/>
      <c r="T266" s="64"/>
      <c r="U266" s="64"/>
      <c r="X266" s="64"/>
      <c r="Y266" s="64"/>
      <c r="Z266" s="64"/>
      <c r="AA266" s="64"/>
      <c r="AB266" s="64"/>
      <c r="AE266" s="64"/>
      <c r="AF266" s="64"/>
      <c r="AG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J267" s="64"/>
      <c r="K267" s="64"/>
      <c r="L267" s="64"/>
      <c r="M267" s="64"/>
      <c r="N267" s="64"/>
      <c r="Q267" s="64"/>
      <c r="R267" s="64"/>
      <c r="S267" s="64"/>
      <c r="T267" s="64"/>
      <c r="U267" s="64"/>
      <c r="X267" s="64"/>
      <c r="Y267" s="64"/>
      <c r="Z267" s="64"/>
      <c r="AA267" s="64"/>
      <c r="AB267" s="64"/>
      <c r="AE267" s="64"/>
      <c r="AF267" s="64"/>
      <c r="AG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J268" s="64"/>
      <c r="K268" s="64"/>
      <c r="L268" s="64"/>
      <c r="M268" s="64"/>
      <c r="N268" s="64"/>
      <c r="Q268" s="64"/>
      <c r="R268" s="64"/>
      <c r="S268" s="64"/>
      <c r="T268" s="64"/>
      <c r="U268" s="64"/>
      <c r="X268" s="64"/>
      <c r="Y268" s="64"/>
      <c r="Z268" s="64"/>
      <c r="AA268" s="64"/>
      <c r="AB268" s="64"/>
      <c r="AE268" s="64"/>
      <c r="AF268" s="64"/>
      <c r="AG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J269" s="64"/>
      <c r="K269" s="64"/>
      <c r="L269" s="64"/>
      <c r="M269" s="64"/>
      <c r="N269" s="64"/>
      <c r="Q269" s="64"/>
      <c r="R269" s="64"/>
      <c r="S269" s="64"/>
      <c r="T269" s="64"/>
      <c r="U269" s="64"/>
      <c r="X269" s="64"/>
      <c r="Y269" s="64"/>
      <c r="Z269" s="64"/>
      <c r="AA269" s="64"/>
      <c r="AB269" s="64"/>
      <c r="AE269" s="64"/>
      <c r="AF269" s="64"/>
      <c r="AG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J270" s="64"/>
      <c r="K270" s="64"/>
      <c r="L270" s="64"/>
      <c r="M270" s="64"/>
      <c r="N270" s="64"/>
      <c r="Q270" s="64"/>
      <c r="R270" s="64"/>
      <c r="S270" s="64"/>
      <c r="T270" s="64"/>
      <c r="U270" s="64"/>
      <c r="X270" s="64"/>
      <c r="Y270" s="64"/>
      <c r="Z270" s="64"/>
      <c r="AA270" s="64"/>
      <c r="AB270" s="64"/>
      <c r="AE270" s="64"/>
      <c r="AF270" s="64"/>
      <c r="AG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J271" s="64"/>
      <c r="K271" s="64"/>
      <c r="L271" s="64"/>
      <c r="M271" s="64"/>
      <c r="N271" s="64"/>
      <c r="Q271" s="64"/>
      <c r="R271" s="64"/>
      <c r="S271" s="64"/>
      <c r="T271" s="64"/>
      <c r="U271" s="64"/>
      <c r="X271" s="64"/>
      <c r="Y271" s="64"/>
      <c r="Z271" s="64"/>
      <c r="AA271" s="64"/>
      <c r="AB271" s="64"/>
      <c r="AE271" s="64"/>
      <c r="AF271" s="64"/>
      <c r="AG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J272" s="64"/>
      <c r="K272" s="64"/>
      <c r="L272" s="64"/>
      <c r="M272" s="64"/>
      <c r="N272" s="64"/>
      <c r="Q272" s="64"/>
      <c r="R272" s="64"/>
      <c r="S272" s="64"/>
      <c r="T272" s="64"/>
      <c r="U272" s="64"/>
      <c r="X272" s="64"/>
      <c r="Y272" s="64"/>
      <c r="Z272" s="64"/>
      <c r="AA272" s="64"/>
      <c r="AB272" s="64"/>
      <c r="AE272" s="64"/>
      <c r="AF272" s="64"/>
      <c r="AG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J273" s="64"/>
      <c r="K273" s="64"/>
      <c r="L273" s="64"/>
      <c r="M273" s="64"/>
      <c r="N273" s="64"/>
      <c r="Q273" s="64"/>
      <c r="R273" s="64"/>
      <c r="S273" s="64"/>
      <c r="T273" s="64"/>
      <c r="U273" s="64"/>
      <c r="X273" s="64"/>
      <c r="Y273" s="64"/>
      <c r="Z273" s="64"/>
      <c r="AA273" s="64"/>
      <c r="AB273" s="64"/>
      <c r="AE273" s="64"/>
      <c r="AF273" s="64"/>
      <c r="AG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J274" s="64"/>
      <c r="K274" s="64"/>
      <c r="L274" s="64"/>
      <c r="M274" s="64"/>
      <c r="N274" s="64"/>
      <c r="Q274" s="64"/>
      <c r="R274" s="64"/>
      <c r="S274" s="64"/>
      <c r="T274" s="64"/>
      <c r="U274" s="64"/>
      <c r="X274" s="64"/>
      <c r="Y274" s="64"/>
      <c r="Z274" s="64"/>
      <c r="AA274" s="64"/>
      <c r="AB274" s="64"/>
      <c r="AE274" s="64"/>
      <c r="AF274" s="64"/>
      <c r="AG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J275" s="64"/>
      <c r="K275" s="64"/>
      <c r="L275" s="64"/>
      <c r="M275" s="64"/>
      <c r="N275" s="64"/>
      <c r="Q275" s="64"/>
      <c r="R275" s="64"/>
      <c r="S275" s="64"/>
      <c r="T275" s="64"/>
      <c r="U275" s="64"/>
      <c r="X275" s="64"/>
      <c r="Y275" s="64"/>
      <c r="Z275" s="64"/>
      <c r="AA275" s="64"/>
      <c r="AB275" s="64"/>
      <c r="AE275" s="64"/>
      <c r="AF275" s="64"/>
      <c r="AG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J276" s="64"/>
      <c r="K276" s="64"/>
      <c r="L276" s="64"/>
      <c r="M276" s="64"/>
      <c r="N276" s="64"/>
      <c r="Q276" s="64"/>
      <c r="R276" s="64"/>
      <c r="S276" s="64"/>
      <c r="T276" s="64"/>
      <c r="U276" s="64"/>
      <c r="X276" s="64"/>
      <c r="Y276" s="64"/>
      <c r="Z276" s="64"/>
      <c r="AA276" s="64"/>
      <c r="AB276" s="64"/>
      <c r="AE276" s="64"/>
      <c r="AF276" s="64"/>
      <c r="AG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J277" s="64"/>
      <c r="K277" s="64"/>
      <c r="L277" s="64"/>
      <c r="M277" s="64"/>
      <c r="N277" s="64"/>
      <c r="Q277" s="64"/>
      <c r="R277" s="64"/>
      <c r="S277" s="64"/>
      <c r="T277" s="64"/>
      <c r="U277" s="64"/>
      <c r="X277" s="64"/>
      <c r="Y277" s="64"/>
      <c r="Z277" s="64"/>
      <c r="AA277" s="64"/>
      <c r="AB277" s="64"/>
      <c r="AE277" s="64"/>
      <c r="AF277" s="64"/>
      <c r="AG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J278" s="64"/>
      <c r="K278" s="64"/>
      <c r="L278" s="64"/>
      <c r="M278" s="64"/>
      <c r="N278" s="64"/>
      <c r="Q278" s="64"/>
      <c r="R278" s="64"/>
      <c r="S278" s="64"/>
      <c r="T278" s="64"/>
      <c r="U278" s="64"/>
      <c r="X278" s="64"/>
      <c r="Y278" s="64"/>
      <c r="Z278" s="64"/>
      <c r="AA278" s="64"/>
      <c r="AB278" s="64"/>
      <c r="AE278" s="64"/>
      <c r="AF278" s="64"/>
      <c r="AG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J279" s="64"/>
      <c r="K279" s="64"/>
      <c r="L279" s="64"/>
      <c r="M279" s="64"/>
      <c r="N279" s="64"/>
      <c r="Q279" s="64"/>
      <c r="R279" s="64"/>
      <c r="S279" s="64"/>
      <c r="T279" s="64"/>
      <c r="U279" s="64"/>
      <c r="X279" s="64"/>
      <c r="Y279" s="64"/>
      <c r="Z279" s="64"/>
      <c r="AA279" s="64"/>
      <c r="AB279" s="64"/>
      <c r="AE279" s="64"/>
      <c r="AF279" s="64"/>
      <c r="AG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J280" s="64"/>
      <c r="K280" s="64"/>
      <c r="L280" s="64"/>
      <c r="M280" s="64"/>
      <c r="N280" s="64"/>
      <c r="Q280" s="64"/>
      <c r="R280" s="64"/>
      <c r="S280" s="64"/>
      <c r="T280" s="64"/>
      <c r="U280" s="64"/>
      <c r="X280" s="64"/>
      <c r="Y280" s="64"/>
      <c r="Z280" s="64"/>
      <c r="AA280" s="64"/>
      <c r="AB280" s="64"/>
      <c r="AE280" s="64"/>
      <c r="AF280" s="64"/>
      <c r="AG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J281" s="64"/>
      <c r="K281" s="64"/>
      <c r="L281" s="64"/>
      <c r="M281" s="64"/>
      <c r="N281" s="64"/>
      <c r="Q281" s="64"/>
      <c r="R281" s="64"/>
      <c r="S281" s="64"/>
      <c r="T281" s="64"/>
      <c r="U281" s="64"/>
      <c r="X281" s="64"/>
      <c r="Y281" s="64"/>
      <c r="Z281" s="64"/>
      <c r="AA281" s="64"/>
      <c r="AB281" s="64"/>
      <c r="AE281" s="64"/>
      <c r="AF281" s="64"/>
      <c r="AG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J282" s="64"/>
      <c r="K282" s="64"/>
      <c r="L282" s="64"/>
      <c r="M282" s="64"/>
      <c r="N282" s="64"/>
      <c r="Q282" s="64"/>
      <c r="R282" s="64"/>
      <c r="S282" s="64"/>
      <c r="T282" s="64"/>
      <c r="U282" s="64"/>
      <c r="X282" s="64"/>
      <c r="Y282" s="64"/>
      <c r="Z282" s="64"/>
      <c r="AA282" s="64"/>
      <c r="AB282" s="64"/>
      <c r="AE282" s="64"/>
      <c r="AF282" s="64"/>
      <c r="AG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J283" s="64"/>
      <c r="K283" s="64"/>
      <c r="L283" s="64"/>
      <c r="M283" s="64"/>
      <c r="N283" s="64"/>
      <c r="Q283" s="64"/>
      <c r="R283" s="64"/>
      <c r="S283" s="64"/>
      <c r="T283" s="64"/>
      <c r="U283" s="64"/>
      <c r="X283" s="64"/>
      <c r="Y283" s="64"/>
      <c r="Z283" s="64"/>
      <c r="AA283" s="64"/>
      <c r="AB283" s="64"/>
      <c r="AE283" s="64"/>
      <c r="AF283" s="64"/>
      <c r="AG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J284" s="64"/>
      <c r="K284" s="64"/>
      <c r="L284" s="64"/>
      <c r="M284" s="64"/>
      <c r="N284" s="64"/>
      <c r="Q284" s="64"/>
      <c r="R284" s="64"/>
      <c r="S284" s="64"/>
      <c r="T284" s="64"/>
      <c r="U284" s="64"/>
      <c r="X284" s="64"/>
      <c r="Y284" s="64"/>
      <c r="Z284" s="64"/>
      <c r="AA284" s="64"/>
      <c r="AB284" s="64"/>
      <c r="AE284" s="64"/>
      <c r="AF284" s="64"/>
      <c r="AG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J285" s="64"/>
      <c r="K285" s="64"/>
      <c r="L285" s="64"/>
      <c r="M285" s="64"/>
      <c r="N285" s="64"/>
      <c r="Q285" s="64"/>
      <c r="R285" s="64"/>
      <c r="S285" s="64"/>
      <c r="T285" s="64"/>
      <c r="U285" s="64"/>
      <c r="X285" s="64"/>
      <c r="Y285" s="64"/>
      <c r="Z285" s="64"/>
      <c r="AA285" s="64"/>
      <c r="AB285" s="64"/>
      <c r="AE285" s="64"/>
      <c r="AF285" s="64"/>
      <c r="AG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J286" s="64"/>
      <c r="K286" s="64"/>
      <c r="L286" s="64"/>
      <c r="M286" s="64"/>
      <c r="N286" s="64"/>
      <c r="Q286" s="64"/>
      <c r="R286" s="64"/>
      <c r="S286" s="64"/>
      <c r="T286" s="64"/>
      <c r="U286" s="64"/>
      <c r="X286" s="64"/>
      <c r="Y286" s="64"/>
      <c r="Z286" s="64"/>
      <c r="AA286" s="64"/>
      <c r="AB286" s="64"/>
      <c r="AE286" s="64"/>
      <c r="AF286" s="64"/>
      <c r="AG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J287" s="64"/>
      <c r="K287" s="64"/>
      <c r="L287" s="64"/>
      <c r="M287" s="64"/>
      <c r="N287" s="64"/>
      <c r="Q287" s="64"/>
      <c r="R287" s="64"/>
      <c r="S287" s="64"/>
      <c r="T287" s="64"/>
      <c r="U287" s="64"/>
      <c r="X287" s="64"/>
      <c r="Y287" s="64"/>
      <c r="Z287" s="64"/>
      <c r="AA287" s="64"/>
      <c r="AB287" s="64"/>
      <c r="AE287" s="64"/>
      <c r="AF287" s="64"/>
      <c r="AG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J288" s="64"/>
      <c r="K288" s="64"/>
      <c r="L288" s="64"/>
      <c r="M288" s="64"/>
      <c r="N288" s="64"/>
      <c r="Q288" s="64"/>
      <c r="R288" s="64"/>
      <c r="S288" s="64"/>
      <c r="T288" s="64"/>
      <c r="U288" s="64"/>
      <c r="X288" s="64"/>
      <c r="Y288" s="64"/>
      <c r="Z288" s="64"/>
      <c r="AA288" s="64"/>
      <c r="AB288" s="64"/>
      <c r="AE288" s="64"/>
      <c r="AF288" s="64"/>
      <c r="AG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J289" s="64"/>
      <c r="K289" s="64"/>
      <c r="L289" s="64"/>
      <c r="M289" s="64"/>
      <c r="N289" s="64"/>
      <c r="Q289" s="64"/>
      <c r="R289" s="64"/>
      <c r="S289" s="64"/>
      <c r="T289" s="64"/>
      <c r="U289" s="64"/>
      <c r="X289" s="64"/>
      <c r="Y289" s="64"/>
      <c r="Z289" s="64"/>
      <c r="AA289" s="64"/>
      <c r="AB289" s="64"/>
      <c r="AE289" s="64"/>
      <c r="AF289" s="64"/>
      <c r="AG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J290" s="64"/>
      <c r="K290" s="64"/>
      <c r="L290" s="64"/>
      <c r="M290" s="64"/>
      <c r="N290" s="64"/>
      <c r="Q290" s="64"/>
      <c r="R290" s="64"/>
      <c r="S290" s="64"/>
      <c r="T290" s="64"/>
      <c r="U290" s="64"/>
      <c r="X290" s="64"/>
      <c r="Y290" s="64"/>
      <c r="Z290" s="64"/>
      <c r="AA290" s="64"/>
      <c r="AB290" s="64"/>
      <c r="AE290" s="64"/>
      <c r="AF290" s="64"/>
      <c r="AG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J291" s="64"/>
      <c r="K291" s="64"/>
      <c r="L291" s="64"/>
      <c r="M291" s="64"/>
      <c r="N291" s="64"/>
      <c r="Q291" s="64"/>
      <c r="R291" s="64"/>
      <c r="S291" s="64"/>
      <c r="T291" s="64"/>
      <c r="U291" s="64"/>
      <c r="X291" s="64"/>
      <c r="Y291" s="64"/>
      <c r="Z291" s="64"/>
      <c r="AA291" s="64"/>
      <c r="AB291" s="64"/>
      <c r="AE291" s="64"/>
      <c r="AF291" s="64"/>
      <c r="AG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J292" s="64"/>
      <c r="K292" s="64"/>
      <c r="L292" s="64"/>
      <c r="M292" s="64"/>
      <c r="N292" s="64"/>
      <c r="Q292" s="64"/>
      <c r="R292" s="64"/>
      <c r="S292" s="64"/>
      <c r="T292" s="64"/>
      <c r="U292" s="64"/>
      <c r="X292" s="64"/>
      <c r="Y292" s="64"/>
      <c r="Z292" s="64"/>
      <c r="AA292" s="64"/>
      <c r="AB292" s="64"/>
      <c r="AE292" s="64"/>
      <c r="AF292" s="64"/>
      <c r="AG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J293" s="64"/>
      <c r="K293" s="64"/>
      <c r="L293" s="64"/>
      <c r="M293" s="64"/>
      <c r="N293" s="64"/>
      <c r="Q293" s="64"/>
      <c r="R293" s="64"/>
      <c r="S293" s="64"/>
      <c r="T293" s="64"/>
      <c r="U293" s="64"/>
      <c r="X293" s="64"/>
      <c r="Y293" s="64"/>
      <c r="Z293" s="64"/>
      <c r="AA293" s="64"/>
      <c r="AB293" s="64"/>
      <c r="AE293" s="64"/>
      <c r="AF293" s="64"/>
      <c r="AG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J294" s="64"/>
      <c r="K294" s="64"/>
      <c r="L294" s="64"/>
      <c r="M294" s="64"/>
      <c r="N294" s="64"/>
      <c r="Q294" s="64"/>
      <c r="R294" s="64"/>
      <c r="S294" s="64"/>
      <c r="T294" s="64"/>
      <c r="U294" s="64"/>
      <c r="X294" s="64"/>
      <c r="Y294" s="64"/>
      <c r="Z294" s="64"/>
      <c r="AA294" s="64"/>
      <c r="AB294" s="64"/>
      <c r="AE294" s="64"/>
      <c r="AF294" s="64"/>
      <c r="AG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J295" s="64"/>
      <c r="K295" s="64"/>
      <c r="L295" s="64"/>
      <c r="M295" s="64"/>
      <c r="N295" s="64"/>
      <c r="Q295" s="64"/>
      <c r="R295" s="64"/>
      <c r="S295" s="64"/>
      <c r="T295" s="64"/>
      <c r="U295" s="64"/>
      <c r="X295" s="64"/>
      <c r="Y295" s="64"/>
      <c r="Z295" s="64"/>
      <c r="AA295" s="64"/>
      <c r="AB295" s="64"/>
      <c r="AE295" s="64"/>
      <c r="AF295" s="64"/>
      <c r="AG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J296" s="64"/>
      <c r="K296" s="64"/>
      <c r="L296" s="64"/>
      <c r="M296" s="64"/>
      <c r="N296" s="64"/>
      <c r="Q296" s="64"/>
      <c r="R296" s="64"/>
      <c r="S296" s="64"/>
      <c r="T296" s="64"/>
      <c r="U296" s="64"/>
      <c r="X296" s="64"/>
      <c r="Y296" s="64"/>
      <c r="Z296" s="64"/>
      <c r="AA296" s="64"/>
      <c r="AB296" s="64"/>
      <c r="AE296" s="64"/>
      <c r="AF296" s="64"/>
      <c r="AG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J297" s="64"/>
      <c r="K297" s="64"/>
      <c r="L297" s="64"/>
      <c r="M297" s="64"/>
      <c r="N297" s="64"/>
      <c r="Q297" s="64"/>
      <c r="R297" s="64"/>
      <c r="S297" s="64"/>
      <c r="T297" s="64"/>
      <c r="U297" s="64"/>
      <c r="X297" s="64"/>
      <c r="Y297" s="64"/>
      <c r="Z297" s="64"/>
      <c r="AA297" s="64"/>
      <c r="AB297" s="64"/>
      <c r="AE297" s="64"/>
      <c r="AF297" s="64"/>
      <c r="AG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J298" s="64"/>
      <c r="K298" s="64"/>
      <c r="L298" s="64"/>
      <c r="M298" s="64"/>
      <c r="N298" s="64"/>
      <c r="Q298" s="64"/>
      <c r="R298" s="64"/>
      <c r="S298" s="64"/>
      <c r="T298" s="64"/>
      <c r="U298" s="64"/>
      <c r="X298" s="64"/>
      <c r="Y298" s="64"/>
      <c r="Z298" s="64"/>
      <c r="AA298" s="64"/>
      <c r="AB298" s="64"/>
      <c r="AE298" s="64"/>
      <c r="AF298" s="64"/>
      <c r="AG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J299" s="64"/>
      <c r="K299" s="64"/>
      <c r="L299" s="64"/>
      <c r="M299" s="64"/>
      <c r="N299" s="64"/>
      <c r="Q299" s="64"/>
      <c r="R299" s="64"/>
      <c r="S299" s="64"/>
      <c r="T299" s="64"/>
      <c r="U299" s="64"/>
      <c r="X299" s="64"/>
      <c r="Y299" s="64"/>
      <c r="Z299" s="64"/>
      <c r="AA299" s="64"/>
      <c r="AB299" s="64"/>
      <c r="AE299" s="64"/>
      <c r="AF299" s="64"/>
      <c r="AG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J300" s="64"/>
      <c r="K300" s="64"/>
      <c r="L300" s="64"/>
      <c r="M300" s="64"/>
      <c r="N300" s="64"/>
      <c r="Q300" s="64"/>
      <c r="R300" s="64"/>
      <c r="S300" s="64"/>
      <c r="T300" s="64"/>
      <c r="U300" s="64"/>
      <c r="X300" s="64"/>
      <c r="Y300" s="64"/>
      <c r="Z300" s="64"/>
      <c r="AA300" s="64"/>
      <c r="AB300" s="64"/>
      <c r="AE300" s="64"/>
      <c r="AF300" s="64"/>
      <c r="AG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J301" s="64"/>
      <c r="K301" s="64"/>
      <c r="L301" s="64"/>
      <c r="M301" s="64"/>
      <c r="N301" s="64"/>
      <c r="Q301" s="64"/>
      <c r="R301" s="64"/>
      <c r="S301" s="64"/>
      <c r="T301" s="64"/>
      <c r="U301" s="64"/>
      <c r="X301" s="64"/>
      <c r="Y301" s="64"/>
      <c r="Z301" s="64"/>
      <c r="AA301" s="64"/>
      <c r="AB301" s="64"/>
      <c r="AE301" s="64"/>
      <c r="AF301" s="64"/>
      <c r="AG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J302" s="64"/>
      <c r="K302" s="64"/>
      <c r="L302" s="64"/>
      <c r="M302" s="64"/>
      <c r="N302" s="64"/>
      <c r="Q302" s="64"/>
      <c r="R302" s="64"/>
      <c r="S302" s="64"/>
      <c r="T302" s="64"/>
      <c r="U302" s="64"/>
      <c r="X302" s="64"/>
      <c r="Y302" s="64"/>
      <c r="Z302" s="64"/>
      <c r="AA302" s="64"/>
      <c r="AB302" s="64"/>
      <c r="AE302" s="64"/>
      <c r="AF302" s="64"/>
      <c r="AG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J303" s="64"/>
      <c r="K303" s="64"/>
      <c r="L303" s="64"/>
      <c r="M303" s="64"/>
      <c r="N303" s="64"/>
      <c r="Q303" s="64"/>
      <c r="R303" s="64"/>
      <c r="S303" s="64"/>
      <c r="T303" s="64"/>
      <c r="U303" s="64"/>
      <c r="X303" s="64"/>
      <c r="Y303" s="64"/>
      <c r="Z303" s="64"/>
      <c r="AA303" s="64"/>
      <c r="AB303" s="64"/>
      <c r="AE303" s="64"/>
      <c r="AF303" s="64"/>
      <c r="AG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J304" s="64"/>
      <c r="K304" s="64"/>
      <c r="L304" s="64"/>
      <c r="M304" s="64"/>
      <c r="N304" s="64"/>
      <c r="Q304" s="64"/>
      <c r="R304" s="64"/>
      <c r="S304" s="64"/>
      <c r="T304" s="64"/>
      <c r="U304" s="64"/>
      <c r="X304" s="64"/>
      <c r="Y304" s="64"/>
      <c r="Z304" s="64"/>
      <c r="AA304" s="64"/>
      <c r="AB304" s="64"/>
      <c r="AE304" s="64"/>
      <c r="AF304" s="64"/>
      <c r="AG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J305" s="64"/>
      <c r="K305" s="64"/>
      <c r="L305" s="64"/>
      <c r="M305" s="64"/>
      <c r="N305" s="64"/>
      <c r="Q305" s="64"/>
      <c r="R305" s="64"/>
      <c r="S305" s="64"/>
      <c r="T305" s="64"/>
      <c r="U305" s="64"/>
      <c r="X305" s="64"/>
      <c r="Y305" s="64"/>
      <c r="Z305" s="64"/>
      <c r="AA305" s="64"/>
      <c r="AB305" s="64"/>
      <c r="AE305" s="64"/>
      <c r="AF305" s="64"/>
      <c r="AG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J306" s="64"/>
      <c r="K306" s="64"/>
      <c r="L306" s="64"/>
      <c r="M306" s="64"/>
      <c r="N306" s="64"/>
      <c r="Q306" s="64"/>
      <c r="R306" s="64"/>
      <c r="S306" s="64"/>
      <c r="T306" s="64"/>
      <c r="U306" s="64"/>
      <c r="X306" s="64"/>
      <c r="Y306" s="64"/>
      <c r="Z306" s="64"/>
      <c r="AA306" s="64"/>
      <c r="AB306" s="64"/>
      <c r="AE306" s="64"/>
      <c r="AF306" s="64"/>
      <c r="AG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J307" s="64"/>
      <c r="K307" s="64"/>
      <c r="L307" s="64"/>
      <c r="M307" s="64"/>
      <c r="N307" s="64"/>
      <c r="Q307" s="64"/>
      <c r="R307" s="64"/>
      <c r="S307" s="64"/>
      <c r="T307" s="64"/>
      <c r="U307" s="64"/>
      <c r="X307" s="64"/>
      <c r="Y307" s="64"/>
      <c r="Z307" s="64"/>
      <c r="AA307" s="64"/>
      <c r="AB307" s="64"/>
      <c r="AE307" s="64"/>
      <c r="AF307" s="64"/>
      <c r="AG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J308" s="64"/>
      <c r="K308" s="64"/>
      <c r="L308" s="64"/>
      <c r="M308" s="64"/>
      <c r="N308" s="64"/>
      <c r="Q308" s="64"/>
      <c r="R308" s="64"/>
      <c r="S308" s="64"/>
      <c r="T308" s="64"/>
      <c r="U308" s="64"/>
      <c r="X308" s="64"/>
      <c r="Y308" s="64"/>
      <c r="Z308" s="64"/>
      <c r="AA308" s="64"/>
      <c r="AB308" s="64"/>
      <c r="AE308" s="64"/>
      <c r="AF308" s="64"/>
      <c r="AG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J309" s="64"/>
      <c r="K309" s="64"/>
      <c r="L309" s="64"/>
      <c r="M309" s="64"/>
      <c r="N309" s="64"/>
      <c r="Q309" s="64"/>
      <c r="R309" s="64"/>
      <c r="S309" s="64"/>
      <c r="T309" s="64"/>
      <c r="U309" s="64"/>
      <c r="X309" s="64"/>
      <c r="Y309" s="64"/>
      <c r="Z309" s="64"/>
      <c r="AA309" s="64"/>
      <c r="AB309" s="64"/>
      <c r="AE309" s="64"/>
      <c r="AF309" s="64"/>
      <c r="AG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J310" s="64"/>
      <c r="K310" s="64"/>
      <c r="L310" s="64"/>
      <c r="M310" s="64"/>
      <c r="N310" s="64"/>
      <c r="Q310" s="64"/>
      <c r="R310" s="64"/>
      <c r="S310" s="64"/>
      <c r="T310" s="64"/>
      <c r="U310" s="64"/>
      <c r="X310" s="64"/>
      <c r="Y310" s="64"/>
      <c r="Z310" s="64"/>
      <c r="AA310" s="64"/>
      <c r="AB310" s="64"/>
      <c r="AE310" s="64"/>
      <c r="AF310" s="64"/>
      <c r="AG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J311" s="64"/>
      <c r="K311" s="64"/>
      <c r="L311" s="64"/>
      <c r="M311" s="64"/>
      <c r="N311" s="64"/>
      <c r="Q311" s="64"/>
      <c r="R311" s="64"/>
      <c r="S311" s="64"/>
      <c r="T311" s="64"/>
      <c r="U311" s="64"/>
      <c r="X311" s="64"/>
      <c r="Y311" s="64"/>
      <c r="Z311" s="64"/>
      <c r="AA311" s="64"/>
      <c r="AB311" s="64"/>
      <c r="AE311" s="64"/>
      <c r="AF311" s="64"/>
      <c r="AG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J312" s="64"/>
      <c r="K312" s="64"/>
      <c r="L312" s="64"/>
      <c r="M312" s="64"/>
      <c r="N312" s="64"/>
      <c r="Q312" s="64"/>
      <c r="R312" s="64"/>
      <c r="S312" s="64"/>
      <c r="T312" s="64"/>
      <c r="U312" s="64"/>
      <c r="X312" s="64"/>
      <c r="Y312" s="64"/>
      <c r="Z312" s="64"/>
      <c r="AA312" s="64"/>
      <c r="AB312" s="64"/>
      <c r="AE312" s="64"/>
      <c r="AF312" s="64"/>
      <c r="AG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J313" s="64"/>
      <c r="K313" s="64"/>
      <c r="L313" s="64"/>
      <c r="M313" s="64"/>
      <c r="N313" s="64"/>
      <c r="Q313" s="64"/>
      <c r="R313" s="64"/>
      <c r="S313" s="64"/>
      <c r="T313" s="64"/>
      <c r="U313" s="64"/>
      <c r="X313" s="64"/>
      <c r="Y313" s="64"/>
      <c r="Z313" s="64"/>
      <c r="AA313" s="64"/>
      <c r="AB313" s="64"/>
      <c r="AE313" s="64"/>
      <c r="AF313" s="64"/>
      <c r="AG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J314" s="64"/>
      <c r="K314" s="64"/>
      <c r="L314" s="64"/>
      <c r="M314" s="64"/>
      <c r="N314" s="64"/>
      <c r="Q314" s="64"/>
      <c r="R314" s="64"/>
      <c r="S314" s="64"/>
      <c r="T314" s="64"/>
      <c r="U314" s="64"/>
      <c r="X314" s="64"/>
      <c r="Y314" s="64"/>
      <c r="Z314" s="64"/>
      <c r="AA314" s="64"/>
      <c r="AB314" s="64"/>
      <c r="AE314" s="64"/>
      <c r="AF314" s="64"/>
      <c r="AG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J315" s="64"/>
      <c r="K315" s="64"/>
      <c r="L315" s="64"/>
      <c r="M315" s="64"/>
      <c r="N315" s="64"/>
      <c r="Q315" s="64"/>
      <c r="R315" s="64"/>
      <c r="S315" s="64"/>
      <c r="T315" s="64"/>
      <c r="U315" s="64"/>
      <c r="X315" s="64"/>
      <c r="Y315" s="64"/>
      <c r="Z315" s="64"/>
      <c r="AA315" s="64"/>
      <c r="AB315" s="64"/>
      <c r="AE315" s="64"/>
      <c r="AF315" s="64"/>
      <c r="AG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J316" s="64"/>
      <c r="K316" s="64"/>
      <c r="L316" s="64"/>
      <c r="M316" s="64"/>
      <c r="N316" s="64"/>
      <c r="Q316" s="64"/>
      <c r="R316" s="64"/>
      <c r="S316" s="64"/>
      <c r="T316" s="64"/>
      <c r="U316" s="64"/>
      <c r="X316" s="64"/>
      <c r="Y316" s="64"/>
      <c r="Z316" s="64"/>
      <c r="AA316" s="64"/>
      <c r="AB316" s="64"/>
      <c r="AE316" s="64"/>
      <c r="AF316" s="64"/>
      <c r="AG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J317" s="64"/>
      <c r="K317" s="64"/>
      <c r="L317" s="64"/>
      <c r="M317" s="64"/>
      <c r="N317" s="64"/>
      <c r="Q317" s="64"/>
      <c r="R317" s="64"/>
      <c r="S317" s="64"/>
      <c r="T317" s="64"/>
      <c r="U317" s="64"/>
      <c r="X317" s="64"/>
      <c r="Y317" s="64"/>
      <c r="Z317" s="64"/>
      <c r="AA317" s="64"/>
      <c r="AB317" s="64"/>
      <c r="AE317" s="64"/>
      <c r="AF317" s="64"/>
      <c r="AG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J318" s="64"/>
      <c r="K318" s="64"/>
      <c r="L318" s="64"/>
      <c r="M318" s="64"/>
      <c r="N318" s="64"/>
      <c r="Q318" s="64"/>
      <c r="R318" s="64"/>
      <c r="S318" s="64"/>
      <c r="T318" s="64"/>
      <c r="U318" s="64"/>
      <c r="X318" s="64"/>
      <c r="Y318" s="64"/>
      <c r="Z318" s="64"/>
      <c r="AA318" s="64"/>
      <c r="AB318" s="64"/>
      <c r="AE318" s="64"/>
      <c r="AF318" s="64"/>
      <c r="AG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J319" s="64"/>
      <c r="K319" s="64"/>
      <c r="L319" s="64"/>
      <c r="M319" s="64"/>
      <c r="N319" s="64"/>
      <c r="Q319" s="64"/>
      <c r="R319" s="64"/>
      <c r="S319" s="64"/>
      <c r="T319" s="64"/>
      <c r="U319" s="64"/>
      <c r="X319" s="64"/>
      <c r="Y319" s="64"/>
      <c r="Z319" s="64"/>
      <c r="AA319" s="64"/>
      <c r="AB319" s="64"/>
      <c r="AE319" s="64"/>
      <c r="AF319" s="64"/>
      <c r="AG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J320" s="64"/>
      <c r="K320" s="64"/>
      <c r="L320" s="64"/>
      <c r="M320" s="64"/>
      <c r="N320" s="64"/>
      <c r="Q320" s="64"/>
      <c r="R320" s="64"/>
      <c r="S320" s="64"/>
      <c r="T320" s="64"/>
      <c r="U320" s="64"/>
      <c r="X320" s="64"/>
      <c r="Y320" s="64"/>
      <c r="Z320" s="64"/>
      <c r="AA320" s="64"/>
      <c r="AB320" s="64"/>
      <c r="AE320" s="64"/>
      <c r="AF320" s="64"/>
      <c r="AG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J321" s="64"/>
      <c r="K321" s="64"/>
      <c r="L321" s="64"/>
      <c r="M321" s="64"/>
      <c r="N321" s="64"/>
      <c r="Q321" s="64"/>
      <c r="R321" s="64"/>
      <c r="S321" s="64"/>
      <c r="T321" s="64"/>
      <c r="U321" s="64"/>
      <c r="X321" s="64"/>
      <c r="Y321" s="64"/>
      <c r="Z321" s="64"/>
      <c r="AA321" s="64"/>
      <c r="AB321" s="64"/>
      <c r="AE321" s="64"/>
      <c r="AF321" s="64"/>
      <c r="AG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J322" s="64"/>
      <c r="K322" s="64"/>
      <c r="L322" s="64"/>
      <c r="M322" s="64"/>
      <c r="N322" s="64"/>
      <c r="Q322" s="64"/>
      <c r="R322" s="64"/>
      <c r="S322" s="64"/>
      <c r="T322" s="64"/>
      <c r="U322" s="64"/>
      <c r="X322" s="64"/>
      <c r="Y322" s="64"/>
      <c r="Z322" s="64"/>
      <c r="AA322" s="64"/>
      <c r="AB322" s="64"/>
      <c r="AE322" s="64"/>
      <c r="AF322" s="64"/>
      <c r="AG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J323" s="64"/>
      <c r="K323" s="64"/>
      <c r="L323" s="64"/>
      <c r="M323" s="64"/>
      <c r="N323" s="64"/>
      <c r="Q323" s="64"/>
      <c r="R323" s="64"/>
      <c r="S323" s="64"/>
      <c r="T323" s="64"/>
      <c r="U323" s="64"/>
      <c r="X323" s="64"/>
      <c r="Y323" s="64"/>
      <c r="Z323" s="64"/>
      <c r="AA323" s="64"/>
      <c r="AB323" s="64"/>
      <c r="AE323" s="64"/>
      <c r="AF323" s="64"/>
      <c r="AG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J324" s="64"/>
      <c r="K324" s="64"/>
      <c r="L324" s="64"/>
      <c r="M324" s="64"/>
      <c r="N324" s="64"/>
      <c r="Q324" s="64"/>
      <c r="R324" s="64"/>
      <c r="S324" s="64"/>
      <c r="T324" s="64"/>
      <c r="U324" s="64"/>
      <c r="X324" s="64"/>
      <c r="Y324" s="64"/>
      <c r="Z324" s="64"/>
      <c r="AA324" s="64"/>
      <c r="AB324" s="64"/>
      <c r="AE324" s="64"/>
      <c r="AF324" s="64"/>
      <c r="AG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J325" s="64"/>
      <c r="K325" s="64"/>
      <c r="L325" s="64"/>
      <c r="M325" s="64"/>
      <c r="N325" s="64"/>
      <c r="Q325" s="64"/>
      <c r="R325" s="64"/>
      <c r="S325" s="64"/>
      <c r="T325" s="64"/>
      <c r="U325" s="64"/>
      <c r="X325" s="64"/>
      <c r="Y325" s="64"/>
      <c r="Z325" s="64"/>
      <c r="AA325" s="64"/>
      <c r="AB325" s="64"/>
      <c r="AE325" s="64"/>
      <c r="AF325" s="64"/>
      <c r="AG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J326" s="64"/>
      <c r="K326" s="64"/>
      <c r="L326" s="64"/>
      <c r="M326" s="64"/>
      <c r="N326" s="64"/>
      <c r="Q326" s="64"/>
      <c r="R326" s="64"/>
      <c r="S326" s="64"/>
      <c r="T326" s="64"/>
      <c r="U326" s="64"/>
      <c r="X326" s="64"/>
      <c r="Y326" s="64"/>
      <c r="Z326" s="64"/>
      <c r="AA326" s="64"/>
      <c r="AB326" s="64"/>
      <c r="AE326" s="64"/>
      <c r="AF326" s="64"/>
      <c r="AG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J327" s="64"/>
      <c r="K327" s="64"/>
      <c r="L327" s="64"/>
      <c r="M327" s="64"/>
      <c r="N327" s="64"/>
      <c r="Q327" s="64"/>
      <c r="R327" s="64"/>
      <c r="S327" s="64"/>
      <c r="T327" s="64"/>
      <c r="U327" s="64"/>
      <c r="X327" s="64"/>
      <c r="Y327" s="64"/>
      <c r="Z327" s="64"/>
      <c r="AA327" s="64"/>
      <c r="AB327" s="64"/>
      <c r="AE327" s="64"/>
      <c r="AF327" s="64"/>
      <c r="AG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J328" s="64"/>
      <c r="K328" s="64"/>
      <c r="L328" s="64"/>
      <c r="M328" s="64"/>
      <c r="N328" s="64"/>
      <c r="Q328" s="64"/>
      <c r="R328" s="64"/>
      <c r="S328" s="64"/>
      <c r="T328" s="64"/>
      <c r="U328" s="64"/>
      <c r="X328" s="64"/>
      <c r="Y328" s="64"/>
      <c r="Z328" s="64"/>
      <c r="AA328" s="64"/>
      <c r="AB328" s="64"/>
      <c r="AE328" s="64"/>
      <c r="AF328" s="64"/>
      <c r="AG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J329" s="64"/>
      <c r="K329" s="64"/>
      <c r="L329" s="64"/>
      <c r="M329" s="64"/>
      <c r="N329" s="64"/>
      <c r="Q329" s="64"/>
      <c r="R329" s="64"/>
      <c r="S329" s="64"/>
      <c r="T329" s="64"/>
      <c r="U329" s="64"/>
      <c r="X329" s="64"/>
      <c r="Y329" s="64"/>
      <c r="Z329" s="64"/>
      <c r="AA329" s="64"/>
      <c r="AB329" s="64"/>
      <c r="AE329" s="64"/>
      <c r="AF329" s="64"/>
      <c r="AG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J330" s="64"/>
      <c r="K330" s="64"/>
      <c r="L330" s="64"/>
      <c r="M330" s="64"/>
      <c r="N330" s="64"/>
      <c r="Q330" s="64"/>
      <c r="R330" s="64"/>
      <c r="S330" s="64"/>
      <c r="T330" s="64"/>
      <c r="U330" s="64"/>
      <c r="X330" s="64"/>
      <c r="Y330" s="64"/>
      <c r="Z330" s="64"/>
      <c r="AA330" s="64"/>
      <c r="AB330" s="64"/>
      <c r="AE330" s="64"/>
      <c r="AF330" s="64"/>
      <c r="AG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J331" s="64"/>
      <c r="K331" s="64"/>
      <c r="L331" s="64"/>
      <c r="M331" s="64"/>
      <c r="N331" s="64"/>
      <c r="Q331" s="64"/>
      <c r="R331" s="64"/>
      <c r="S331" s="64"/>
      <c r="T331" s="64"/>
      <c r="U331" s="64"/>
      <c r="X331" s="64"/>
      <c r="Y331" s="64"/>
      <c r="Z331" s="64"/>
      <c r="AA331" s="64"/>
      <c r="AB331" s="64"/>
      <c r="AE331" s="64"/>
      <c r="AF331" s="64"/>
      <c r="AG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J332" s="64"/>
      <c r="K332" s="64"/>
      <c r="L332" s="64"/>
      <c r="M332" s="64"/>
      <c r="N332" s="64"/>
      <c r="Q332" s="64"/>
      <c r="R332" s="64"/>
      <c r="S332" s="64"/>
      <c r="T332" s="64"/>
      <c r="U332" s="64"/>
      <c r="X332" s="64"/>
      <c r="Y332" s="64"/>
      <c r="Z332" s="64"/>
      <c r="AA332" s="64"/>
      <c r="AB332" s="64"/>
      <c r="AE332" s="64"/>
      <c r="AF332" s="64"/>
      <c r="AG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J333" s="64"/>
      <c r="K333" s="64"/>
      <c r="L333" s="64"/>
      <c r="M333" s="64"/>
      <c r="N333" s="64"/>
      <c r="Q333" s="64"/>
      <c r="R333" s="64"/>
      <c r="S333" s="64"/>
      <c r="T333" s="64"/>
      <c r="U333" s="64"/>
      <c r="X333" s="64"/>
      <c r="Y333" s="64"/>
      <c r="Z333" s="64"/>
      <c r="AA333" s="64"/>
      <c r="AB333" s="64"/>
      <c r="AE333" s="64"/>
      <c r="AF333" s="64"/>
      <c r="AG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J334" s="64"/>
      <c r="K334" s="64"/>
      <c r="L334" s="64"/>
      <c r="M334" s="64"/>
      <c r="N334" s="64"/>
      <c r="Q334" s="64"/>
      <c r="R334" s="64"/>
      <c r="S334" s="64"/>
      <c r="T334" s="64"/>
      <c r="U334" s="64"/>
      <c r="X334" s="64"/>
      <c r="Y334" s="64"/>
      <c r="Z334" s="64"/>
      <c r="AA334" s="64"/>
      <c r="AB334" s="64"/>
      <c r="AE334" s="64"/>
      <c r="AF334" s="64"/>
      <c r="AG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J335" s="64"/>
      <c r="K335" s="64"/>
      <c r="L335" s="64"/>
      <c r="M335" s="64"/>
      <c r="N335" s="64"/>
      <c r="Q335" s="64"/>
      <c r="R335" s="64"/>
      <c r="S335" s="64"/>
      <c r="T335" s="64"/>
      <c r="U335" s="64"/>
      <c r="X335" s="64"/>
      <c r="Y335" s="64"/>
      <c r="Z335" s="64"/>
      <c r="AA335" s="64"/>
      <c r="AB335" s="64"/>
      <c r="AE335" s="64"/>
      <c r="AF335" s="64"/>
      <c r="AG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J336" s="64"/>
      <c r="K336" s="64"/>
      <c r="L336" s="64"/>
      <c r="M336" s="64"/>
      <c r="N336" s="64"/>
      <c r="Q336" s="64"/>
      <c r="R336" s="64"/>
      <c r="S336" s="64"/>
      <c r="T336" s="64"/>
      <c r="U336" s="64"/>
      <c r="X336" s="64"/>
      <c r="Y336" s="64"/>
      <c r="Z336" s="64"/>
      <c r="AA336" s="64"/>
      <c r="AB336" s="64"/>
      <c r="AE336" s="64"/>
      <c r="AF336" s="64"/>
      <c r="AG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J337" s="64"/>
      <c r="K337" s="64"/>
      <c r="L337" s="64"/>
      <c r="M337" s="64"/>
      <c r="N337" s="64"/>
      <c r="Q337" s="64"/>
      <c r="R337" s="64"/>
      <c r="S337" s="64"/>
      <c r="T337" s="64"/>
      <c r="U337" s="64"/>
      <c r="X337" s="64"/>
      <c r="Y337" s="64"/>
      <c r="Z337" s="64"/>
      <c r="AA337" s="64"/>
      <c r="AB337" s="64"/>
      <c r="AE337" s="64"/>
      <c r="AF337" s="64"/>
      <c r="AG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J338" s="64"/>
      <c r="K338" s="64"/>
      <c r="L338" s="64"/>
      <c r="M338" s="64"/>
      <c r="N338" s="64"/>
      <c r="Q338" s="64"/>
      <c r="R338" s="64"/>
      <c r="S338" s="64"/>
      <c r="T338" s="64"/>
      <c r="U338" s="64"/>
      <c r="X338" s="64"/>
      <c r="Y338" s="64"/>
      <c r="Z338" s="64"/>
      <c r="AA338" s="64"/>
      <c r="AB338" s="64"/>
      <c r="AE338" s="64"/>
      <c r="AF338" s="64"/>
      <c r="AG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J339" s="64"/>
      <c r="K339" s="64"/>
      <c r="L339" s="64"/>
      <c r="M339" s="64"/>
      <c r="N339" s="64"/>
      <c r="Q339" s="64"/>
      <c r="R339" s="64"/>
      <c r="S339" s="64"/>
      <c r="T339" s="64"/>
      <c r="U339" s="64"/>
      <c r="X339" s="64"/>
      <c r="Y339" s="64"/>
      <c r="Z339" s="64"/>
      <c r="AA339" s="64"/>
      <c r="AB339" s="64"/>
      <c r="AE339" s="64"/>
      <c r="AF339" s="64"/>
      <c r="AG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8 F40:AJ76 AK40:AK87 K133:X133 F31:AK39">
    <cfRule type="cellIs" dxfId="38" priority="7" operator="lessThan">
      <formula>0</formula>
    </cfRule>
  </conditionalFormatting>
  <conditionalFormatting sqref="M80 P80 R80:AJ80 F131:H131 J131">
    <cfRule type="cellIs" dxfId="37" priority="10" operator="lessThan">
      <formula>0</formula>
    </cfRule>
  </conditionalFormatting>
  <conditionalFormatting sqref="M120:X123">
    <cfRule type="cellIs" dxfId="36" priority="8" operator="lessThan">
      <formula>0</formula>
    </cfRule>
  </conditionalFormatting>
  <conditionalFormatting sqref="M128:X132">
    <cfRule type="cellIs" dxfId="35" priority="5" operator="lessThan">
      <formula>0</formula>
    </cfRule>
  </conditionalFormatting>
  <conditionalFormatting sqref="M77:AJ79 F77:L87 M81:AJ87 F88:AK117 M118:AJ119 F118:J130 K118:L132 AK118:AK135 F132:J135 K134:AJ135">
    <cfRule type="cellIs" dxfId="34" priority="6" operator="lessThan">
      <formula>0</formula>
    </cfRule>
  </conditionalFormatting>
  <conditionalFormatting sqref="M124:AJ124 M125:X126 M127:Q127 S127:X127">
    <cfRule type="cellIs" dxfId="33" priority="9" operator="lessThan">
      <formula>0</formula>
    </cfRule>
  </conditionalFormatting>
  <conditionalFormatting sqref="Z120:AJ123">
    <cfRule type="cellIs" dxfId="32" priority="4" operator="lessThan">
      <formula>0</formula>
    </cfRule>
  </conditionalFormatting>
  <conditionalFormatting sqref="Z125:AJ133">
    <cfRule type="cellIs" dxfId="31" priority="3" operator="lessThan">
      <formula>0</formula>
    </cfRule>
  </conditionalFormatting>
  <conditionalFormatting sqref="AK29:AK30">
    <cfRule type="cellIs" dxfId="30" priority="2" operator="lessThan">
      <formula>0</formula>
    </cfRule>
  </conditionalFormatting>
  <conditionalFormatting sqref="F29:AJ30">
    <cfRule type="cellIs" dxfId="2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F946-C07A-4BAE-B7D0-E63B1B192EF2}">
  <dimension ref="A1:AS339"/>
  <sheetViews>
    <sheetView zoomScale="80" zoomScaleNormal="80" workbookViewId="0">
      <pane xSplit="1" ySplit="2" topLeftCell="B3" activePane="bottomRight" state="frozen"/>
      <selection pane="bottomRight" activeCell="AD13" sqref="AD13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9" width="5.7109375" style="64" bestFit="1" customWidth="1"/>
    <col min="10" max="10" width="5.5703125" style="64" bestFit="1" customWidth="1"/>
    <col min="11" max="11" width="5.5703125" style="68" bestFit="1" customWidth="1"/>
    <col min="12" max="12" width="5.5703125" style="68" customWidth="1"/>
    <col min="13" max="16" width="5.5703125" style="64" bestFit="1" customWidth="1"/>
    <col min="17" max="17" width="6.140625" style="64" customWidth="1"/>
    <col min="18" max="18" width="5.5703125" style="68" customWidth="1"/>
    <col min="19" max="19" width="6.7109375" style="68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4" bestFit="1" customWidth="1"/>
    <col min="24" max="24" width="5.5703125" style="64" bestFit="1" customWidth="1"/>
    <col min="25" max="26" width="5.5703125" style="68" bestFit="1" customWidth="1"/>
    <col min="27" max="27" width="6.7109375" style="64" bestFit="1" customWidth="1"/>
    <col min="28" max="28" width="5.140625" style="64" bestFit="1" customWidth="1"/>
    <col min="29" max="29" width="7.5703125" style="64" bestFit="1" customWidth="1"/>
    <col min="30" max="30" width="6.7109375" style="64" bestFit="1" customWidth="1"/>
    <col min="31" max="31" width="5.5703125" style="64" bestFit="1" customWidth="1"/>
    <col min="32" max="33" width="4.5703125" style="68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338</v>
      </c>
      <c r="G1" s="116" t="s">
        <v>339</v>
      </c>
      <c r="H1" s="116" t="s">
        <v>333</v>
      </c>
      <c r="I1" s="116" t="s">
        <v>334</v>
      </c>
      <c r="J1" s="116" t="s">
        <v>335</v>
      </c>
      <c r="K1" s="120" t="s">
        <v>336</v>
      </c>
      <c r="L1" s="120" t="s">
        <v>337</v>
      </c>
      <c r="M1" s="116" t="s">
        <v>338</v>
      </c>
      <c r="N1" s="116" t="s">
        <v>339</v>
      </c>
      <c r="O1" s="116" t="s">
        <v>333</v>
      </c>
      <c r="P1" s="116" t="s">
        <v>334</v>
      </c>
      <c r="Q1" s="116" t="s">
        <v>335</v>
      </c>
      <c r="R1" s="120" t="s">
        <v>336</v>
      </c>
      <c r="S1" s="120" t="s">
        <v>337</v>
      </c>
      <c r="T1" s="116" t="s">
        <v>338</v>
      </c>
      <c r="U1" s="116" t="s">
        <v>339</v>
      </c>
      <c r="V1" s="116" t="s">
        <v>333</v>
      </c>
      <c r="W1" s="116" t="s">
        <v>334</v>
      </c>
      <c r="X1" s="116" t="s">
        <v>335</v>
      </c>
      <c r="Y1" s="120" t="s">
        <v>336</v>
      </c>
      <c r="Z1" s="120" t="s">
        <v>337</v>
      </c>
      <c r="AA1" s="116" t="s">
        <v>338</v>
      </c>
      <c r="AB1" s="116" t="s">
        <v>339</v>
      </c>
      <c r="AC1" s="116" t="s">
        <v>333</v>
      </c>
      <c r="AD1" s="116" t="s">
        <v>334</v>
      </c>
      <c r="AE1" s="116" t="s">
        <v>335</v>
      </c>
      <c r="AF1" s="120" t="s">
        <v>336</v>
      </c>
      <c r="AG1" s="120" t="s">
        <v>337</v>
      </c>
      <c r="AH1" s="116" t="s">
        <v>338</v>
      </c>
      <c r="AI1" s="116" t="s">
        <v>339</v>
      </c>
      <c r="AJ1" s="116" t="s">
        <v>333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46447</v>
      </c>
      <c r="G2" s="112">
        <v>46448</v>
      </c>
      <c r="H2" s="112">
        <v>46449</v>
      </c>
      <c r="I2" s="112">
        <v>46450</v>
      </c>
      <c r="J2" s="112">
        <v>46451</v>
      </c>
      <c r="K2" s="129">
        <v>46452</v>
      </c>
      <c r="L2" s="129">
        <v>46453</v>
      </c>
      <c r="M2" s="112">
        <v>46454</v>
      </c>
      <c r="N2" s="112">
        <v>46455</v>
      </c>
      <c r="O2" s="112">
        <v>46456</v>
      </c>
      <c r="P2" s="112">
        <v>46457</v>
      </c>
      <c r="Q2" s="112">
        <v>46458</v>
      </c>
      <c r="R2" s="129">
        <v>46459</v>
      </c>
      <c r="S2" s="129">
        <v>46460</v>
      </c>
      <c r="T2" s="112">
        <v>46461</v>
      </c>
      <c r="U2" s="112">
        <v>46462</v>
      </c>
      <c r="V2" s="112">
        <v>46463</v>
      </c>
      <c r="W2" s="112">
        <v>46464</v>
      </c>
      <c r="X2" s="112">
        <v>46465</v>
      </c>
      <c r="Y2" s="129">
        <v>46466</v>
      </c>
      <c r="Z2" s="129">
        <v>46467</v>
      </c>
      <c r="AA2" s="112">
        <v>46468</v>
      </c>
      <c r="AB2" s="112">
        <v>46469</v>
      </c>
      <c r="AC2" s="112">
        <v>46470</v>
      </c>
      <c r="AD2" s="112">
        <v>46471</v>
      </c>
      <c r="AE2" s="112">
        <v>46472</v>
      </c>
      <c r="AF2" s="129">
        <v>46473</v>
      </c>
      <c r="AG2" s="129">
        <v>46474</v>
      </c>
      <c r="AH2" s="112">
        <v>46475</v>
      </c>
      <c r="AI2" s="112">
        <v>46476</v>
      </c>
      <c r="AJ2" s="112">
        <v>46477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70">
        <v>10.7</v>
      </c>
      <c r="J4" s="70"/>
      <c r="K4" s="120"/>
      <c r="L4" s="120"/>
      <c r="M4" s="70"/>
      <c r="N4" s="70">
        <v>10.7</v>
      </c>
      <c r="O4" s="70"/>
      <c r="P4" s="70"/>
      <c r="Q4" s="70"/>
      <c r="R4" s="120"/>
      <c r="S4" s="120"/>
      <c r="T4" s="70"/>
      <c r="U4" s="70"/>
      <c r="V4" s="70"/>
      <c r="W4" s="70"/>
      <c r="X4" s="70"/>
      <c r="Y4" s="120"/>
      <c r="Z4" s="120"/>
      <c r="AA4" s="70"/>
      <c r="AB4" s="70"/>
      <c r="AC4" s="70"/>
      <c r="AD4" s="70"/>
      <c r="AE4" s="70"/>
      <c r="AF4" s="120"/>
      <c r="AG4" s="120"/>
      <c r="AH4" s="70"/>
      <c r="AI4" s="70"/>
      <c r="AJ4" s="70"/>
      <c r="AK4" s="78">
        <f t="shared" ref="AK4:AK12" si="0">SUM(F4:AJ4)</f>
        <v>21.4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70"/>
      <c r="J5" s="70"/>
      <c r="K5" s="120"/>
      <c r="L5" s="120"/>
      <c r="M5" s="70"/>
      <c r="N5" s="70"/>
      <c r="O5" s="70"/>
      <c r="P5" s="70"/>
      <c r="Q5" s="70"/>
      <c r="R5" s="120"/>
      <c r="S5" s="120"/>
      <c r="T5" s="70"/>
      <c r="U5" s="70"/>
      <c r="V5" s="70"/>
      <c r="W5" s="70"/>
      <c r="X5" s="70"/>
      <c r="Y5" s="120"/>
      <c r="Z5" s="120"/>
      <c r="AA5" s="70"/>
      <c r="AB5" s="70"/>
      <c r="AC5" s="70"/>
      <c r="AD5" s="70"/>
      <c r="AE5" s="70"/>
      <c r="AF5" s="120"/>
      <c r="AG5" s="12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>
        <v>8</v>
      </c>
      <c r="H6" s="70">
        <v>8</v>
      </c>
      <c r="I6" s="70"/>
      <c r="J6" s="70">
        <v>8</v>
      </c>
      <c r="K6" s="120"/>
      <c r="L6" s="120"/>
      <c r="M6" s="70"/>
      <c r="N6" s="70"/>
      <c r="O6" s="70"/>
      <c r="P6" s="70">
        <v>8</v>
      </c>
      <c r="Q6" s="70"/>
      <c r="R6" s="120"/>
      <c r="S6" s="120"/>
      <c r="T6" s="70"/>
      <c r="U6" s="70"/>
      <c r="V6" s="70"/>
      <c r="W6" s="70"/>
      <c r="X6" s="70"/>
      <c r="Y6" s="120"/>
      <c r="Z6" s="120"/>
      <c r="AA6" s="70"/>
      <c r="AB6" s="70"/>
      <c r="AC6" s="70"/>
      <c r="AD6" s="70"/>
      <c r="AE6" s="70"/>
      <c r="AF6" s="120"/>
      <c r="AG6" s="120"/>
      <c r="AH6" s="70"/>
      <c r="AI6" s="70">
        <v>8</v>
      </c>
      <c r="AJ6" s="70"/>
      <c r="AK6" s="78">
        <f t="shared" si="0"/>
        <v>40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70"/>
      <c r="J7" s="70"/>
      <c r="K7" s="120"/>
      <c r="L7" s="120"/>
      <c r="M7" s="70"/>
      <c r="N7" s="70"/>
      <c r="O7" s="70"/>
      <c r="P7" s="70"/>
      <c r="Q7" s="70"/>
      <c r="R7" s="120"/>
      <c r="S7" s="120"/>
      <c r="T7" s="70"/>
      <c r="U7" s="70"/>
      <c r="V7" s="70"/>
      <c r="W7" s="70"/>
      <c r="X7" s="70"/>
      <c r="Y7" s="120"/>
      <c r="Z7" s="120"/>
      <c r="AA7" s="70"/>
      <c r="AB7" s="70"/>
      <c r="AC7" s="70"/>
      <c r="AD7" s="70"/>
      <c r="AE7" s="70"/>
      <c r="AF7" s="120"/>
      <c r="AG7" s="120"/>
      <c r="AH7" s="70"/>
      <c r="AI7" s="70"/>
      <c r="AJ7" s="70"/>
      <c r="AK7" s="78">
        <f t="shared" si="0"/>
        <v>0</v>
      </c>
      <c r="AL7" s="83"/>
    </row>
    <row r="8" spans="1:45" ht="15.7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08"/>
      <c r="J8" s="108"/>
      <c r="K8" s="128"/>
      <c r="L8" s="128"/>
      <c r="M8" s="108"/>
      <c r="N8" s="108"/>
      <c r="O8" s="108"/>
      <c r="P8" s="108"/>
      <c r="Q8" s="108"/>
      <c r="R8" s="128"/>
      <c r="S8" s="128"/>
      <c r="T8" s="108"/>
      <c r="U8" s="70"/>
      <c r="V8" s="108"/>
      <c r="W8" s="70"/>
      <c r="X8" s="70"/>
      <c r="Y8" s="128"/>
      <c r="Z8" s="128"/>
      <c r="AA8" s="108"/>
      <c r="AB8" s="108"/>
      <c r="AC8" s="163">
        <v>10.7</v>
      </c>
      <c r="AD8" s="70">
        <v>10.7</v>
      </c>
      <c r="AE8" s="70"/>
      <c r="AF8" s="120"/>
      <c r="AG8" s="120"/>
      <c r="AH8" s="70"/>
      <c r="AI8" s="70"/>
      <c r="AJ8" s="70"/>
      <c r="AK8" s="78">
        <f t="shared" si="0"/>
        <v>21.4</v>
      </c>
      <c r="AL8" s="83"/>
    </row>
    <row r="9" spans="1:45" ht="15.7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70"/>
      <c r="J9" s="70"/>
      <c r="K9" s="120"/>
      <c r="L9" s="120"/>
      <c r="M9" s="70"/>
      <c r="N9" s="70"/>
      <c r="O9" s="70"/>
      <c r="P9" s="70"/>
      <c r="Q9" s="70"/>
      <c r="R9" s="120"/>
      <c r="S9" s="120"/>
      <c r="T9" s="70"/>
      <c r="U9" s="70"/>
      <c r="V9" s="70"/>
      <c r="W9" s="70"/>
      <c r="X9" s="70"/>
      <c r="Y9" s="120"/>
      <c r="Z9" s="120"/>
      <c r="AA9" s="70"/>
      <c r="AB9" s="163" t="s">
        <v>421</v>
      </c>
      <c r="AC9" s="163" t="s">
        <v>421</v>
      </c>
      <c r="AD9" s="163" t="s">
        <v>421</v>
      </c>
      <c r="AE9" s="70"/>
      <c r="AF9" s="120"/>
      <c r="AG9" s="12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70"/>
      <c r="J10" s="70"/>
      <c r="K10" s="120"/>
      <c r="L10" s="120"/>
      <c r="M10" s="70"/>
      <c r="N10" s="70"/>
      <c r="O10" s="70"/>
      <c r="P10" s="70"/>
      <c r="Q10" s="70"/>
      <c r="R10" s="120"/>
      <c r="S10" s="120"/>
      <c r="T10" s="70"/>
      <c r="U10" s="70"/>
      <c r="V10" s="70"/>
      <c r="W10" s="70"/>
      <c r="X10" s="70"/>
      <c r="Y10" s="120"/>
      <c r="Z10" s="120"/>
      <c r="AA10" s="70"/>
      <c r="AB10" s="70"/>
      <c r="AC10" s="70"/>
      <c r="AD10" s="70"/>
      <c r="AE10" s="70"/>
      <c r="AF10" s="120"/>
      <c r="AG10" s="12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70"/>
      <c r="J11" s="70"/>
      <c r="K11" s="120"/>
      <c r="L11" s="120"/>
      <c r="M11" s="70"/>
      <c r="N11" s="70"/>
      <c r="O11" s="70"/>
      <c r="P11" s="70"/>
      <c r="Q11" s="70"/>
      <c r="R11" s="120"/>
      <c r="S11" s="120"/>
      <c r="T11" s="70"/>
      <c r="U11" s="70"/>
      <c r="V11" s="70"/>
      <c r="W11" s="70"/>
      <c r="X11" s="70"/>
      <c r="Y11" s="120"/>
      <c r="Z11" s="120"/>
      <c r="AA11" s="70"/>
      <c r="AB11" s="70"/>
      <c r="AC11" s="70"/>
      <c r="AD11" s="70"/>
      <c r="AE11" s="70"/>
      <c r="AF11" s="120"/>
      <c r="AG11" s="12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70"/>
      <c r="J12" s="70"/>
      <c r="K12" s="120"/>
      <c r="L12" s="120"/>
      <c r="M12" s="70"/>
      <c r="N12" s="70"/>
      <c r="O12" s="70"/>
      <c r="P12" s="70"/>
      <c r="Q12" s="70"/>
      <c r="R12" s="120"/>
      <c r="S12" s="120"/>
      <c r="T12" s="70"/>
      <c r="U12" s="70"/>
      <c r="V12" s="70"/>
      <c r="W12" s="70"/>
      <c r="X12" s="70"/>
      <c r="Y12" s="120"/>
      <c r="Z12" s="120"/>
      <c r="AA12" s="70"/>
      <c r="AB12" s="70"/>
      <c r="AC12" s="70"/>
      <c r="AD12" s="70"/>
      <c r="AE12" s="70"/>
      <c r="AF12" s="120"/>
      <c r="AG12" s="12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70"/>
      <c r="J13" s="70"/>
      <c r="K13" s="120"/>
      <c r="L13" s="120"/>
      <c r="M13" s="70"/>
      <c r="N13" s="70"/>
      <c r="O13" s="70"/>
      <c r="P13" s="70"/>
      <c r="Q13" s="70"/>
      <c r="R13" s="120"/>
      <c r="S13" s="120"/>
      <c r="T13" s="70"/>
      <c r="U13" s="70"/>
      <c r="V13" s="70"/>
      <c r="W13" s="70"/>
      <c r="X13" s="70"/>
      <c r="Y13" s="120"/>
      <c r="Z13" s="120"/>
      <c r="AA13" s="70"/>
      <c r="AB13" s="70"/>
      <c r="AC13" s="70"/>
      <c r="AD13" s="70"/>
      <c r="AE13" s="70"/>
      <c r="AF13" s="120"/>
      <c r="AG13" s="12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70"/>
      <c r="J14" s="70"/>
      <c r="K14" s="120"/>
      <c r="L14" s="120"/>
      <c r="M14" s="70"/>
      <c r="N14" s="70"/>
      <c r="O14" s="70"/>
      <c r="P14" s="70"/>
      <c r="Q14" s="70"/>
      <c r="R14" s="120"/>
      <c r="S14" s="120"/>
      <c r="T14" s="70"/>
      <c r="U14" s="70"/>
      <c r="V14" s="70"/>
      <c r="W14" s="70"/>
      <c r="X14" s="70"/>
      <c r="Y14" s="120"/>
      <c r="Z14" s="120"/>
      <c r="AA14" s="70"/>
      <c r="AB14" s="70"/>
      <c r="AC14" s="70"/>
      <c r="AD14" s="70"/>
      <c r="AE14" s="70"/>
      <c r="AF14" s="120"/>
      <c r="AG14" s="12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70"/>
      <c r="J15" s="70"/>
      <c r="K15" s="120"/>
      <c r="L15" s="120"/>
      <c r="M15" s="70"/>
      <c r="N15" s="70"/>
      <c r="O15" s="70"/>
      <c r="P15" s="70"/>
      <c r="Q15" s="70"/>
      <c r="R15" s="120"/>
      <c r="S15" s="120"/>
      <c r="T15" s="70"/>
      <c r="U15" s="70"/>
      <c r="V15" s="70"/>
      <c r="W15" s="70"/>
      <c r="X15" s="70"/>
      <c r="Y15" s="120"/>
      <c r="Z15" s="120"/>
      <c r="AA15" s="70"/>
      <c r="AB15" s="70"/>
      <c r="AC15" s="70"/>
      <c r="AD15" s="70"/>
      <c r="AE15" s="70"/>
      <c r="AF15" s="120"/>
      <c r="AG15" s="12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70"/>
      <c r="J16" s="70"/>
      <c r="K16" s="120"/>
      <c r="L16" s="120"/>
      <c r="M16" s="70"/>
      <c r="N16" s="70"/>
      <c r="O16" s="70"/>
      <c r="P16" s="70"/>
      <c r="Q16" s="70"/>
      <c r="R16" s="120"/>
      <c r="S16" s="120"/>
      <c r="T16" s="70"/>
      <c r="U16" s="70"/>
      <c r="V16" s="70"/>
      <c r="W16" s="70"/>
      <c r="X16" s="70"/>
      <c r="Y16" s="120"/>
      <c r="Z16" s="120"/>
      <c r="AA16" s="70"/>
      <c r="AB16" s="70"/>
      <c r="AC16" s="70"/>
      <c r="AD16" s="70"/>
      <c r="AE16" s="70"/>
      <c r="AF16" s="120"/>
      <c r="AG16" s="12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70"/>
      <c r="J17" s="70"/>
      <c r="K17" s="120"/>
      <c r="L17" s="120"/>
      <c r="M17" s="70"/>
      <c r="N17" s="70"/>
      <c r="O17" s="70"/>
      <c r="P17" s="70"/>
      <c r="Q17" s="70"/>
      <c r="R17" s="120"/>
      <c r="S17" s="120"/>
      <c r="T17" s="70"/>
      <c r="U17" s="70"/>
      <c r="V17" s="70"/>
      <c r="W17" s="70"/>
      <c r="X17" s="70"/>
      <c r="Y17" s="120"/>
      <c r="Z17" s="120"/>
      <c r="AA17" s="70"/>
      <c r="AB17" s="70"/>
      <c r="AC17" s="70"/>
      <c r="AD17" s="70"/>
      <c r="AE17" s="70"/>
      <c r="AF17" s="120"/>
      <c r="AG17" s="12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70"/>
      <c r="J18" s="70"/>
      <c r="K18" s="120"/>
      <c r="L18" s="120"/>
      <c r="M18" s="70"/>
      <c r="N18" s="70"/>
      <c r="O18" s="70"/>
      <c r="P18" s="70"/>
      <c r="Q18" s="70"/>
      <c r="R18" s="120"/>
      <c r="S18" s="120"/>
      <c r="T18" s="70"/>
      <c r="U18" s="70"/>
      <c r="V18" s="70"/>
      <c r="W18" s="70"/>
      <c r="X18" s="70"/>
      <c r="Y18" s="120"/>
      <c r="Z18" s="120"/>
      <c r="AA18" s="70"/>
      <c r="AB18" s="70"/>
      <c r="AC18" s="70"/>
      <c r="AD18" s="70"/>
      <c r="AE18" s="70"/>
      <c r="AF18" s="120"/>
      <c r="AG18" s="12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70"/>
      <c r="J19" s="70"/>
      <c r="K19" s="120"/>
      <c r="L19" s="120"/>
      <c r="M19" s="70"/>
      <c r="N19" s="70"/>
      <c r="O19" s="70"/>
      <c r="P19" s="70"/>
      <c r="Q19" s="70"/>
      <c r="R19" s="120"/>
      <c r="S19" s="120"/>
      <c r="T19" s="70"/>
      <c r="U19" s="70"/>
      <c r="V19" s="70"/>
      <c r="W19" s="70"/>
      <c r="X19" s="70"/>
      <c r="Y19" s="120"/>
      <c r="Z19" s="120"/>
      <c r="AA19" s="70"/>
      <c r="AB19" s="70"/>
      <c r="AC19" s="70"/>
      <c r="AD19" s="70"/>
      <c r="AE19" s="70"/>
      <c r="AF19" s="120"/>
      <c r="AG19" s="12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70"/>
      <c r="J20" s="70"/>
      <c r="K20" s="120"/>
      <c r="L20" s="120"/>
      <c r="M20" s="70"/>
      <c r="N20" s="70"/>
      <c r="O20" s="70"/>
      <c r="P20" s="70"/>
      <c r="Q20" s="70"/>
      <c r="R20" s="120"/>
      <c r="S20" s="120"/>
      <c r="T20" s="70"/>
      <c r="U20" s="70"/>
      <c r="V20" s="70"/>
      <c r="W20" s="70"/>
      <c r="X20" s="70"/>
      <c r="Y20" s="120"/>
      <c r="Z20" s="120"/>
      <c r="AA20" s="70"/>
      <c r="AB20" s="70"/>
      <c r="AC20" s="70"/>
      <c r="AD20" s="70"/>
      <c r="AE20" s="70"/>
      <c r="AF20" s="120"/>
      <c r="AG20" s="12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70"/>
      <c r="J21" s="70"/>
      <c r="K21" s="120"/>
      <c r="L21" s="120"/>
      <c r="M21" s="70"/>
      <c r="N21" s="70"/>
      <c r="O21" s="70"/>
      <c r="P21" s="70"/>
      <c r="Q21" s="70"/>
      <c r="R21" s="120"/>
      <c r="S21" s="120"/>
      <c r="T21" s="70"/>
      <c r="U21" s="70"/>
      <c r="V21" s="70"/>
      <c r="W21" s="70"/>
      <c r="X21" s="70"/>
      <c r="Y21" s="120"/>
      <c r="Z21" s="120"/>
      <c r="AA21" s="70"/>
      <c r="AB21" s="70"/>
      <c r="AC21" s="70"/>
      <c r="AD21" s="70"/>
      <c r="AE21" s="70"/>
      <c r="AF21" s="120"/>
      <c r="AG21" s="12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70"/>
      <c r="J22" s="70"/>
      <c r="K22" s="120"/>
      <c r="L22" s="120"/>
      <c r="M22" s="70"/>
      <c r="N22" s="70"/>
      <c r="O22" s="70"/>
      <c r="P22" s="70"/>
      <c r="Q22" s="70"/>
      <c r="R22" s="120"/>
      <c r="S22" s="120"/>
      <c r="T22" s="70"/>
      <c r="U22" s="70"/>
      <c r="V22" s="70"/>
      <c r="W22" s="70"/>
      <c r="X22" s="70"/>
      <c r="Y22" s="120"/>
      <c r="Z22" s="120"/>
      <c r="AA22" s="70"/>
      <c r="AB22" s="70"/>
      <c r="AC22" s="70"/>
      <c r="AD22" s="70"/>
      <c r="AE22" s="70"/>
      <c r="AF22" s="120"/>
      <c r="AG22" s="12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70"/>
      <c r="J23" s="70"/>
      <c r="K23" s="120"/>
      <c r="L23" s="120"/>
      <c r="M23" s="70"/>
      <c r="N23" s="70"/>
      <c r="O23" s="70"/>
      <c r="P23" s="70"/>
      <c r="Q23" s="70"/>
      <c r="R23" s="120"/>
      <c r="S23" s="120"/>
      <c r="T23" s="70"/>
      <c r="U23" s="70"/>
      <c r="V23" s="70"/>
      <c r="W23" s="70"/>
      <c r="X23" s="70"/>
      <c r="Y23" s="120"/>
      <c r="Z23" s="120"/>
      <c r="AA23" s="70"/>
      <c r="AB23" s="70"/>
      <c r="AC23" s="70"/>
      <c r="AD23" s="70"/>
      <c r="AE23" s="70"/>
      <c r="AF23" s="120"/>
      <c r="AG23" s="12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70"/>
      <c r="J24" s="70"/>
      <c r="K24" s="120"/>
      <c r="L24" s="120"/>
      <c r="M24" s="70"/>
      <c r="N24" s="70"/>
      <c r="O24" s="70"/>
      <c r="P24" s="70"/>
      <c r="Q24" s="70"/>
      <c r="R24" s="120"/>
      <c r="S24" s="120"/>
      <c r="T24" s="70"/>
      <c r="U24" s="70"/>
      <c r="V24" s="70"/>
      <c r="W24" s="70"/>
      <c r="X24" s="70"/>
      <c r="Y24" s="120"/>
      <c r="Z24" s="120"/>
      <c r="AA24" s="70"/>
      <c r="AB24" s="70"/>
      <c r="AC24" s="70"/>
      <c r="AD24" s="70"/>
      <c r="AE24" s="70"/>
      <c r="AF24" s="120"/>
      <c r="AG24" s="12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70"/>
      <c r="J25" s="70"/>
      <c r="K25" s="120"/>
      <c r="L25" s="120"/>
      <c r="M25" s="70"/>
      <c r="N25" s="70"/>
      <c r="O25" s="70"/>
      <c r="P25" s="70"/>
      <c r="Q25" s="70"/>
      <c r="R25" s="120"/>
      <c r="S25" s="120"/>
      <c r="T25" s="70"/>
      <c r="U25" s="70"/>
      <c r="V25" s="70"/>
      <c r="W25" s="70"/>
      <c r="X25" s="70"/>
      <c r="Y25" s="120"/>
      <c r="Z25" s="120"/>
      <c r="AA25" s="70"/>
      <c r="AB25" s="70"/>
      <c r="AC25" s="70"/>
      <c r="AD25" s="70"/>
      <c r="AE25" s="70"/>
      <c r="AF25" s="120"/>
      <c r="AG25" s="12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70"/>
      <c r="J26" s="70"/>
      <c r="K26" s="120"/>
      <c r="L26" s="120"/>
      <c r="M26" s="70"/>
      <c r="N26" s="70"/>
      <c r="O26" s="70"/>
      <c r="P26" s="70"/>
      <c r="Q26" s="70"/>
      <c r="R26" s="120"/>
      <c r="S26" s="120"/>
      <c r="T26" s="70"/>
      <c r="U26" s="70"/>
      <c r="V26" s="70"/>
      <c r="W26" s="70"/>
      <c r="X26" s="70"/>
      <c r="Y26" s="120"/>
      <c r="Z26" s="120"/>
      <c r="AA26" s="70"/>
      <c r="AB26" s="70"/>
      <c r="AC26" s="70"/>
      <c r="AD26" s="70"/>
      <c r="AE26" s="70"/>
      <c r="AF26" s="120"/>
      <c r="AG26" s="120"/>
      <c r="AH26" s="70"/>
      <c r="AI26" s="70"/>
      <c r="AJ26" s="70"/>
      <c r="AK26" s="78">
        <f t="shared" si="1"/>
        <v>0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70"/>
      <c r="J27" s="70"/>
      <c r="K27" s="120"/>
      <c r="L27" s="120"/>
      <c r="M27" s="70"/>
      <c r="N27" s="70"/>
      <c r="O27" s="70"/>
      <c r="P27" s="70"/>
      <c r="Q27" s="70"/>
      <c r="R27" s="120"/>
      <c r="S27" s="120"/>
      <c r="T27" s="70"/>
      <c r="U27" s="70"/>
      <c r="V27" s="70"/>
      <c r="W27" s="70"/>
      <c r="X27" s="70"/>
      <c r="Y27" s="120"/>
      <c r="Z27" s="120"/>
      <c r="AA27" s="70"/>
      <c r="AB27" s="70"/>
      <c r="AC27" s="70"/>
      <c r="AD27" s="70"/>
      <c r="AE27" s="70"/>
      <c r="AF27" s="120"/>
      <c r="AG27" s="12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70"/>
      <c r="J28" s="70"/>
      <c r="K28" s="120"/>
      <c r="L28" s="120"/>
      <c r="M28" s="70"/>
      <c r="N28" s="70"/>
      <c r="O28" s="70"/>
      <c r="P28" s="70"/>
      <c r="Q28" s="70"/>
      <c r="R28" s="120"/>
      <c r="S28" s="120"/>
      <c r="T28" s="70"/>
      <c r="U28" s="70"/>
      <c r="V28" s="70"/>
      <c r="W28" s="70"/>
      <c r="X28" s="70"/>
      <c r="Y28" s="120"/>
      <c r="Z28" s="120"/>
      <c r="AA28" s="70"/>
      <c r="AB28" s="70"/>
      <c r="AC28" s="70"/>
      <c r="AD28" s="70"/>
      <c r="AE28" s="70"/>
      <c r="AF28" s="120"/>
      <c r="AG28" s="12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70"/>
      <c r="J29" s="70"/>
      <c r="K29" s="120"/>
      <c r="L29" s="120"/>
      <c r="M29" s="70"/>
      <c r="N29" s="70"/>
      <c r="O29" s="70"/>
      <c r="P29" s="70"/>
      <c r="Q29" s="70"/>
      <c r="R29" s="120"/>
      <c r="S29" s="120"/>
      <c r="T29" s="70"/>
      <c r="U29" s="70"/>
      <c r="V29" s="70"/>
      <c r="W29" s="70"/>
      <c r="X29" s="70"/>
      <c r="Y29" s="120"/>
      <c r="Z29" s="120"/>
      <c r="AA29" s="70"/>
      <c r="AB29" s="70"/>
      <c r="AC29" s="70"/>
      <c r="AD29" s="70"/>
      <c r="AE29" s="70"/>
      <c r="AF29" s="120"/>
      <c r="AG29" s="12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70"/>
      <c r="J30" s="70"/>
      <c r="K30" s="120"/>
      <c r="L30" s="120"/>
      <c r="M30" s="70"/>
      <c r="N30" s="70"/>
      <c r="O30" s="70"/>
      <c r="P30" s="70"/>
      <c r="Q30" s="70"/>
      <c r="R30" s="120"/>
      <c r="S30" s="120"/>
      <c r="T30" s="70"/>
      <c r="U30" s="70"/>
      <c r="V30" s="70"/>
      <c r="W30" s="70"/>
      <c r="X30" s="70"/>
      <c r="Y30" s="120"/>
      <c r="Z30" s="120"/>
      <c r="AA30" s="70"/>
      <c r="AB30" s="70"/>
      <c r="AC30" s="70"/>
      <c r="AD30" s="70"/>
      <c r="AE30" s="70"/>
      <c r="AF30" s="120"/>
      <c r="AG30" s="12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70"/>
      <c r="J31" s="70"/>
      <c r="K31" s="120"/>
      <c r="L31" s="120"/>
      <c r="M31" s="70"/>
      <c r="N31" s="70"/>
      <c r="O31" s="70"/>
      <c r="P31" s="70"/>
      <c r="Q31" s="70"/>
      <c r="R31" s="120"/>
      <c r="S31" s="120"/>
      <c r="T31" s="70"/>
      <c r="U31" s="70"/>
      <c r="V31" s="70">
        <v>8</v>
      </c>
      <c r="W31" s="70">
        <v>8</v>
      </c>
      <c r="X31" s="70">
        <v>12</v>
      </c>
      <c r="Y31" s="120">
        <v>12</v>
      </c>
      <c r="Z31" s="120"/>
      <c r="AA31" s="70"/>
      <c r="AB31" s="70">
        <v>12</v>
      </c>
      <c r="AC31" s="70">
        <v>8</v>
      </c>
      <c r="AD31" s="70">
        <v>20</v>
      </c>
      <c r="AE31" s="70"/>
      <c r="AF31" s="120"/>
      <c r="AG31" s="120"/>
      <c r="AH31" s="70"/>
      <c r="AI31" s="70"/>
      <c r="AJ31" s="70"/>
      <c r="AK31" s="78">
        <f t="shared" si="1"/>
        <v>80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70"/>
      <c r="J32" s="70"/>
      <c r="K32" s="128"/>
      <c r="L32" s="128"/>
      <c r="M32" s="108"/>
      <c r="N32" s="108"/>
      <c r="O32" s="108"/>
      <c r="P32" s="70"/>
      <c r="Q32" s="70"/>
      <c r="R32" s="120"/>
      <c r="S32" s="128"/>
      <c r="T32" s="108"/>
      <c r="U32" s="108"/>
      <c r="V32" s="108"/>
      <c r="W32" s="108"/>
      <c r="X32" s="108"/>
      <c r="Y32" s="128"/>
      <c r="Z32" s="128"/>
      <c r="AA32" s="108"/>
      <c r="AB32" s="108"/>
      <c r="AC32" s="108"/>
      <c r="AD32" s="108"/>
      <c r="AE32" s="108"/>
      <c r="AF32" s="128"/>
      <c r="AG32" s="128"/>
      <c r="AH32" s="144"/>
      <c r="AI32" s="144"/>
      <c r="AJ32" s="144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70"/>
      <c r="J33" s="70"/>
      <c r="K33" s="120"/>
      <c r="L33" s="120"/>
      <c r="M33" s="70"/>
      <c r="N33" s="70"/>
      <c r="O33" s="70"/>
      <c r="P33" s="70"/>
      <c r="Q33" s="70"/>
      <c r="R33" s="120"/>
      <c r="S33" s="120"/>
      <c r="T33" s="70"/>
      <c r="U33" s="70"/>
      <c r="V33" s="70"/>
      <c r="W33" s="70"/>
      <c r="X33" s="70"/>
      <c r="Y33" s="120"/>
      <c r="Z33" s="120"/>
      <c r="AA33" s="70"/>
      <c r="AB33" s="70"/>
      <c r="AC33" s="70">
        <v>8</v>
      </c>
      <c r="AD33" s="70">
        <v>12</v>
      </c>
      <c r="AE33" s="70"/>
      <c r="AF33" s="120"/>
      <c r="AG33" s="120"/>
      <c r="AH33" s="70"/>
      <c r="AI33" s="70"/>
      <c r="AJ33" s="70"/>
      <c r="AK33" s="78">
        <f t="shared" si="1"/>
        <v>20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70"/>
      <c r="J34" s="70"/>
      <c r="K34" s="120"/>
      <c r="L34" s="120"/>
      <c r="M34" s="70"/>
      <c r="N34" s="70"/>
      <c r="O34" s="70"/>
      <c r="P34" s="70"/>
      <c r="Q34" s="70"/>
      <c r="R34" s="120"/>
      <c r="S34" s="120"/>
      <c r="T34" s="70"/>
      <c r="U34" s="70"/>
      <c r="V34" s="70"/>
      <c r="W34" s="70"/>
      <c r="X34" s="70"/>
      <c r="Y34" s="120"/>
      <c r="Z34" s="120"/>
      <c r="AA34" s="70">
        <v>12</v>
      </c>
      <c r="AB34" s="70"/>
      <c r="AC34" s="70"/>
      <c r="AD34" s="70">
        <v>8</v>
      </c>
      <c r="AE34" s="70"/>
      <c r="AF34" s="120"/>
      <c r="AG34" s="120"/>
      <c r="AH34" s="70"/>
      <c r="AI34" s="70"/>
      <c r="AJ34" s="70"/>
      <c r="AK34" s="78">
        <f t="shared" si="1"/>
        <v>20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70"/>
      <c r="J35" s="70"/>
      <c r="K35" s="120"/>
      <c r="L35" s="120"/>
      <c r="M35" s="70"/>
      <c r="N35" s="70"/>
      <c r="O35" s="70"/>
      <c r="P35" s="70"/>
      <c r="Q35" s="70"/>
      <c r="R35" s="120"/>
      <c r="S35" s="120"/>
      <c r="T35" s="70"/>
      <c r="U35" s="70"/>
      <c r="V35" s="70"/>
      <c r="W35" s="70"/>
      <c r="X35" s="70"/>
      <c r="Y35" s="120"/>
      <c r="Z35" s="120"/>
      <c r="AA35" s="70">
        <v>8</v>
      </c>
      <c r="AB35" s="70">
        <v>8</v>
      </c>
      <c r="AC35" s="70">
        <v>8</v>
      </c>
      <c r="AD35" s="70">
        <v>8</v>
      </c>
      <c r="AE35" s="70"/>
      <c r="AF35" s="120"/>
      <c r="AG35" s="120"/>
      <c r="AH35" s="70"/>
      <c r="AI35" s="70"/>
      <c r="AJ35" s="70"/>
      <c r="AK35" s="78">
        <f t="shared" si="1"/>
        <v>32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70"/>
      <c r="J36" s="70"/>
      <c r="K36" s="120"/>
      <c r="L36" s="120"/>
      <c r="M36" s="70"/>
      <c r="N36" s="70"/>
      <c r="O36" s="70"/>
      <c r="P36" s="70"/>
      <c r="Q36" s="70"/>
      <c r="R36" s="120"/>
      <c r="S36" s="120"/>
      <c r="T36" s="70"/>
      <c r="U36" s="70"/>
      <c r="V36" s="70"/>
      <c r="W36" s="70"/>
      <c r="X36" s="70"/>
      <c r="Y36" s="120"/>
      <c r="Z36" s="120"/>
      <c r="AA36" s="70"/>
      <c r="AB36" s="70"/>
      <c r="AC36" s="70"/>
      <c r="AD36" s="70"/>
      <c r="AE36" s="70"/>
      <c r="AF36" s="120"/>
      <c r="AG36" s="12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4"/>
      <c r="J37" s="64"/>
      <c r="K37" s="68"/>
      <c r="L37" s="68"/>
      <c r="M37" s="64"/>
      <c r="N37" s="64"/>
      <c r="O37" s="64"/>
      <c r="P37" s="64"/>
      <c r="Q37" s="64"/>
      <c r="R37" s="68"/>
      <c r="S37" s="68"/>
      <c r="T37" s="64"/>
      <c r="U37" s="64"/>
      <c r="V37" s="64"/>
      <c r="W37" s="64"/>
      <c r="X37" s="64"/>
      <c r="Y37" s="68"/>
      <c r="Z37" s="68"/>
      <c r="AA37" s="64"/>
      <c r="AB37" s="64"/>
      <c r="AC37" s="64"/>
      <c r="AD37" s="64"/>
      <c r="AE37" s="64"/>
      <c r="AF37" s="68"/>
      <c r="AG37" s="68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4"/>
      <c r="J38" s="64"/>
      <c r="K38" s="68"/>
      <c r="L38" s="68"/>
      <c r="M38" s="64"/>
      <c r="N38" s="64"/>
      <c r="O38" s="64"/>
      <c r="P38" s="64"/>
      <c r="Q38" s="64"/>
      <c r="R38" s="68"/>
      <c r="S38" s="68"/>
      <c r="T38" s="64"/>
      <c r="U38" s="64"/>
      <c r="V38" s="64"/>
      <c r="W38" s="64"/>
      <c r="X38" s="64"/>
      <c r="Y38" s="68"/>
      <c r="Z38" s="68"/>
      <c r="AA38" s="64"/>
      <c r="AB38" s="64"/>
      <c r="AC38" s="64"/>
      <c r="AD38" s="64"/>
      <c r="AE38" s="64">
        <v>12</v>
      </c>
      <c r="AF38" s="68"/>
      <c r="AG38" s="68"/>
      <c r="AH38" s="64"/>
      <c r="AI38" s="64"/>
      <c r="AJ38" s="64"/>
      <c r="AK38" s="78">
        <f t="shared" si="1"/>
        <v>12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70"/>
      <c r="J39" s="70"/>
      <c r="K39" s="120"/>
      <c r="L39" s="120"/>
      <c r="M39" s="70"/>
      <c r="N39" s="70"/>
      <c r="O39" s="70"/>
      <c r="P39" s="70">
        <v>8</v>
      </c>
      <c r="Q39" s="70">
        <v>8</v>
      </c>
      <c r="R39" s="120"/>
      <c r="S39" s="120"/>
      <c r="T39" s="70"/>
      <c r="U39" s="70"/>
      <c r="V39" s="70"/>
      <c r="W39" s="70"/>
      <c r="X39" s="70"/>
      <c r="Y39" s="120"/>
      <c r="Z39" s="120"/>
      <c r="AA39" s="70"/>
      <c r="AB39" s="70"/>
      <c r="AC39" s="70"/>
      <c r="AD39" s="70"/>
      <c r="AE39" s="70"/>
      <c r="AF39" s="120"/>
      <c r="AG39" s="120"/>
      <c r="AH39" s="70"/>
      <c r="AI39" s="70"/>
      <c r="AJ39" s="70"/>
      <c r="AK39" s="78">
        <f t="shared" si="1"/>
        <v>16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92"/>
      <c r="J40" s="92"/>
      <c r="K40" s="124"/>
      <c r="L40" s="124"/>
      <c r="M40" s="92"/>
      <c r="N40" s="92"/>
      <c r="O40" s="92"/>
      <c r="P40" s="92"/>
      <c r="Q40" s="92"/>
      <c r="R40" s="124"/>
      <c r="S40" s="124"/>
      <c r="T40" s="92"/>
      <c r="U40" s="92"/>
      <c r="V40" s="92"/>
      <c r="W40" s="92"/>
      <c r="X40" s="92"/>
      <c r="Y40" s="124"/>
      <c r="Z40" s="124"/>
      <c r="AA40" s="92"/>
      <c r="AB40" s="92"/>
      <c r="AC40" s="92"/>
      <c r="AD40" s="92"/>
      <c r="AE40" s="92"/>
      <c r="AF40" s="124"/>
      <c r="AG40" s="124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62"/>
      <c r="J42" s="62"/>
      <c r="K42" s="127"/>
      <c r="L42" s="68"/>
      <c r="M42" s="64"/>
      <c r="N42" s="62"/>
      <c r="O42" s="62"/>
      <c r="P42" s="62"/>
      <c r="Q42" s="62"/>
      <c r="R42" s="127"/>
      <c r="S42" s="68"/>
      <c r="T42" s="64"/>
      <c r="U42" s="62"/>
      <c r="V42" s="62"/>
      <c r="W42" s="62"/>
      <c r="X42" s="62"/>
      <c r="Y42" s="127"/>
      <c r="Z42" s="68"/>
      <c r="AA42" s="64"/>
      <c r="AB42" s="62">
        <v>16</v>
      </c>
      <c r="AC42" s="62"/>
      <c r="AD42" s="62"/>
      <c r="AE42" s="62"/>
      <c r="AF42" s="127"/>
      <c r="AG42" s="68"/>
      <c r="AH42"/>
      <c r="AI42"/>
      <c r="AJ42"/>
      <c r="AK42" s="78">
        <f t="shared" si="1"/>
        <v>16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62">
        <v>8</v>
      </c>
      <c r="J43" s="62"/>
      <c r="K43" s="127"/>
      <c r="N43" s="62"/>
      <c r="O43" s="62"/>
      <c r="P43" s="62"/>
      <c r="Q43" s="62"/>
      <c r="R43" s="127"/>
      <c r="U43" s="62"/>
      <c r="V43" s="62"/>
      <c r="W43" s="62"/>
      <c r="X43" s="62"/>
      <c r="Y43" s="127"/>
      <c r="AB43" s="62"/>
      <c r="AC43" s="62"/>
      <c r="AD43" s="62"/>
      <c r="AE43" s="62"/>
      <c r="AF43" s="127"/>
      <c r="AH43"/>
      <c r="AI43"/>
      <c r="AJ43"/>
      <c r="AK43" s="78">
        <f t="shared" si="1"/>
        <v>8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62"/>
      <c r="J44" s="62"/>
      <c r="K44" s="127"/>
      <c r="L44" s="68"/>
      <c r="M44" s="64"/>
      <c r="N44" s="62"/>
      <c r="O44" s="62"/>
      <c r="P44" s="62"/>
      <c r="Q44" s="62"/>
      <c r="R44" s="127"/>
      <c r="S44" s="68"/>
      <c r="T44" s="64"/>
      <c r="U44" s="62"/>
      <c r="V44" s="62"/>
      <c r="W44" s="62">
        <v>7.5</v>
      </c>
      <c r="X44" s="62"/>
      <c r="Y44" s="127"/>
      <c r="Z44" s="68"/>
      <c r="AA44" s="64"/>
      <c r="AB44" s="62"/>
      <c r="AC44" s="62"/>
      <c r="AD44" s="62"/>
      <c r="AE44" s="62"/>
      <c r="AF44" s="127"/>
      <c r="AG44" s="68"/>
      <c r="AH44"/>
      <c r="AI44"/>
      <c r="AJ44"/>
      <c r="AK44" s="78">
        <f t="shared" si="1"/>
        <v>7.5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62"/>
      <c r="J45" s="62"/>
      <c r="K45" s="127"/>
      <c r="L45" s="68"/>
      <c r="M45" s="64"/>
      <c r="N45" s="62"/>
      <c r="O45" s="62"/>
      <c r="P45" s="62"/>
      <c r="Q45" s="62"/>
      <c r="R45" s="127"/>
      <c r="S45" s="68"/>
      <c r="T45" s="64"/>
      <c r="U45" s="62"/>
      <c r="V45" s="62"/>
      <c r="W45" s="62"/>
      <c r="X45" s="62"/>
      <c r="Y45" s="127"/>
      <c r="Z45" s="68"/>
      <c r="AA45" s="64">
        <v>8</v>
      </c>
      <c r="AB45" s="62"/>
      <c r="AC45" s="62">
        <v>8</v>
      </c>
      <c r="AD45" s="62">
        <v>8</v>
      </c>
      <c r="AE45" s="62">
        <v>8</v>
      </c>
      <c r="AF45" s="127"/>
      <c r="AG45" s="68"/>
      <c r="AH45"/>
      <c r="AI45"/>
      <c r="AJ45"/>
      <c r="AK45" s="78">
        <f t="shared" si="1"/>
        <v>32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62"/>
      <c r="J46" s="62"/>
      <c r="K46" s="127"/>
      <c r="L46" s="68"/>
      <c r="M46" s="64"/>
      <c r="N46" s="62"/>
      <c r="O46" s="62"/>
      <c r="P46" s="62"/>
      <c r="Q46" s="62"/>
      <c r="R46" s="127"/>
      <c r="S46" s="68"/>
      <c r="T46" s="64"/>
      <c r="U46" s="62"/>
      <c r="V46" s="62"/>
      <c r="W46" s="62"/>
      <c r="X46" s="62"/>
      <c r="Y46" s="127"/>
      <c r="Z46" s="68"/>
      <c r="AA46" s="64"/>
      <c r="AB46" s="62"/>
      <c r="AC46" s="62"/>
      <c r="AD46" s="62"/>
      <c r="AE46" s="62"/>
      <c r="AF46" s="127"/>
      <c r="AG46" s="68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62"/>
      <c r="J47" s="62"/>
      <c r="K47" s="127"/>
      <c r="L47" s="68"/>
      <c r="M47" s="64"/>
      <c r="N47" s="62"/>
      <c r="O47" s="62"/>
      <c r="P47" s="62"/>
      <c r="Q47" s="62"/>
      <c r="R47" s="127"/>
      <c r="S47" s="68"/>
      <c r="T47" s="64"/>
      <c r="U47" s="62"/>
      <c r="V47" s="62"/>
      <c r="W47" s="62"/>
      <c r="X47" s="62"/>
      <c r="Y47" s="127"/>
      <c r="Z47" s="68"/>
      <c r="AA47" s="64"/>
      <c r="AB47" s="62"/>
      <c r="AC47" s="62"/>
      <c r="AD47" s="62"/>
      <c r="AE47" s="62"/>
      <c r="AF47" s="127"/>
      <c r="AG47" s="68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62">
        <v>8</v>
      </c>
      <c r="J48" s="62"/>
      <c r="K48" s="127"/>
      <c r="L48" s="68"/>
      <c r="M48" s="64"/>
      <c r="N48" s="62"/>
      <c r="O48" s="62"/>
      <c r="P48" s="62">
        <v>8</v>
      </c>
      <c r="Q48" s="62"/>
      <c r="R48" s="127"/>
      <c r="S48" s="68"/>
      <c r="T48" s="64"/>
      <c r="U48" s="62"/>
      <c r="V48" s="62"/>
      <c r="W48" s="62"/>
      <c r="X48" s="62"/>
      <c r="Y48" s="127"/>
      <c r="Z48" s="68"/>
      <c r="AA48" s="64"/>
      <c r="AB48" s="62"/>
      <c r="AC48" s="62"/>
      <c r="AD48" s="62"/>
      <c r="AE48" s="62"/>
      <c r="AF48" s="127"/>
      <c r="AG48" s="68"/>
      <c r="AH48"/>
      <c r="AI48"/>
      <c r="AJ48"/>
      <c r="AK48" s="78">
        <f t="shared" si="1"/>
        <v>16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62"/>
      <c r="J49" s="62"/>
      <c r="K49" s="127"/>
      <c r="L49" s="68"/>
      <c r="M49" s="64"/>
      <c r="N49" s="62"/>
      <c r="O49" s="62"/>
      <c r="P49" s="62"/>
      <c r="Q49" s="62"/>
      <c r="R49" s="127"/>
      <c r="S49" s="68"/>
      <c r="T49" s="64"/>
      <c r="U49" s="62"/>
      <c r="V49" s="62"/>
      <c r="W49" s="62"/>
      <c r="X49" s="62"/>
      <c r="Y49" s="127"/>
      <c r="Z49" s="68"/>
      <c r="AA49" s="64">
        <v>8</v>
      </c>
      <c r="AB49" s="62">
        <v>8</v>
      </c>
      <c r="AC49" s="62">
        <v>8</v>
      </c>
      <c r="AD49" s="62">
        <v>8</v>
      </c>
      <c r="AE49" s="62"/>
      <c r="AF49" s="127"/>
      <c r="AG49" s="68"/>
      <c r="AH49">
        <v>8</v>
      </c>
      <c r="AI49">
        <v>8</v>
      </c>
      <c r="AJ49">
        <v>8</v>
      </c>
      <c r="AK49" s="78">
        <f t="shared" si="1"/>
        <v>56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62"/>
      <c r="J50" s="62"/>
      <c r="K50" s="127"/>
      <c r="L50" s="68"/>
      <c r="M50" s="64"/>
      <c r="N50" s="62"/>
      <c r="O50" s="62"/>
      <c r="P50" s="62"/>
      <c r="Q50" s="62"/>
      <c r="R50" s="127"/>
      <c r="S50" s="68"/>
      <c r="T50" s="64"/>
      <c r="U50" s="62"/>
      <c r="V50" s="62"/>
      <c r="W50" s="62"/>
      <c r="X50" s="62"/>
      <c r="Y50" s="127"/>
      <c r="Z50" s="68"/>
      <c r="AA50" s="64"/>
      <c r="AB50" s="62"/>
      <c r="AC50" s="62"/>
      <c r="AD50" s="62"/>
      <c r="AE50" s="62"/>
      <c r="AF50" s="127"/>
      <c r="AG50" s="68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62"/>
      <c r="J51" s="62"/>
      <c r="K51" s="127">
        <v>24</v>
      </c>
      <c r="L51" s="68"/>
      <c r="M51" s="64"/>
      <c r="N51" s="62"/>
      <c r="O51" s="62"/>
      <c r="P51" s="62"/>
      <c r="Q51" s="62"/>
      <c r="R51" s="127"/>
      <c r="S51" s="68"/>
      <c r="T51" s="64"/>
      <c r="U51" s="62"/>
      <c r="V51" s="62"/>
      <c r="W51" s="62"/>
      <c r="X51" s="62"/>
      <c r="Y51" s="127"/>
      <c r="Z51" s="68"/>
      <c r="AA51" s="64"/>
      <c r="AB51" s="62"/>
      <c r="AC51" s="62"/>
      <c r="AD51" s="62"/>
      <c r="AE51" s="62">
        <v>8</v>
      </c>
      <c r="AF51" s="127"/>
      <c r="AG51" s="68"/>
      <c r="AH51"/>
      <c r="AI51"/>
      <c r="AJ51"/>
      <c r="AK51" s="78">
        <f t="shared" si="1"/>
        <v>32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62"/>
      <c r="J52" s="62"/>
      <c r="K52" s="127"/>
      <c r="L52" s="68"/>
      <c r="M52" s="64"/>
      <c r="N52" s="62"/>
      <c r="O52" s="62"/>
      <c r="P52" s="62"/>
      <c r="Q52" s="62"/>
      <c r="R52" s="127"/>
      <c r="S52" s="68"/>
      <c r="T52" s="64"/>
      <c r="U52" s="62"/>
      <c r="V52" s="62"/>
      <c r="W52" s="62"/>
      <c r="X52" s="62"/>
      <c r="Y52" s="127"/>
      <c r="Z52" s="68"/>
      <c r="AA52" s="64"/>
      <c r="AB52" s="62">
        <v>8</v>
      </c>
      <c r="AC52" s="62"/>
      <c r="AD52" s="62"/>
      <c r="AE52" s="62"/>
      <c r="AF52" s="127">
        <v>24</v>
      </c>
      <c r="AG52" s="68"/>
      <c r="AH52"/>
      <c r="AI52"/>
      <c r="AJ52"/>
      <c r="AK52" s="78">
        <f t="shared" si="1"/>
        <v>32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62"/>
      <c r="J53" s="62"/>
      <c r="K53" s="127"/>
      <c r="L53" s="68"/>
      <c r="M53" s="64"/>
      <c r="N53" s="62"/>
      <c r="O53" s="62"/>
      <c r="P53" s="62"/>
      <c r="Q53" s="62"/>
      <c r="R53" s="127"/>
      <c r="S53" s="68"/>
      <c r="T53" s="64"/>
      <c r="U53" s="62"/>
      <c r="V53" s="62"/>
      <c r="W53" s="62"/>
      <c r="X53" s="62"/>
      <c r="Y53" s="127"/>
      <c r="Z53" s="68"/>
      <c r="AA53" s="64"/>
      <c r="AB53" s="62"/>
      <c r="AC53" s="62"/>
      <c r="AD53" s="62"/>
      <c r="AE53" s="62"/>
      <c r="AF53" s="127"/>
      <c r="AG53" s="68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62"/>
      <c r="J54" s="62"/>
      <c r="K54" s="127"/>
      <c r="L54" s="68"/>
      <c r="M54" s="64"/>
      <c r="N54" s="62"/>
      <c r="O54" s="62"/>
      <c r="P54" s="62"/>
      <c r="Q54" s="62"/>
      <c r="R54" s="127"/>
      <c r="S54" s="68"/>
      <c r="T54" s="64"/>
      <c r="U54" s="62"/>
      <c r="V54" s="62"/>
      <c r="W54" s="62"/>
      <c r="X54" s="62"/>
      <c r="Y54" s="127"/>
      <c r="Z54" s="68"/>
      <c r="AA54" s="64"/>
      <c r="AB54" s="62"/>
      <c r="AC54" s="62"/>
      <c r="AD54" s="62"/>
      <c r="AE54" s="62"/>
      <c r="AF54" s="127"/>
      <c r="AG54" s="68"/>
      <c r="AH54"/>
      <c r="AI54"/>
      <c r="AJ54"/>
      <c r="AK54" s="78">
        <f t="shared" si="1"/>
        <v>0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>
        <v>8</v>
      </c>
      <c r="G55" s="62"/>
      <c r="H55" s="62"/>
      <c r="I55" s="62"/>
      <c r="J55" s="62"/>
      <c r="K55" s="127"/>
      <c r="L55" s="68"/>
      <c r="M55" s="64"/>
      <c r="N55" s="62"/>
      <c r="O55" s="62"/>
      <c r="P55" s="62"/>
      <c r="Q55" s="62"/>
      <c r="R55" s="127"/>
      <c r="S55" s="68"/>
      <c r="T55" s="64"/>
      <c r="U55" s="62"/>
      <c r="V55" s="62"/>
      <c r="W55" s="62"/>
      <c r="X55" s="62">
        <v>8</v>
      </c>
      <c r="Y55" s="127"/>
      <c r="Z55" s="68"/>
      <c r="AA55" s="64">
        <v>8</v>
      </c>
      <c r="AB55" s="62"/>
      <c r="AC55" s="62"/>
      <c r="AD55" s="62"/>
      <c r="AE55" s="62"/>
      <c r="AF55" s="127"/>
      <c r="AG55" s="68"/>
      <c r="AH55"/>
      <c r="AI55"/>
      <c r="AJ55"/>
      <c r="AK55" s="78">
        <f t="shared" si="1"/>
        <v>24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>
        <v>8</v>
      </c>
      <c r="G56" s="62">
        <v>8</v>
      </c>
      <c r="H56" s="62">
        <v>8</v>
      </c>
      <c r="I56" s="62">
        <v>8</v>
      </c>
      <c r="J56" s="62"/>
      <c r="K56" s="127"/>
      <c r="L56" s="68"/>
      <c r="M56" s="64"/>
      <c r="N56" s="62"/>
      <c r="O56" s="62"/>
      <c r="P56" s="62"/>
      <c r="Q56" s="62"/>
      <c r="R56" s="127"/>
      <c r="S56" s="68"/>
      <c r="T56" s="64"/>
      <c r="U56" s="62"/>
      <c r="V56" s="62"/>
      <c r="W56" s="62"/>
      <c r="X56" s="62"/>
      <c r="Y56" s="127"/>
      <c r="Z56" s="68"/>
      <c r="AA56" s="64"/>
      <c r="AB56" s="62"/>
      <c r="AC56" s="62"/>
      <c r="AD56" s="62"/>
      <c r="AE56" s="62"/>
      <c r="AF56" s="127"/>
      <c r="AG56" s="68"/>
      <c r="AH56"/>
      <c r="AI56"/>
      <c r="AJ56"/>
      <c r="AK56" s="78">
        <f t="shared" si="1"/>
        <v>32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62"/>
      <c r="J57" s="62"/>
      <c r="K57" s="127"/>
      <c r="L57" s="68"/>
      <c r="M57" s="64"/>
      <c r="N57" s="62"/>
      <c r="O57" s="62"/>
      <c r="P57" s="62"/>
      <c r="Q57" s="62"/>
      <c r="R57" s="127"/>
      <c r="S57" s="68"/>
      <c r="T57" s="64"/>
      <c r="U57" s="62"/>
      <c r="V57" s="62"/>
      <c r="W57" s="62"/>
      <c r="X57" s="62"/>
      <c r="Y57" s="127"/>
      <c r="Z57" s="68"/>
      <c r="AA57" s="64"/>
      <c r="AB57" s="62"/>
      <c r="AC57" s="62"/>
      <c r="AD57" s="62"/>
      <c r="AE57" s="62"/>
      <c r="AF57" s="127"/>
      <c r="AG57" s="68"/>
      <c r="AH57"/>
      <c r="AI57"/>
      <c r="AJ57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/>
      <c r="G58" s="62"/>
      <c r="H58" s="62"/>
      <c r="I58" s="62"/>
      <c r="J58" s="62"/>
      <c r="K58" s="127"/>
      <c r="L58" s="68"/>
      <c r="M58" s="64"/>
      <c r="N58" s="62"/>
      <c r="O58" s="62">
        <v>-4</v>
      </c>
      <c r="P58" s="62"/>
      <c r="Q58" s="62"/>
      <c r="R58" s="127"/>
      <c r="S58" s="68"/>
      <c r="T58" s="64"/>
      <c r="U58" s="62"/>
      <c r="V58" s="62">
        <v>-4</v>
      </c>
      <c r="W58" s="62">
        <v>8</v>
      </c>
      <c r="X58" s="62">
        <v>8</v>
      </c>
      <c r="Y58" s="127"/>
      <c r="Z58" s="68"/>
      <c r="AA58" s="64"/>
      <c r="AB58" s="62"/>
      <c r="AC58" s="62"/>
      <c r="AD58" s="62"/>
      <c r="AE58" s="62"/>
      <c r="AF58" s="127"/>
      <c r="AG58" s="68"/>
      <c r="AH58"/>
      <c r="AI58"/>
      <c r="AJ58"/>
      <c r="AK58" s="78">
        <f t="shared" si="1"/>
        <v>8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70"/>
      <c r="J59" s="70"/>
      <c r="M59" s="70"/>
      <c r="N59" s="70"/>
      <c r="O59" s="70"/>
      <c r="P59" s="70"/>
      <c r="Q59" s="70"/>
      <c r="T59" s="70"/>
      <c r="U59" s="70"/>
      <c r="V59" s="70"/>
      <c r="W59" s="70"/>
      <c r="X59" s="70"/>
      <c r="AA59" s="70"/>
      <c r="AB59" s="70"/>
      <c r="AC59" s="70"/>
      <c r="AD59" s="70"/>
      <c r="AE59" s="7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73"/>
      <c r="J60" s="73"/>
      <c r="K60" s="124"/>
      <c r="L60" s="124"/>
      <c r="M60" s="73"/>
      <c r="N60" s="73"/>
      <c r="O60" s="73"/>
      <c r="P60" s="73"/>
      <c r="Q60" s="73"/>
      <c r="R60" s="124"/>
      <c r="S60" s="124"/>
      <c r="T60" s="73"/>
      <c r="U60" s="73"/>
      <c r="V60" s="73"/>
      <c r="W60" s="73"/>
      <c r="X60" s="73"/>
      <c r="Y60" s="124"/>
      <c r="Z60" s="124"/>
      <c r="AA60" s="73"/>
      <c r="AB60" s="73"/>
      <c r="AC60" s="73"/>
      <c r="AD60" s="73"/>
      <c r="AE60" s="73"/>
      <c r="AF60" s="124"/>
      <c r="AG60" s="124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70"/>
      <c r="J61" s="70"/>
      <c r="M61" s="70"/>
      <c r="N61" s="70"/>
      <c r="O61" s="70"/>
      <c r="P61" s="70"/>
      <c r="Q61" s="70"/>
      <c r="T61" s="70"/>
      <c r="U61" s="70"/>
      <c r="V61" s="70"/>
      <c r="W61" s="70"/>
      <c r="X61" s="70"/>
      <c r="AA61" s="70"/>
      <c r="AB61" s="70"/>
      <c r="AC61" s="70"/>
      <c r="AD61" s="70"/>
      <c r="AE61" s="7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120"/>
      <c r="N74" s="70"/>
      <c r="O74" s="70"/>
      <c r="P74" s="70"/>
      <c r="R74" s="120"/>
      <c r="S74" s="120"/>
      <c r="T74" s="70"/>
      <c r="U74" s="70"/>
      <c r="V74" s="70"/>
      <c r="W74" s="70"/>
      <c r="X74" s="70"/>
      <c r="Y74" s="120"/>
      <c r="Z74" s="120"/>
      <c r="AA74" s="70"/>
      <c r="AB74" s="70"/>
      <c r="AC74" s="70"/>
      <c r="AD74" s="70"/>
      <c r="AE74" s="70"/>
      <c r="AF74" s="120"/>
      <c r="AG74" s="12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00"/>
      <c r="J76" s="100"/>
      <c r="K76" s="126"/>
      <c r="L76" s="124"/>
      <c r="M76" s="92"/>
      <c r="N76" s="100"/>
      <c r="O76" s="100"/>
      <c r="P76" s="100"/>
      <c r="Q76" s="100"/>
      <c r="R76" s="126"/>
      <c r="S76" s="124"/>
      <c r="T76" s="92"/>
      <c r="U76" s="100"/>
      <c r="V76" s="100"/>
      <c r="W76" s="100"/>
      <c r="X76" s="100"/>
      <c r="Y76" s="126"/>
      <c r="Z76" s="124"/>
      <c r="AA76" s="92"/>
      <c r="AB76" s="100"/>
      <c r="AC76" s="100"/>
      <c r="AD76" s="100"/>
      <c r="AE76" s="100"/>
      <c r="AF76" s="126"/>
      <c r="AG76" s="124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120"/>
      <c r="Z83" s="120"/>
      <c r="AC83" s="70"/>
      <c r="AD83" s="70"/>
      <c r="AF83" s="120"/>
      <c r="AG83" s="12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12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92"/>
      <c r="J87" s="92"/>
      <c r="K87" s="124"/>
      <c r="L87" s="124"/>
      <c r="M87" s="92"/>
      <c r="N87" s="92"/>
      <c r="O87" s="92"/>
      <c r="P87" s="92"/>
      <c r="Q87" s="92"/>
      <c r="R87" s="124"/>
      <c r="S87" s="124"/>
      <c r="T87" s="92"/>
      <c r="U87" s="92"/>
      <c r="V87" s="73"/>
      <c r="W87" s="92"/>
      <c r="X87" s="92"/>
      <c r="Y87" s="121"/>
      <c r="Z87" s="124"/>
      <c r="AA87" s="92"/>
      <c r="AB87" s="92"/>
      <c r="AC87" s="92"/>
      <c r="AD87" s="92"/>
      <c r="AE87" s="92"/>
      <c r="AF87" s="124"/>
      <c r="AG87" s="124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4"/>
      <c r="J88" s="64"/>
      <c r="K88" s="68"/>
      <c r="L88" s="68"/>
      <c r="M88" s="64"/>
      <c r="N88" s="64"/>
      <c r="O88" s="64"/>
      <c r="P88" s="64"/>
      <c r="Q88" s="64"/>
      <c r="R88" s="68"/>
      <c r="S88" s="68"/>
      <c r="T88" s="64"/>
      <c r="U88" s="64"/>
      <c r="V88" s="64"/>
      <c r="W88"/>
      <c r="X88"/>
      <c r="Y88" s="68"/>
      <c r="Z88" s="68"/>
      <c r="AA88"/>
      <c r="AB88" s="64"/>
      <c r="AC88" s="64"/>
      <c r="AD88" s="64"/>
      <c r="AE88" s="64"/>
      <c r="AF88" s="68"/>
      <c r="AG88" s="68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70"/>
      <c r="J89" s="70"/>
      <c r="K89" s="120"/>
      <c r="L89" s="120"/>
      <c r="M89" s="70"/>
      <c r="N89" s="70"/>
      <c r="O89" s="64"/>
      <c r="P89" s="70"/>
      <c r="Q89" s="70"/>
      <c r="R89" s="120"/>
      <c r="S89" s="120"/>
      <c r="T89" s="70"/>
      <c r="U89" s="64"/>
      <c r="V89" s="64"/>
      <c r="W89" s="64"/>
      <c r="X89" s="64"/>
      <c r="Y89" s="120"/>
      <c r="Z89" s="120"/>
      <c r="AA89" s="70"/>
      <c r="AB89" s="70"/>
      <c r="AC89" s="64"/>
      <c r="AD89" s="70"/>
      <c r="AE89" s="64"/>
      <c r="AF89" s="120"/>
      <c r="AG89" s="12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70"/>
      <c r="J90" s="70"/>
      <c r="K90" s="120"/>
      <c r="L90" s="120"/>
      <c r="M90" s="70"/>
      <c r="N90" s="70"/>
      <c r="O90" s="70"/>
      <c r="P90" s="70"/>
      <c r="Q90" s="70"/>
      <c r="R90" s="120"/>
      <c r="S90" s="120"/>
      <c r="T90" s="70"/>
      <c r="U90" s="70"/>
      <c r="V90" s="70"/>
      <c r="W90" s="70"/>
      <c r="X90" s="70"/>
      <c r="Y90" s="120"/>
      <c r="Z90" s="120"/>
      <c r="AA90" s="70"/>
      <c r="AB90" s="70"/>
      <c r="AC90" s="70"/>
      <c r="AD90" s="70"/>
      <c r="AE90" s="70"/>
      <c r="AF90" s="120"/>
      <c r="AG90" s="12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70"/>
      <c r="J91" s="70"/>
      <c r="K91" s="120"/>
      <c r="L91" s="120"/>
      <c r="M91" s="70"/>
      <c r="N91" s="70"/>
      <c r="O91" s="70"/>
      <c r="P91" s="70"/>
      <c r="Q91" s="70"/>
      <c r="R91" s="120"/>
      <c r="S91" s="120"/>
      <c r="T91" s="70"/>
      <c r="U91" s="70"/>
      <c r="V91" s="70"/>
      <c r="W91" s="70"/>
      <c r="X91" s="70"/>
      <c r="Y91" s="120"/>
      <c r="Z91" s="120"/>
      <c r="AA91" s="70"/>
      <c r="AB91" s="70"/>
      <c r="AC91" s="70"/>
      <c r="AD91" s="70"/>
      <c r="AE91" s="70"/>
      <c r="AF91" s="120"/>
      <c r="AG91" s="12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70"/>
      <c r="J92" s="70"/>
      <c r="K92" s="120"/>
      <c r="L92" s="120"/>
      <c r="M92" s="70"/>
      <c r="N92" s="70"/>
      <c r="O92" s="70"/>
      <c r="P92" s="70"/>
      <c r="Q92" s="70"/>
      <c r="R92" s="120"/>
      <c r="S92" s="120"/>
      <c r="T92" s="70"/>
      <c r="U92" s="70"/>
      <c r="V92" s="70"/>
      <c r="W92" s="70"/>
      <c r="X92" s="70"/>
      <c r="Y92" s="120"/>
      <c r="Z92" s="120"/>
      <c r="AA92" s="70"/>
      <c r="AB92" s="70"/>
      <c r="AC92" s="70"/>
      <c r="AD92" s="70"/>
      <c r="AE92" s="70"/>
      <c r="AF92" s="120"/>
      <c r="AG92" s="12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70"/>
      <c r="J93" s="70"/>
      <c r="K93" s="120"/>
      <c r="L93" s="120"/>
      <c r="M93" s="70"/>
      <c r="N93" s="70"/>
      <c r="O93" s="70"/>
      <c r="P93" s="70"/>
      <c r="Q93" s="70"/>
      <c r="R93" s="120"/>
      <c r="S93" s="120"/>
      <c r="T93" s="70"/>
      <c r="U93" s="70"/>
      <c r="V93" s="70"/>
      <c r="W93" s="70"/>
      <c r="X93" s="70"/>
      <c r="Y93" s="120"/>
      <c r="Z93" s="120"/>
      <c r="AA93" s="70"/>
      <c r="AB93" s="70"/>
      <c r="AC93" s="70"/>
      <c r="AD93" s="70"/>
      <c r="AE93" s="70"/>
      <c r="AF93" s="120"/>
      <c r="AG93" s="12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70"/>
      <c r="J94" s="70"/>
      <c r="K94" s="120"/>
      <c r="L94" s="120"/>
      <c r="M94" s="70"/>
      <c r="N94" s="70"/>
      <c r="O94" s="70"/>
      <c r="P94" s="70"/>
      <c r="Q94" s="70"/>
      <c r="R94" s="120"/>
      <c r="S94" s="120"/>
      <c r="T94" s="70"/>
      <c r="U94" s="70"/>
      <c r="V94" s="70"/>
      <c r="W94" s="70"/>
      <c r="X94" s="70"/>
      <c r="Y94" s="120"/>
      <c r="Z94" s="120"/>
      <c r="AA94" s="70"/>
      <c r="AB94" s="70"/>
      <c r="AC94" s="70"/>
      <c r="AD94" s="70"/>
      <c r="AE94" s="70"/>
      <c r="AF94" s="120"/>
      <c r="AG94" s="12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70"/>
      <c r="J95" s="70"/>
      <c r="K95" s="120"/>
      <c r="L95" s="120"/>
      <c r="M95" s="70"/>
      <c r="N95" s="70"/>
      <c r="O95" s="70"/>
      <c r="P95" s="70"/>
      <c r="Q95" s="70"/>
      <c r="R95" s="120"/>
      <c r="S95" s="120"/>
      <c r="T95" s="70"/>
      <c r="U95" s="70"/>
      <c r="V95" s="70"/>
      <c r="W95" s="70"/>
      <c r="X95" s="70"/>
      <c r="Y95" s="120"/>
      <c r="Z95" s="120"/>
      <c r="AA95" s="70"/>
      <c r="AB95" s="70"/>
      <c r="AC95" s="70"/>
      <c r="AD95" s="70"/>
      <c r="AE95" s="70"/>
      <c r="AF95" s="120"/>
      <c r="AG95" s="12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4"/>
      <c r="J105" s="64"/>
      <c r="K105" s="68"/>
      <c r="L105" s="68"/>
      <c r="M105" s="64"/>
      <c r="N105" s="64"/>
      <c r="O105" s="64"/>
      <c r="P105" s="64"/>
      <c r="Q105" s="64"/>
      <c r="R105" s="68"/>
      <c r="S105" s="68"/>
      <c r="T105" s="64"/>
      <c r="U105" s="64"/>
      <c r="V105" s="64"/>
      <c r="W105" s="64"/>
      <c r="X105" s="64"/>
      <c r="Y105" s="68"/>
      <c r="Z105" s="68"/>
      <c r="AA105" s="64"/>
      <c r="AB105" s="64"/>
      <c r="AC105" s="64"/>
      <c r="AD105" s="64"/>
      <c r="AE105" s="64"/>
      <c r="AF105" s="68"/>
      <c r="AG105" s="68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4"/>
      <c r="J106" s="64"/>
      <c r="K106" s="68"/>
      <c r="L106" s="68"/>
      <c r="M106" s="64"/>
      <c r="N106" s="64"/>
      <c r="O106" s="64"/>
      <c r="P106" s="64"/>
      <c r="Q106" s="64"/>
      <c r="R106" s="68"/>
      <c r="S106" s="68"/>
      <c r="T106" s="64"/>
      <c r="U106" s="64"/>
      <c r="V106" s="64"/>
      <c r="W106" s="64"/>
      <c r="X106" s="64"/>
      <c r="Y106" s="68"/>
      <c r="Z106" s="68"/>
      <c r="AA106" s="64"/>
      <c r="AB106" s="64"/>
      <c r="AC106" s="64"/>
      <c r="AD106" s="64"/>
      <c r="AE106" s="64"/>
      <c r="AF106" s="68"/>
      <c r="AG106" s="68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4"/>
      <c r="J107" s="64"/>
      <c r="K107" s="68"/>
      <c r="L107" s="68"/>
      <c r="M107" s="64"/>
      <c r="N107" s="64"/>
      <c r="O107" s="64"/>
      <c r="P107" s="64"/>
      <c r="Q107" s="64"/>
      <c r="R107" s="68"/>
      <c r="S107" s="68"/>
      <c r="T107" s="64"/>
      <c r="U107" s="64"/>
      <c r="V107" s="64"/>
      <c r="W107" s="64"/>
      <c r="X107" s="64"/>
      <c r="Y107" s="68"/>
      <c r="Z107" s="68"/>
      <c r="AA107" s="64"/>
      <c r="AB107" s="64"/>
      <c r="AC107" s="64"/>
      <c r="AD107" s="64"/>
      <c r="AE107" s="64"/>
      <c r="AF107" s="68"/>
      <c r="AG107" s="68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4"/>
      <c r="J108" s="64"/>
      <c r="K108" s="68"/>
      <c r="L108" s="68"/>
      <c r="M108" s="64"/>
      <c r="N108" s="64"/>
      <c r="O108" s="64"/>
      <c r="P108" s="64"/>
      <c r="Q108" s="64"/>
      <c r="R108" s="68"/>
      <c r="S108" s="68"/>
      <c r="T108" s="64"/>
      <c r="U108" s="64"/>
      <c r="V108" s="64"/>
      <c r="W108" s="64"/>
      <c r="X108" s="64"/>
      <c r="Y108" s="68"/>
      <c r="Z108" s="68"/>
      <c r="AA108" s="64"/>
      <c r="AB108" s="64"/>
      <c r="AC108" s="64"/>
      <c r="AD108" s="64"/>
      <c r="AE108" s="64"/>
      <c r="AF108" s="68"/>
      <c r="AG108" s="68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4"/>
      <c r="J109" s="64"/>
      <c r="K109" s="68"/>
      <c r="L109" s="68"/>
      <c r="M109" s="64"/>
      <c r="N109" s="64"/>
      <c r="O109" s="64"/>
      <c r="P109" s="64"/>
      <c r="Q109" s="64"/>
      <c r="R109" s="68"/>
      <c r="S109" s="68"/>
      <c r="T109" s="64"/>
      <c r="U109" s="64"/>
      <c r="V109" s="64"/>
      <c r="W109" s="64"/>
      <c r="X109" s="64"/>
      <c r="Y109" s="68"/>
      <c r="Z109" s="68"/>
      <c r="AA109" s="64"/>
      <c r="AB109" s="64"/>
      <c r="AC109" s="64"/>
      <c r="AD109" s="64"/>
      <c r="AE109" s="64"/>
      <c r="AF109" s="68"/>
      <c r="AG109" s="68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4"/>
      <c r="J110" s="64"/>
      <c r="K110" s="68"/>
      <c r="L110" s="68"/>
      <c r="M110" s="64"/>
      <c r="N110" s="64"/>
      <c r="O110" s="64"/>
      <c r="P110" s="64"/>
      <c r="Q110" s="64"/>
      <c r="R110" s="68"/>
      <c r="S110" s="68"/>
      <c r="T110" s="64"/>
      <c r="U110" s="64"/>
      <c r="V110" s="64"/>
      <c r="W110" s="64"/>
      <c r="X110" s="64"/>
      <c r="Y110" s="68"/>
      <c r="Z110" s="68"/>
      <c r="AA110" s="64"/>
      <c r="AB110" s="64"/>
      <c r="AC110" s="64"/>
      <c r="AD110" s="64"/>
      <c r="AE110" s="64"/>
      <c r="AF110" s="68"/>
      <c r="AG110" s="68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4"/>
      <c r="J111" s="64"/>
      <c r="K111" s="68"/>
      <c r="L111" s="68"/>
      <c r="M111" s="64"/>
      <c r="N111" s="64"/>
      <c r="O111" s="64"/>
      <c r="P111" s="64"/>
      <c r="Q111" s="64"/>
      <c r="R111" s="68"/>
      <c r="S111" s="68"/>
      <c r="T111" s="64"/>
      <c r="U111" s="64"/>
      <c r="V111" s="64"/>
      <c r="W111" s="64"/>
      <c r="X111" s="64"/>
      <c r="Y111" s="68"/>
      <c r="Z111" s="68"/>
      <c r="AA111" s="64"/>
      <c r="AB111" s="64"/>
      <c r="AC111" s="64"/>
      <c r="AD111" s="64"/>
      <c r="AE111" s="64"/>
      <c r="AF111" s="68"/>
      <c r="AG111" s="68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4"/>
      <c r="J112" s="64"/>
      <c r="K112" s="68"/>
      <c r="L112" s="68"/>
      <c r="M112" s="64"/>
      <c r="N112" s="64"/>
      <c r="O112" s="64"/>
      <c r="P112" s="64"/>
      <c r="Q112" s="64"/>
      <c r="R112" s="68"/>
      <c r="S112" s="68"/>
      <c r="T112" s="64"/>
      <c r="U112" s="64"/>
      <c r="V112" s="64"/>
      <c r="W112" s="64"/>
      <c r="X112" s="64"/>
      <c r="Y112" s="68"/>
      <c r="Z112" s="68"/>
      <c r="AA112" s="64"/>
      <c r="AB112" s="64"/>
      <c r="AC112" s="64"/>
      <c r="AD112" s="64"/>
      <c r="AE112" s="64"/>
      <c r="AF112" s="68"/>
      <c r="AG112" s="68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4"/>
      <c r="J113" s="64"/>
      <c r="K113" s="68"/>
      <c r="L113" s="68"/>
      <c r="M113" s="64"/>
      <c r="N113" s="64"/>
      <c r="O113" s="64"/>
      <c r="P113" s="64"/>
      <c r="Q113" s="64"/>
      <c r="R113" s="68"/>
      <c r="S113" s="68"/>
      <c r="T113" s="64"/>
      <c r="U113" s="64"/>
      <c r="V113" s="64"/>
      <c r="W113" s="64"/>
      <c r="X113" s="64"/>
      <c r="Y113" s="68"/>
      <c r="Z113" s="68"/>
      <c r="AA113" s="64"/>
      <c r="AB113" s="64"/>
      <c r="AC113" s="64"/>
      <c r="AD113" s="64"/>
      <c r="AE113" s="64"/>
      <c r="AF113" s="68"/>
      <c r="AG113" s="68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4"/>
      <c r="J114" s="64"/>
      <c r="K114" s="68"/>
      <c r="L114" s="68"/>
      <c r="M114" s="64"/>
      <c r="N114" s="64"/>
      <c r="O114" s="64"/>
      <c r="P114" s="64"/>
      <c r="Q114" s="64"/>
      <c r="R114" s="68"/>
      <c r="S114" s="68"/>
      <c r="T114" s="64"/>
      <c r="U114" s="64"/>
      <c r="V114" s="64"/>
      <c r="W114" s="64"/>
      <c r="X114" s="64"/>
      <c r="Y114" s="68"/>
      <c r="Z114" s="68"/>
      <c r="AA114" s="64"/>
      <c r="AB114" s="64"/>
      <c r="AC114" s="64"/>
      <c r="AD114" s="64"/>
      <c r="AE114" s="64"/>
      <c r="AF114" s="68"/>
      <c r="AG114" s="68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4"/>
      <c r="J115" s="64"/>
      <c r="K115" s="68"/>
      <c r="L115" s="68"/>
      <c r="M115" s="64"/>
      <c r="N115" s="64"/>
      <c r="O115" s="64"/>
      <c r="P115" s="64"/>
      <c r="Q115" s="64"/>
      <c r="R115" s="68"/>
      <c r="S115" s="68"/>
      <c r="T115" s="64"/>
      <c r="U115" s="64"/>
      <c r="V115" s="64"/>
      <c r="W115" s="64"/>
      <c r="X115" s="64"/>
      <c r="Y115" s="68"/>
      <c r="Z115" s="68"/>
      <c r="AA115" s="64"/>
      <c r="AB115" s="64"/>
      <c r="AC115" s="64"/>
      <c r="AD115" s="64"/>
      <c r="AE115" s="64"/>
      <c r="AF115" s="68"/>
      <c r="AG115" s="68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4"/>
      <c r="J116" s="64"/>
      <c r="K116" s="68"/>
      <c r="L116" s="68"/>
      <c r="M116" s="64"/>
      <c r="N116" s="64"/>
      <c r="O116" s="64"/>
      <c r="P116" s="64"/>
      <c r="Q116" s="64"/>
      <c r="R116" s="68"/>
      <c r="S116" s="68"/>
      <c r="T116" s="64"/>
      <c r="U116" s="64"/>
      <c r="V116" s="64"/>
      <c r="W116" s="64"/>
      <c r="X116" s="64"/>
      <c r="Y116" s="68"/>
      <c r="Z116" s="68"/>
      <c r="AA116" s="64"/>
      <c r="AB116" s="64"/>
      <c r="AC116" s="64"/>
      <c r="AD116" s="64"/>
      <c r="AE116" s="64"/>
      <c r="AF116" s="68"/>
      <c r="AG116" s="68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92"/>
      <c r="J117" s="92"/>
      <c r="K117" s="124"/>
      <c r="L117" s="124"/>
      <c r="M117" s="92"/>
      <c r="N117" s="92"/>
      <c r="O117" s="92"/>
      <c r="P117" s="92"/>
      <c r="Q117" s="92"/>
      <c r="R117" s="124"/>
      <c r="S117" s="124"/>
      <c r="T117" s="92"/>
      <c r="U117" s="92"/>
      <c r="V117" s="92"/>
      <c r="W117" s="92"/>
      <c r="X117" s="92"/>
      <c r="Y117" s="124"/>
      <c r="Z117" s="124"/>
      <c r="AA117" s="92"/>
      <c r="AB117" s="92"/>
      <c r="AC117" s="92"/>
      <c r="AD117" s="92"/>
      <c r="AE117" s="92"/>
      <c r="AF117" s="124"/>
      <c r="AG117" s="124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120"/>
      <c r="Z118" s="120"/>
      <c r="AC118" s="70"/>
      <c r="AD118" s="70"/>
      <c r="AF118" s="120"/>
      <c r="AG118" s="12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23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4"/>
      <c r="J122" s="64"/>
      <c r="K122" s="68"/>
      <c r="L122" s="68"/>
      <c r="M122" s="64"/>
      <c r="N122" s="64"/>
      <c r="O122" s="64"/>
      <c r="P122" s="64"/>
      <c r="Q122" s="80"/>
      <c r="R122" s="120"/>
      <c r="S122" s="68"/>
      <c r="T122" s="64"/>
      <c r="U122" s="70"/>
      <c r="V122" s="64"/>
      <c r="W122" s="64"/>
      <c r="X122" s="64"/>
      <c r="Y122" s="68"/>
      <c r="Z122" s="68"/>
      <c r="AA122" s="64"/>
      <c r="AB122" s="64"/>
      <c r="AC122" s="80"/>
      <c r="AD122" s="64"/>
      <c r="AE122" s="64"/>
      <c r="AF122" s="68"/>
      <c r="AG122" s="68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12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4"/>
      <c r="J126" s="64"/>
      <c r="K126" s="68"/>
      <c r="L126" s="68"/>
      <c r="M126" s="70"/>
      <c r="N126" s="64"/>
      <c r="O126" s="64"/>
      <c r="P126" s="64"/>
      <c r="Q126" s="70"/>
      <c r="R126" s="68"/>
      <c r="S126" s="120"/>
      <c r="T126" s="64"/>
      <c r="U126" s="64"/>
      <c r="V126" s="64"/>
      <c r="W126" s="70"/>
      <c r="X126" s="64"/>
      <c r="Y126" s="68"/>
      <c r="Z126" s="68"/>
      <c r="AA126" s="64"/>
      <c r="AB126" s="64"/>
      <c r="AC126" s="64"/>
      <c r="AD126" s="64"/>
      <c r="AE126" s="64"/>
      <c r="AF126" s="68"/>
      <c r="AG126" s="68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12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70"/>
      <c r="J128" s="70"/>
      <c r="M128" s="70"/>
      <c r="N128" s="70"/>
      <c r="O128" s="70"/>
      <c r="P128" s="70"/>
      <c r="Q128" s="70"/>
      <c r="R128" s="120"/>
      <c r="S128" s="120"/>
      <c r="T128" s="70"/>
      <c r="V128" s="70"/>
      <c r="W128" s="70"/>
      <c r="X128" s="70"/>
      <c r="Z128" s="120"/>
      <c r="AA128" s="70"/>
      <c r="AB128" s="70"/>
      <c r="AC128" s="70"/>
      <c r="AD128" s="70"/>
      <c r="AE128" s="70"/>
      <c r="AF128" s="120"/>
      <c r="AG128" s="12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127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70"/>
      <c r="J134" s="70"/>
      <c r="M134" s="70"/>
      <c r="N134" s="70"/>
      <c r="O134" s="70"/>
      <c r="P134" s="70"/>
      <c r="Q134" s="70"/>
      <c r="R134" s="120"/>
      <c r="T134" s="70"/>
      <c r="U134" s="70"/>
      <c r="V134" s="70"/>
      <c r="Y134" s="120"/>
      <c r="Z134" s="120"/>
      <c r="AA134" s="70"/>
      <c r="AB134" s="70"/>
      <c r="AC134" s="7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0"/>
      <c r="AD135" s="70"/>
      <c r="AF135" s="12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73"/>
      <c r="J136" s="73"/>
      <c r="K136" s="121"/>
      <c r="L136" s="121"/>
      <c r="M136" s="73"/>
      <c r="N136" s="73"/>
      <c r="O136" s="73"/>
      <c r="P136" s="73"/>
      <c r="Q136" s="73"/>
      <c r="R136" s="121"/>
      <c r="S136" s="121"/>
      <c r="T136" s="73"/>
      <c r="U136" s="73"/>
      <c r="V136" s="73"/>
      <c r="W136" s="73"/>
      <c r="X136" s="73"/>
      <c r="Y136" s="121"/>
      <c r="Z136" s="121"/>
      <c r="AA136" s="73"/>
      <c r="AB136" s="73"/>
      <c r="AC136" s="73"/>
      <c r="AD136" s="73"/>
      <c r="AE136" s="73"/>
      <c r="AF136" s="121"/>
      <c r="AG136" s="121"/>
      <c r="AH136" s="73"/>
      <c r="AI136" s="73"/>
      <c r="AJ136" s="73"/>
      <c r="AK136" s="71">
        <f>SUM(AK3:AK135)</f>
        <v>526.29999999999995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70"/>
      <c r="J137" s="70"/>
      <c r="K137" s="120"/>
      <c r="L137" s="120"/>
      <c r="M137" s="70"/>
      <c r="N137" s="70"/>
      <c r="O137" s="70"/>
      <c r="P137" s="70"/>
      <c r="Q137" s="70"/>
      <c r="R137" s="120"/>
      <c r="S137" s="120"/>
      <c r="T137" s="70"/>
      <c r="U137" s="70"/>
      <c r="V137" s="70"/>
      <c r="W137" s="70"/>
      <c r="X137" s="70"/>
      <c r="Y137" s="120"/>
      <c r="Z137" s="120"/>
      <c r="AA137" s="70"/>
      <c r="AB137" s="70"/>
      <c r="AC137" s="70"/>
      <c r="AD137" s="64"/>
      <c r="AE137" s="64"/>
      <c r="AF137" s="68"/>
      <c r="AG137" s="68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4"/>
      <c r="J138" s="64"/>
      <c r="K138" s="68"/>
      <c r="L138" s="68"/>
      <c r="M138" s="64"/>
      <c r="N138" s="64"/>
      <c r="O138" s="64"/>
      <c r="P138" s="64"/>
      <c r="Q138" s="64"/>
      <c r="R138" s="68"/>
      <c r="S138" s="68"/>
      <c r="T138" s="64"/>
      <c r="U138" s="64"/>
      <c r="V138" s="64"/>
      <c r="W138" s="64"/>
      <c r="X138" s="64"/>
      <c r="Y138" s="68"/>
      <c r="Z138" s="68"/>
      <c r="AA138" s="64"/>
      <c r="AB138" s="64"/>
      <c r="AC138" s="64"/>
      <c r="AD138" s="64"/>
      <c r="AE138" s="64"/>
      <c r="AF138" s="68"/>
      <c r="AG138" s="68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I146" s="64"/>
      <c r="J146" s="64"/>
      <c r="M146" s="64"/>
      <c r="N146" s="64"/>
      <c r="O146" s="64"/>
      <c r="P146" s="64"/>
      <c r="Q146" s="64"/>
      <c r="T146" s="64"/>
      <c r="U146" s="64"/>
      <c r="V146" s="64"/>
      <c r="W146" s="64"/>
      <c r="X146" s="64"/>
      <c r="AA146" s="64"/>
      <c r="AB146" s="64"/>
      <c r="AC146" s="64"/>
      <c r="AD146" s="64"/>
      <c r="AE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I147" s="64"/>
      <c r="J147" s="64"/>
      <c r="M147" s="64"/>
      <c r="N147" s="64"/>
      <c r="O147" s="64"/>
      <c r="P147" s="64"/>
      <c r="Q147" s="64"/>
      <c r="T147" s="64"/>
      <c r="U147" s="64"/>
      <c r="V147" s="64"/>
      <c r="W147" s="64"/>
      <c r="X147" s="64"/>
      <c r="AA147" s="64"/>
      <c r="AB147" s="64"/>
      <c r="AC147" s="64"/>
      <c r="AD147" s="64"/>
      <c r="AE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I148" s="64"/>
      <c r="J148" s="64"/>
      <c r="M148" s="64"/>
      <c r="N148" s="64"/>
      <c r="O148" s="64"/>
      <c r="P148" s="64"/>
      <c r="Q148" s="64"/>
      <c r="T148" s="64"/>
      <c r="U148" s="64"/>
      <c r="V148" s="64"/>
      <c r="W148" s="64"/>
      <c r="X148" s="64"/>
      <c r="AA148" s="64"/>
      <c r="AB148" s="64"/>
      <c r="AC148" s="64"/>
      <c r="AD148" s="64"/>
      <c r="AE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I149" s="64"/>
      <c r="J149" s="64"/>
      <c r="M149" s="64"/>
      <c r="N149" s="64"/>
      <c r="O149" s="64"/>
      <c r="P149" s="64"/>
      <c r="Q149" s="64"/>
      <c r="T149" s="64"/>
      <c r="U149" s="64"/>
      <c r="V149" s="64"/>
      <c r="W149" s="64"/>
      <c r="X149" s="64"/>
      <c r="AA149" s="64"/>
      <c r="AB149" s="64"/>
      <c r="AC149" s="64"/>
      <c r="AD149" s="64"/>
      <c r="AE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I150" s="64"/>
      <c r="J150" s="64"/>
      <c r="M150" s="64"/>
      <c r="N150" s="64"/>
      <c r="O150" s="64"/>
      <c r="P150" s="64"/>
      <c r="Q150" s="64"/>
      <c r="T150" s="64"/>
      <c r="U150" s="64"/>
      <c r="V150" s="64"/>
      <c r="W150" s="64"/>
      <c r="X150" s="64"/>
      <c r="AA150" s="64"/>
      <c r="AB150" s="64"/>
      <c r="AC150" s="64"/>
      <c r="AD150" s="64"/>
      <c r="AE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I151" s="64"/>
      <c r="J151" s="64"/>
      <c r="M151" s="64"/>
      <c r="N151" s="64"/>
      <c r="O151" s="64"/>
      <c r="P151" s="64"/>
      <c r="Q151" s="64"/>
      <c r="T151" s="64"/>
      <c r="U151" s="64"/>
      <c r="V151" s="64"/>
      <c r="W151" s="64"/>
      <c r="X151" s="64"/>
      <c r="AA151" s="64"/>
      <c r="AB151" s="64"/>
      <c r="AC151" s="64"/>
      <c r="AD151" s="64"/>
      <c r="AE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I152" s="64"/>
      <c r="J152" s="64"/>
      <c r="M152" s="64"/>
      <c r="N152" s="64"/>
      <c r="O152" s="64"/>
      <c r="P152" s="64"/>
      <c r="Q152" s="64"/>
      <c r="T152" s="64"/>
      <c r="U152" s="64"/>
      <c r="V152" s="64"/>
      <c r="W152" s="64"/>
      <c r="X152" s="64"/>
      <c r="AA152" s="64"/>
      <c r="AB152" s="64"/>
      <c r="AC152" s="64"/>
      <c r="AD152" s="64"/>
      <c r="AE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I153" s="64"/>
      <c r="J153" s="64"/>
      <c r="M153" s="64"/>
      <c r="N153" s="64"/>
      <c r="O153" s="64"/>
      <c r="P153" s="64"/>
      <c r="Q153" s="64"/>
      <c r="T153" s="64"/>
      <c r="U153" s="64"/>
      <c r="V153" s="64"/>
      <c r="W153" s="64"/>
      <c r="X153" s="64"/>
      <c r="AA153" s="64"/>
      <c r="AB153" s="64"/>
      <c r="AC153" s="64"/>
      <c r="AD153" s="64"/>
      <c r="AE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I154" s="64"/>
      <c r="J154" s="64"/>
      <c r="M154" s="64"/>
      <c r="N154" s="64"/>
      <c r="O154" s="64"/>
      <c r="P154" s="64"/>
      <c r="Q154" s="64"/>
      <c r="T154" s="64"/>
      <c r="U154" s="64"/>
      <c r="V154" s="64"/>
      <c r="W154" s="64"/>
      <c r="X154" s="64"/>
      <c r="AA154" s="64"/>
      <c r="AB154" s="64"/>
      <c r="AC154" s="64"/>
      <c r="AD154" s="64"/>
      <c r="AE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I155" s="64"/>
      <c r="J155" s="64"/>
      <c r="M155" s="64"/>
      <c r="N155" s="64"/>
      <c r="O155" s="64"/>
      <c r="P155" s="64"/>
      <c r="Q155" s="64"/>
      <c r="T155" s="64"/>
      <c r="U155" s="64"/>
      <c r="V155" s="64"/>
      <c r="W155" s="64"/>
      <c r="X155" s="64"/>
      <c r="AA155" s="64"/>
      <c r="AB155" s="64"/>
      <c r="AC155" s="64"/>
      <c r="AD155" s="64"/>
      <c r="AE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I156" s="64"/>
      <c r="J156" s="64"/>
      <c r="M156" s="64"/>
      <c r="N156" s="64"/>
      <c r="O156" s="64"/>
      <c r="P156" s="64"/>
      <c r="Q156" s="64"/>
      <c r="T156" s="64"/>
      <c r="U156" s="64"/>
      <c r="V156" s="64"/>
      <c r="W156" s="64"/>
      <c r="X156" s="64"/>
      <c r="AA156" s="64"/>
      <c r="AB156" s="64"/>
      <c r="AC156" s="64"/>
      <c r="AD156" s="64"/>
      <c r="AE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I157" s="64"/>
      <c r="J157" s="64"/>
      <c r="M157" s="64"/>
      <c r="N157" s="64"/>
      <c r="O157" s="64"/>
      <c r="P157" s="64"/>
      <c r="Q157" s="64"/>
      <c r="T157" s="64"/>
      <c r="U157" s="64"/>
      <c r="V157" s="64"/>
      <c r="W157" s="64"/>
      <c r="X157" s="64"/>
      <c r="AA157" s="64"/>
      <c r="AB157" s="64"/>
      <c r="AC157" s="64"/>
      <c r="AD157" s="64"/>
      <c r="AE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I158" s="64"/>
      <c r="J158" s="64"/>
      <c r="M158" s="64"/>
      <c r="N158" s="64"/>
      <c r="O158" s="64"/>
      <c r="P158" s="64"/>
      <c r="Q158" s="64"/>
      <c r="T158" s="64"/>
      <c r="U158" s="64"/>
      <c r="V158" s="64"/>
      <c r="W158" s="64"/>
      <c r="X158" s="64"/>
      <c r="AA158" s="64"/>
      <c r="AB158" s="64"/>
      <c r="AC158" s="64"/>
      <c r="AD158" s="64"/>
      <c r="AE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I159" s="64"/>
      <c r="J159" s="64"/>
      <c r="M159" s="64"/>
      <c r="N159" s="64"/>
      <c r="O159" s="64"/>
      <c r="P159" s="64"/>
      <c r="Q159" s="64"/>
      <c r="T159" s="64"/>
      <c r="U159" s="64"/>
      <c r="V159" s="64"/>
      <c r="W159" s="64"/>
      <c r="X159" s="64"/>
      <c r="AA159" s="64"/>
      <c r="AB159" s="64"/>
      <c r="AC159" s="64"/>
      <c r="AD159" s="64"/>
      <c r="AE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I160" s="64"/>
      <c r="J160" s="64"/>
      <c r="M160" s="64"/>
      <c r="N160" s="64"/>
      <c r="O160" s="64"/>
      <c r="P160" s="64"/>
      <c r="Q160" s="64"/>
      <c r="T160" s="64"/>
      <c r="U160" s="64"/>
      <c r="V160" s="64"/>
      <c r="W160" s="64"/>
      <c r="X160" s="64"/>
      <c r="AA160" s="64"/>
      <c r="AB160" s="64"/>
      <c r="AC160" s="64"/>
      <c r="AD160" s="64"/>
      <c r="AE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I161" s="64"/>
      <c r="J161" s="64"/>
      <c r="M161" s="64"/>
      <c r="N161" s="64"/>
      <c r="O161" s="64"/>
      <c r="P161" s="64"/>
      <c r="Q161" s="64"/>
      <c r="T161" s="64"/>
      <c r="U161" s="64"/>
      <c r="V161" s="64"/>
      <c r="W161" s="64"/>
      <c r="X161" s="64"/>
      <c r="AA161" s="64"/>
      <c r="AB161" s="64"/>
      <c r="AC161" s="64"/>
      <c r="AD161" s="64"/>
      <c r="AE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I162" s="64"/>
      <c r="J162" s="64"/>
      <c r="M162" s="64"/>
      <c r="N162" s="64"/>
      <c r="O162" s="64"/>
      <c r="P162" s="64"/>
      <c r="Q162" s="64"/>
      <c r="T162" s="64"/>
      <c r="U162" s="64"/>
      <c r="V162" s="64"/>
      <c r="W162" s="64"/>
      <c r="X162" s="64"/>
      <c r="AA162" s="64"/>
      <c r="AB162" s="64"/>
      <c r="AC162" s="64"/>
      <c r="AD162" s="64"/>
      <c r="AE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I163" s="64"/>
      <c r="J163" s="64"/>
      <c r="M163" s="64"/>
      <c r="N163" s="64"/>
      <c r="O163" s="64"/>
      <c r="P163" s="64"/>
      <c r="Q163" s="64"/>
      <c r="T163" s="64"/>
      <c r="U163" s="64"/>
      <c r="V163" s="64"/>
      <c r="W163" s="64"/>
      <c r="X163" s="64"/>
      <c r="AA163" s="64"/>
      <c r="AB163" s="64"/>
      <c r="AC163" s="64"/>
      <c r="AD163" s="64"/>
      <c r="AE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I164" s="64"/>
      <c r="J164" s="64"/>
      <c r="M164" s="64"/>
      <c r="N164" s="64"/>
      <c r="O164" s="64"/>
      <c r="P164" s="64"/>
      <c r="Q164" s="64"/>
      <c r="T164" s="64"/>
      <c r="U164" s="64"/>
      <c r="V164" s="64"/>
      <c r="W164" s="64"/>
      <c r="X164" s="64"/>
      <c r="AA164" s="64"/>
      <c r="AB164" s="64"/>
      <c r="AC164" s="64"/>
      <c r="AD164" s="64"/>
      <c r="AE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I165" s="64"/>
      <c r="J165" s="64"/>
      <c r="M165" s="64"/>
      <c r="N165" s="64"/>
      <c r="O165" s="64"/>
      <c r="P165" s="64"/>
      <c r="Q165" s="64"/>
      <c r="T165" s="64"/>
      <c r="U165" s="64"/>
      <c r="V165" s="64"/>
      <c r="W165" s="64"/>
      <c r="X165" s="64"/>
      <c r="AA165" s="64"/>
      <c r="AB165" s="64"/>
      <c r="AC165" s="64"/>
      <c r="AD165" s="64"/>
      <c r="AE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I166" s="64"/>
      <c r="J166" s="64"/>
      <c r="M166" s="64"/>
      <c r="N166" s="64"/>
      <c r="O166" s="64"/>
      <c r="P166" s="64"/>
      <c r="Q166" s="64"/>
      <c r="T166" s="64"/>
      <c r="U166" s="64"/>
      <c r="V166" s="64"/>
      <c r="W166" s="64"/>
      <c r="X166" s="64"/>
      <c r="AA166" s="64"/>
      <c r="AB166" s="64"/>
      <c r="AC166" s="64"/>
      <c r="AD166" s="64"/>
      <c r="AE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I167" s="64"/>
      <c r="J167" s="64"/>
      <c r="M167" s="64"/>
      <c r="N167" s="64"/>
      <c r="O167" s="64"/>
      <c r="P167" s="64"/>
      <c r="Q167" s="64"/>
      <c r="T167" s="64"/>
      <c r="U167" s="64"/>
      <c r="V167" s="64"/>
      <c r="W167" s="64"/>
      <c r="X167" s="64"/>
      <c r="AA167" s="64"/>
      <c r="AB167" s="64"/>
      <c r="AC167" s="64"/>
      <c r="AD167" s="64"/>
      <c r="AE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I168" s="64"/>
      <c r="J168" s="64"/>
      <c r="M168" s="64"/>
      <c r="N168" s="64"/>
      <c r="O168" s="64"/>
      <c r="P168" s="64"/>
      <c r="Q168" s="64"/>
      <c r="T168" s="64"/>
      <c r="U168" s="64"/>
      <c r="V168" s="64"/>
      <c r="W168" s="64"/>
      <c r="X168" s="64"/>
      <c r="AA168" s="64"/>
      <c r="AB168" s="64"/>
      <c r="AC168" s="64"/>
      <c r="AD168" s="64"/>
      <c r="AE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I169" s="64"/>
      <c r="J169" s="64"/>
      <c r="M169" s="64"/>
      <c r="N169" s="64"/>
      <c r="O169" s="64"/>
      <c r="P169" s="64"/>
      <c r="Q169" s="64"/>
      <c r="T169" s="64"/>
      <c r="U169" s="64"/>
      <c r="V169" s="64"/>
      <c r="W169" s="64"/>
      <c r="X169" s="64"/>
      <c r="AA169" s="64"/>
      <c r="AB169" s="64"/>
      <c r="AC169" s="64"/>
      <c r="AD169" s="64"/>
      <c r="AE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I170" s="64"/>
      <c r="J170" s="64"/>
      <c r="M170" s="64"/>
      <c r="N170" s="64"/>
      <c r="O170" s="64"/>
      <c r="P170" s="64"/>
      <c r="Q170" s="64"/>
      <c r="T170" s="64"/>
      <c r="U170" s="64"/>
      <c r="V170" s="64"/>
      <c r="W170" s="64"/>
      <c r="X170" s="64"/>
      <c r="AA170" s="64"/>
      <c r="AB170" s="64"/>
      <c r="AC170" s="64"/>
      <c r="AD170" s="64"/>
      <c r="AE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I171" s="64"/>
      <c r="J171" s="64"/>
      <c r="M171" s="64"/>
      <c r="N171" s="64"/>
      <c r="O171" s="64"/>
      <c r="P171" s="64"/>
      <c r="Q171" s="64"/>
      <c r="T171" s="64"/>
      <c r="U171" s="64"/>
      <c r="V171" s="64"/>
      <c r="W171" s="64"/>
      <c r="X171" s="64"/>
      <c r="AA171" s="64"/>
      <c r="AB171" s="64"/>
      <c r="AC171" s="64"/>
      <c r="AD171" s="64"/>
      <c r="AE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I172" s="64"/>
      <c r="J172" s="64"/>
      <c r="M172" s="64"/>
      <c r="N172" s="64"/>
      <c r="O172" s="64"/>
      <c r="P172" s="64"/>
      <c r="Q172" s="64"/>
      <c r="T172" s="64"/>
      <c r="U172" s="64"/>
      <c r="V172" s="64"/>
      <c r="W172" s="64"/>
      <c r="X172" s="64"/>
      <c r="AA172" s="64"/>
      <c r="AB172" s="64"/>
      <c r="AC172" s="64"/>
      <c r="AD172" s="64"/>
      <c r="AE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I173" s="64"/>
      <c r="J173" s="64"/>
      <c r="M173" s="64"/>
      <c r="N173" s="64"/>
      <c r="O173" s="64"/>
      <c r="P173" s="64"/>
      <c r="Q173" s="64"/>
      <c r="T173" s="64"/>
      <c r="U173" s="64"/>
      <c r="V173" s="64"/>
      <c r="W173" s="64"/>
      <c r="X173" s="64"/>
      <c r="AA173" s="64"/>
      <c r="AB173" s="64"/>
      <c r="AC173" s="64"/>
      <c r="AD173" s="64"/>
      <c r="AE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I174" s="64"/>
      <c r="J174" s="64"/>
      <c r="M174" s="64"/>
      <c r="N174" s="64"/>
      <c r="O174" s="64"/>
      <c r="P174" s="64"/>
      <c r="Q174" s="64"/>
      <c r="T174" s="64"/>
      <c r="U174" s="64"/>
      <c r="V174" s="64"/>
      <c r="W174" s="64"/>
      <c r="X174" s="64"/>
      <c r="AA174" s="64"/>
      <c r="AB174" s="64"/>
      <c r="AC174" s="64"/>
      <c r="AD174" s="64"/>
      <c r="AE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I175" s="64"/>
      <c r="J175" s="64"/>
      <c r="M175" s="64"/>
      <c r="N175" s="64"/>
      <c r="O175" s="64"/>
      <c r="P175" s="64"/>
      <c r="Q175" s="64"/>
      <c r="T175" s="64"/>
      <c r="U175" s="64"/>
      <c r="V175" s="64"/>
      <c r="W175" s="64"/>
      <c r="X175" s="64"/>
      <c r="AA175" s="64"/>
      <c r="AB175" s="64"/>
      <c r="AC175" s="64"/>
      <c r="AD175" s="64"/>
      <c r="AE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I176" s="64"/>
      <c r="J176" s="64"/>
      <c r="M176" s="64"/>
      <c r="N176" s="64"/>
      <c r="O176" s="64"/>
      <c r="P176" s="64"/>
      <c r="Q176" s="64"/>
      <c r="T176" s="64"/>
      <c r="U176" s="64"/>
      <c r="V176" s="64"/>
      <c r="W176" s="64"/>
      <c r="X176" s="64"/>
      <c r="AA176" s="64"/>
      <c r="AB176" s="64"/>
      <c r="AC176" s="64"/>
      <c r="AD176" s="64"/>
      <c r="AE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I177" s="64"/>
      <c r="J177" s="64"/>
      <c r="M177" s="64"/>
      <c r="N177" s="64"/>
      <c r="O177" s="64"/>
      <c r="P177" s="64"/>
      <c r="Q177" s="64"/>
      <c r="T177" s="64"/>
      <c r="U177" s="64"/>
      <c r="V177" s="64"/>
      <c r="W177" s="64"/>
      <c r="X177" s="64"/>
      <c r="AA177" s="64"/>
      <c r="AB177" s="64"/>
      <c r="AC177" s="64"/>
      <c r="AD177" s="64"/>
      <c r="AE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I178" s="64"/>
      <c r="J178" s="64"/>
      <c r="M178" s="64"/>
      <c r="N178" s="64"/>
      <c r="O178" s="64"/>
      <c r="P178" s="64"/>
      <c r="Q178" s="64"/>
      <c r="T178" s="64"/>
      <c r="U178" s="64"/>
      <c r="V178" s="64"/>
      <c r="W178" s="64"/>
      <c r="X178" s="64"/>
      <c r="AA178" s="64"/>
      <c r="AB178" s="64"/>
      <c r="AC178" s="64"/>
      <c r="AD178" s="64"/>
      <c r="AE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I179" s="64"/>
      <c r="J179" s="64"/>
      <c r="M179" s="64"/>
      <c r="N179" s="64"/>
      <c r="O179" s="64"/>
      <c r="P179" s="64"/>
      <c r="Q179" s="64"/>
      <c r="T179" s="64"/>
      <c r="U179" s="64"/>
      <c r="V179" s="64"/>
      <c r="W179" s="64"/>
      <c r="X179" s="64"/>
      <c r="AA179" s="64"/>
      <c r="AB179" s="64"/>
      <c r="AC179" s="64"/>
      <c r="AD179" s="64"/>
      <c r="AE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I180" s="64"/>
      <c r="J180" s="64"/>
      <c r="M180" s="64"/>
      <c r="N180" s="64"/>
      <c r="O180" s="64"/>
      <c r="P180" s="64"/>
      <c r="Q180" s="64"/>
      <c r="T180" s="64"/>
      <c r="U180" s="64"/>
      <c r="V180" s="64"/>
      <c r="W180" s="64"/>
      <c r="X180" s="64"/>
      <c r="AA180" s="64"/>
      <c r="AB180" s="64"/>
      <c r="AC180" s="64"/>
      <c r="AD180" s="64"/>
      <c r="AE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I181" s="64"/>
      <c r="J181" s="64"/>
      <c r="M181" s="64"/>
      <c r="N181" s="64"/>
      <c r="O181" s="64"/>
      <c r="P181" s="64"/>
      <c r="Q181" s="64"/>
      <c r="T181" s="64"/>
      <c r="U181" s="64"/>
      <c r="V181" s="64"/>
      <c r="W181" s="64"/>
      <c r="X181" s="64"/>
      <c r="AA181" s="64"/>
      <c r="AB181" s="64"/>
      <c r="AC181" s="64"/>
      <c r="AD181" s="64"/>
      <c r="AE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I182" s="64"/>
      <c r="J182" s="64"/>
      <c r="M182" s="64"/>
      <c r="N182" s="64"/>
      <c r="O182" s="64"/>
      <c r="P182" s="64"/>
      <c r="Q182" s="64"/>
      <c r="T182" s="64"/>
      <c r="U182" s="64"/>
      <c r="V182" s="64"/>
      <c r="W182" s="64"/>
      <c r="X182" s="64"/>
      <c r="AA182" s="64"/>
      <c r="AB182" s="64"/>
      <c r="AC182" s="64"/>
      <c r="AD182" s="64"/>
      <c r="AE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I183" s="64"/>
      <c r="J183" s="64"/>
      <c r="M183" s="64"/>
      <c r="N183" s="64"/>
      <c r="O183" s="64"/>
      <c r="P183" s="64"/>
      <c r="Q183" s="64"/>
      <c r="T183" s="64"/>
      <c r="U183" s="64"/>
      <c r="V183" s="64"/>
      <c r="W183" s="64"/>
      <c r="X183" s="64"/>
      <c r="AA183" s="64"/>
      <c r="AB183" s="64"/>
      <c r="AC183" s="64"/>
      <c r="AD183" s="64"/>
      <c r="AE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I184" s="64"/>
      <c r="J184" s="64"/>
      <c r="M184" s="64"/>
      <c r="N184" s="64"/>
      <c r="O184" s="64"/>
      <c r="P184" s="64"/>
      <c r="Q184" s="64"/>
      <c r="T184" s="64"/>
      <c r="U184" s="64"/>
      <c r="V184" s="64"/>
      <c r="W184" s="64"/>
      <c r="X184" s="64"/>
      <c r="AA184" s="64"/>
      <c r="AB184" s="64"/>
      <c r="AC184" s="64"/>
      <c r="AD184" s="64"/>
      <c r="AE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I185" s="64"/>
      <c r="J185" s="64"/>
      <c r="M185" s="64"/>
      <c r="N185" s="64"/>
      <c r="O185" s="64"/>
      <c r="P185" s="64"/>
      <c r="Q185" s="64"/>
      <c r="T185" s="64"/>
      <c r="U185" s="64"/>
      <c r="V185" s="64"/>
      <c r="W185" s="64"/>
      <c r="X185" s="64"/>
      <c r="AA185" s="64"/>
      <c r="AB185" s="64"/>
      <c r="AC185" s="64"/>
      <c r="AD185" s="64"/>
      <c r="AE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I186" s="64"/>
      <c r="J186" s="64"/>
      <c r="M186" s="64"/>
      <c r="N186" s="64"/>
      <c r="O186" s="64"/>
      <c r="P186" s="64"/>
      <c r="Q186" s="64"/>
      <c r="T186" s="64"/>
      <c r="U186" s="64"/>
      <c r="V186" s="64"/>
      <c r="W186" s="64"/>
      <c r="X186" s="64"/>
      <c r="AA186" s="64"/>
      <c r="AB186" s="64"/>
      <c r="AC186" s="64"/>
      <c r="AD186" s="64"/>
      <c r="AE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I187" s="64"/>
      <c r="J187" s="64"/>
      <c r="M187" s="64"/>
      <c r="N187" s="64"/>
      <c r="O187" s="64"/>
      <c r="P187" s="64"/>
      <c r="Q187" s="64"/>
      <c r="T187" s="64"/>
      <c r="U187" s="64"/>
      <c r="V187" s="64"/>
      <c r="W187" s="64"/>
      <c r="X187" s="64"/>
      <c r="AA187" s="64"/>
      <c r="AB187" s="64"/>
      <c r="AC187" s="64"/>
      <c r="AD187" s="64"/>
      <c r="AE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I188" s="64"/>
      <c r="J188" s="64"/>
      <c r="M188" s="64"/>
      <c r="N188" s="64"/>
      <c r="O188" s="64"/>
      <c r="P188" s="64"/>
      <c r="Q188" s="64"/>
      <c r="T188" s="64"/>
      <c r="U188" s="64"/>
      <c r="V188" s="64"/>
      <c r="W188" s="64"/>
      <c r="X188" s="64"/>
      <c r="AA188" s="64"/>
      <c r="AB188" s="64"/>
      <c r="AC188" s="64"/>
      <c r="AD188" s="64"/>
      <c r="AE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I189" s="64"/>
      <c r="J189" s="64"/>
      <c r="M189" s="64"/>
      <c r="N189" s="64"/>
      <c r="O189" s="64"/>
      <c r="P189" s="64"/>
      <c r="Q189" s="64"/>
      <c r="T189" s="64"/>
      <c r="U189" s="64"/>
      <c r="V189" s="64"/>
      <c r="W189" s="64"/>
      <c r="X189" s="64"/>
      <c r="AA189" s="64"/>
      <c r="AB189" s="64"/>
      <c r="AC189" s="64"/>
      <c r="AD189" s="64"/>
      <c r="AE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I190" s="64"/>
      <c r="J190" s="64"/>
      <c r="M190" s="64"/>
      <c r="N190" s="64"/>
      <c r="O190" s="64"/>
      <c r="P190" s="64"/>
      <c r="Q190" s="64"/>
      <c r="T190" s="64"/>
      <c r="U190" s="64"/>
      <c r="V190" s="64"/>
      <c r="W190" s="64"/>
      <c r="X190" s="64"/>
      <c r="AA190" s="64"/>
      <c r="AB190" s="64"/>
      <c r="AC190" s="64"/>
      <c r="AD190" s="64"/>
      <c r="AE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I191" s="64"/>
      <c r="J191" s="64"/>
      <c r="M191" s="64"/>
      <c r="N191" s="64"/>
      <c r="O191" s="64"/>
      <c r="P191" s="64"/>
      <c r="Q191" s="64"/>
      <c r="T191" s="64"/>
      <c r="U191" s="64"/>
      <c r="V191" s="64"/>
      <c r="W191" s="64"/>
      <c r="X191" s="64"/>
      <c r="AA191" s="64"/>
      <c r="AB191" s="64"/>
      <c r="AC191" s="64"/>
      <c r="AD191" s="64"/>
      <c r="AE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I192" s="64"/>
      <c r="J192" s="64"/>
      <c r="M192" s="64"/>
      <c r="N192" s="64"/>
      <c r="O192" s="64"/>
      <c r="P192" s="64"/>
      <c r="Q192" s="64"/>
      <c r="T192" s="64"/>
      <c r="U192" s="64"/>
      <c r="V192" s="64"/>
      <c r="W192" s="64"/>
      <c r="X192" s="64"/>
      <c r="AA192" s="64"/>
      <c r="AB192" s="64"/>
      <c r="AC192" s="64"/>
      <c r="AD192" s="64"/>
      <c r="AE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I193" s="64"/>
      <c r="J193" s="64"/>
      <c r="M193" s="64"/>
      <c r="N193" s="64"/>
      <c r="O193" s="64"/>
      <c r="P193" s="64"/>
      <c r="Q193" s="64"/>
      <c r="T193" s="64"/>
      <c r="U193" s="64"/>
      <c r="V193" s="64"/>
      <c r="W193" s="64"/>
      <c r="X193" s="64"/>
      <c r="AA193" s="64"/>
      <c r="AB193" s="64"/>
      <c r="AC193" s="64"/>
      <c r="AD193" s="64"/>
      <c r="AE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I194" s="64"/>
      <c r="J194" s="64"/>
      <c r="M194" s="64"/>
      <c r="N194" s="64"/>
      <c r="O194" s="64"/>
      <c r="P194" s="64"/>
      <c r="Q194" s="64"/>
      <c r="T194" s="64"/>
      <c r="U194" s="64"/>
      <c r="V194" s="64"/>
      <c r="W194" s="64"/>
      <c r="X194" s="64"/>
      <c r="AA194" s="64"/>
      <c r="AB194" s="64"/>
      <c r="AC194" s="64"/>
      <c r="AD194" s="64"/>
      <c r="AE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I195" s="64"/>
      <c r="J195" s="64"/>
      <c r="M195" s="64"/>
      <c r="N195" s="64"/>
      <c r="O195" s="64"/>
      <c r="P195" s="64"/>
      <c r="Q195" s="64"/>
      <c r="T195" s="64"/>
      <c r="U195" s="64"/>
      <c r="V195" s="64"/>
      <c r="W195" s="64"/>
      <c r="X195" s="64"/>
      <c r="AA195" s="64"/>
      <c r="AB195" s="64"/>
      <c r="AC195" s="64"/>
      <c r="AD195" s="64"/>
      <c r="AE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I196" s="64"/>
      <c r="J196" s="64"/>
      <c r="M196" s="64"/>
      <c r="N196" s="64"/>
      <c r="O196" s="64"/>
      <c r="P196" s="64"/>
      <c r="Q196" s="64"/>
      <c r="T196" s="64"/>
      <c r="U196" s="64"/>
      <c r="V196" s="64"/>
      <c r="W196" s="64"/>
      <c r="X196" s="64"/>
      <c r="AA196" s="64"/>
      <c r="AB196" s="64"/>
      <c r="AC196" s="64"/>
      <c r="AD196" s="64"/>
      <c r="AE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I197" s="64"/>
      <c r="J197" s="64"/>
      <c r="M197" s="64"/>
      <c r="N197" s="64"/>
      <c r="O197" s="64"/>
      <c r="P197" s="64"/>
      <c r="Q197" s="64"/>
      <c r="T197" s="64"/>
      <c r="U197" s="64"/>
      <c r="V197" s="64"/>
      <c r="W197" s="64"/>
      <c r="X197" s="64"/>
      <c r="AA197" s="64"/>
      <c r="AB197" s="64"/>
      <c r="AC197" s="64"/>
      <c r="AD197" s="64"/>
      <c r="AE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I198" s="64"/>
      <c r="J198" s="64"/>
      <c r="M198" s="64"/>
      <c r="N198" s="64"/>
      <c r="O198" s="64"/>
      <c r="P198" s="64"/>
      <c r="Q198" s="64"/>
      <c r="T198" s="64"/>
      <c r="U198" s="64"/>
      <c r="V198" s="64"/>
      <c r="W198" s="64"/>
      <c r="X198" s="64"/>
      <c r="AA198" s="64"/>
      <c r="AB198" s="64"/>
      <c r="AC198" s="64"/>
      <c r="AD198" s="64"/>
      <c r="AE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I199" s="64"/>
      <c r="J199" s="64"/>
      <c r="M199" s="64"/>
      <c r="N199" s="64"/>
      <c r="O199" s="64"/>
      <c r="P199" s="64"/>
      <c r="Q199" s="64"/>
      <c r="T199" s="64"/>
      <c r="U199" s="64"/>
      <c r="V199" s="64"/>
      <c r="W199" s="64"/>
      <c r="X199" s="64"/>
      <c r="AA199" s="64"/>
      <c r="AB199" s="64"/>
      <c r="AC199" s="64"/>
      <c r="AD199" s="64"/>
      <c r="AE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I200" s="64"/>
      <c r="J200" s="64"/>
      <c r="M200" s="64"/>
      <c r="N200" s="64"/>
      <c r="O200" s="64"/>
      <c r="P200" s="64"/>
      <c r="Q200" s="64"/>
      <c r="T200" s="64"/>
      <c r="U200" s="64"/>
      <c r="V200" s="64"/>
      <c r="W200" s="64"/>
      <c r="X200" s="64"/>
      <c r="AA200" s="64"/>
      <c r="AB200" s="64"/>
      <c r="AC200" s="64"/>
      <c r="AD200" s="64"/>
      <c r="AE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I201" s="64"/>
      <c r="J201" s="64"/>
      <c r="M201" s="64"/>
      <c r="N201" s="64"/>
      <c r="O201" s="64"/>
      <c r="P201" s="64"/>
      <c r="Q201" s="64"/>
      <c r="T201" s="64"/>
      <c r="U201" s="64"/>
      <c r="V201" s="64"/>
      <c r="W201" s="64"/>
      <c r="X201" s="64"/>
      <c r="AA201" s="64"/>
      <c r="AB201" s="64"/>
      <c r="AC201" s="64"/>
      <c r="AD201" s="64"/>
      <c r="AE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I202" s="64"/>
      <c r="J202" s="64"/>
      <c r="M202" s="64"/>
      <c r="N202" s="64"/>
      <c r="O202" s="64"/>
      <c r="P202" s="64"/>
      <c r="Q202" s="64"/>
      <c r="T202" s="64"/>
      <c r="U202" s="64"/>
      <c r="V202" s="64"/>
      <c r="W202" s="64"/>
      <c r="X202" s="64"/>
      <c r="AA202" s="64"/>
      <c r="AB202" s="64"/>
      <c r="AC202" s="64"/>
      <c r="AD202" s="64"/>
      <c r="AE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I203" s="64"/>
      <c r="J203" s="64"/>
      <c r="M203" s="64"/>
      <c r="N203" s="64"/>
      <c r="O203" s="64"/>
      <c r="P203" s="64"/>
      <c r="Q203" s="64"/>
      <c r="T203" s="64"/>
      <c r="U203" s="64"/>
      <c r="V203" s="64"/>
      <c r="W203" s="64"/>
      <c r="X203" s="64"/>
      <c r="AA203" s="64"/>
      <c r="AB203" s="64"/>
      <c r="AC203" s="64"/>
      <c r="AD203" s="64"/>
      <c r="AE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I204" s="64"/>
      <c r="J204" s="64"/>
      <c r="M204" s="64"/>
      <c r="N204" s="64"/>
      <c r="O204" s="64"/>
      <c r="P204" s="64"/>
      <c r="Q204" s="64"/>
      <c r="T204" s="64"/>
      <c r="U204" s="64"/>
      <c r="V204" s="64"/>
      <c r="W204" s="64"/>
      <c r="X204" s="64"/>
      <c r="AA204" s="64"/>
      <c r="AB204" s="64"/>
      <c r="AC204" s="64"/>
      <c r="AD204" s="64"/>
      <c r="AE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I205" s="64"/>
      <c r="J205" s="64"/>
      <c r="M205" s="64"/>
      <c r="N205" s="64"/>
      <c r="O205" s="64"/>
      <c r="P205" s="64"/>
      <c r="Q205" s="64"/>
      <c r="T205" s="64"/>
      <c r="U205" s="64"/>
      <c r="V205" s="64"/>
      <c r="W205" s="64"/>
      <c r="X205" s="64"/>
      <c r="AA205" s="64"/>
      <c r="AB205" s="64"/>
      <c r="AC205" s="64"/>
      <c r="AD205" s="64"/>
      <c r="AE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I206" s="64"/>
      <c r="J206" s="64"/>
      <c r="M206" s="64"/>
      <c r="N206" s="64"/>
      <c r="O206" s="64"/>
      <c r="P206" s="64"/>
      <c r="Q206" s="64"/>
      <c r="T206" s="64"/>
      <c r="U206" s="64"/>
      <c r="V206" s="64"/>
      <c r="W206" s="64"/>
      <c r="X206" s="64"/>
      <c r="AA206" s="64"/>
      <c r="AB206" s="64"/>
      <c r="AC206" s="64"/>
      <c r="AD206" s="64"/>
      <c r="AE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I207" s="64"/>
      <c r="J207" s="64"/>
      <c r="M207" s="64"/>
      <c r="N207" s="64"/>
      <c r="O207" s="64"/>
      <c r="P207" s="64"/>
      <c r="Q207" s="64"/>
      <c r="T207" s="64"/>
      <c r="U207" s="64"/>
      <c r="V207" s="64"/>
      <c r="W207" s="64"/>
      <c r="X207" s="64"/>
      <c r="AA207" s="64"/>
      <c r="AB207" s="64"/>
      <c r="AC207" s="64"/>
      <c r="AD207" s="64"/>
      <c r="AE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I208" s="64"/>
      <c r="J208" s="64"/>
      <c r="M208" s="64"/>
      <c r="N208" s="64"/>
      <c r="O208" s="64"/>
      <c r="P208" s="64"/>
      <c r="Q208" s="64"/>
      <c r="T208" s="64"/>
      <c r="U208" s="64"/>
      <c r="V208" s="64"/>
      <c r="W208" s="64"/>
      <c r="X208" s="64"/>
      <c r="AA208" s="64"/>
      <c r="AB208" s="64"/>
      <c r="AC208" s="64"/>
      <c r="AD208" s="64"/>
      <c r="AE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I209" s="64"/>
      <c r="J209" s="64"/>
      <c r="M209" s="64"/>
      <c r="N209" s="64"/>
      <c r="O209" s="64"/>
      <c r="P209" s="64"/>
      <c r="Q209" s="64"/>
      <c r="T209" s="64"/>
      <c r="U209" s="64"/>
      <c r="V209" s="64"/>
      <c r="W209" s="64"/>
      <c r="X209" s="64"/>
      <c r="AA209" s="64"/>
      <c r="AB209" s="64"/>
      <c r="AC209" s="64"/>
      <c r="AD209" s="64"/>
      <c r="AE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I210" s="64"/>
      <c r="J210" s="64"/>
      <c r="M210" s="64"/>
      <c r="N210" s="64"/>
      <c r="O210" s="64"/>
      <c r="P210" s="64"/>
      <c r="Q210" s="64"/>
      <c r="T210" s="64"/>
      <c r="U210" s="64"/>
      <c r="V210" s="64"/>
      <c r="W210" s="64"/>
      <c r="X210" s="64"/>
      <c r="AA210" s="64"/>
      <c r="AB210" s="64"/>
      <c r="AC210" s="64"/>
      <c r="AD210" s="64"/>
      <c r="AE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I211" s="64"/>
      <c r="J211" s="64"/>
      <c r="M211" s="64"/>
      <c r="N211" s="64"/>
      <c r="O211" s="64"/>
      <c r="P211" s="64"/>
      <c r="Q211" s="64"/>
      <c r="T211" s="64"/>
      <c r="U211" s="64"/>
      <c r="V211" s="64"/>
      <c r="W211" s="64"/>
      <c r="X211" s="64"/>
      <c r="AA211" s="64"/>
      <c r="AB211" s="64"/>
      <c r="AC211" s="64"/>
      <c r="AD211" s="64"/>
      <c r="AE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I212" s="64"/>
      <c r="J212" s="64"/>
      <c r="M212" s="64"/>
      <c r="N212" s="64"/>
      <c r="O212" s="64"/>
      <c r="P212" s="64"/>
      <c r="Q212" s="64"/>
      <c r="T212" s="64"/>
      <c r="U212" s="64"/>
      <c r="V212" s="64"/>
      <c r="W212" s="64"/>
      <c r="X212" s="64"/>
      <c r="AA212" s="64"/>
      <c r="AB212" s="64"/>
      <c r="AC212" s="64"/>
      <c r="AD212" s="64"/>
      <c r="AE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I213" s="64"/>
      <c r="J213" s="64"/>
      <c r="M213" s="64"/>
      <c r="N213" s="64"/>
      <c r="O213" s="64"/>
      <c r="P213" s="64"/>
      <c r="Q213" s="64"/>
      <c r="T213" s="64"/>
      <c r="U213" s="64"/>
      <c r="V213" s="64"/>
      <c r="W213" s="64"/>
      <c r="X213" s="64"/>
      <c r="AA213" s="64"/>
      <c r="AB213" s="64"/>
      <c r="AC213" s="64"/>
      <c r="AD213" s="64"/>
      <c r="AE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I214" s="64"/>
      <c r="J214" s="64"/>
      <c r="M214" s="64"/>
      <c r="N214" s="64"/>
      <c r="O214" s="64"/>
      <c r="P214" s="64"/>
      <c r="Q214" s="64"/>
      <c r="T214" s="64"/>
      <c r="U214" s="64"/>
      <c r="V214" s="64"/>
      <c r="W214" s="64"/>
      <c r="X214" s="64"/>
      <c r="AA214" s="64"/>
      <c r="AB214" s="64"/>
      <c r="AC214" s="64"/>
      <c r="AD214" s="64"/>
      <c r="AE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I215" s="64"/>
      <c r="J215" s="64"/>
      <c r="M215" s="64"/>
      <c r="N215" s="64"/>
      <c r="O215" s="64"/>
      <c r="P215" s="64"/>
      <c r="Q215" s="64"/>
      <c r="T215" s="64"/>
      <c r="U215" s="64"/>
      <c r="V215" s="64"/>
      <c r="W215" s="64"/>
      <c r="X215" s="64"/>
      <c r="AA215" s="64"/>
      <c r="AB215" s="64"/>
      <c r="AC215" s="64"/>
      <c r="AD215" s="64"/>
      <c r="AE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I216" s="64"/>
      <c r="J216" s="64"/>
      <c r="M216" s="64"/>
      <c r="N216" s="64"/>
      <c r="O216" s="64"/>
      <c r="P216" s="64"/>
      <c r="Q216" s="64"/>
      <c r="T216" s="64"/>
      <c r="U216" s="64"/>
      <c r="V216" s="64"/>
      <c r="W216" s="64"/>
      <c r="X216" s="64"/>
      <c r="AA216" s="64"/>
      <c r="AB216" s="64"/>
      <c r="AC216" s="64"/>
      <c r="AD216" s="64"/>
      <c r="AE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I217" s="64"/>
      <c r="J217" s="64"/>
      <c r="M217" s="64"/>
      <c r="N217" s="64"/>
      <c r="O217" s="64"/>
      <c r="P217" s="64"/>
      <c r="Q217" s="64"/>
      <c r="T217" s="64"/>
      <c r="U217" s="64"/>
      <c r="V217" s="64"/>
      <c r="W217" s="64"/>
      <c r="X217" s="64"/>
      <c r="AA217" s="64"/>
      <c r="AB217" s="64"/>
      <c r="AC217" s="64"/>
      <c r="AD217" s="64"/>
      <c r="AE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I218" s="64"/>
      <c r="J218" s="64"/>
      <c r="M218" s="64"/>
      <c r="N218" s="64"/>
      <c r="O218" s="64"/>
      <c r="P218" s="64"/>
      <c r="Q218" s="64"/>
      <c r="T218" s="64"/>
      <c r="U218" s="64"/>
      <c r="V218" s="64"/>
      <c r="W218" s="64"/>
      <c r="X218" s="64"/>
      <c r="AA218" s="64"/>
      <c r="AB218" s="64"/>
      <c r="AC218" s="64"/>
      <c r="AD218" s="64"/>
      <c r="AE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I219" s="64"/>
      <c r="J219" s="64"/>
      <c r="M219" s="64"/>
      <c r="N219" s="64"/>
      <c r="O219" s="64"/>
      <c r="P219" s="64"/>
      <c r="Q219" s="64"/>
      <c r="T219" s="64"/>
      <c r="U219" s="64"/>
      <c r="V219" s="64"/>
      <c r="W219" s="64"/>
      <c r="X219" s="64"/>
      <c r="AA219" s="64"/>
      <c r="AB219" s="64"/>
      <c r="AC219" s="64"/>
      <c r="AD219" s="64"/>
      <c r="AE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I220" s="64"/>
      <c r="J220" s="64"/>
      <c r="M220" s="64"/>
      <c r="N220" s="64"/>
      <c r="O220" s="64"/>
      <c r="P220" s="64"/>
      <c r="Q220" s="64"/>
      <c r="T220" s="64"/>
      <c r="U220" s="64"/>
      <c r="V220" s="64"/>
      <c r="W220" s="64"/>
      <c r="X220" s="64"/>
      <c r="AA220" s="64"/>
      <c r="AB220" s="64"/>
      <c r="AC220" s="64"/>
      <c r="AD220" s="64"/>
      <c r="AE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I221" s="64"/>
      <c r="J221" s="64"/>
      <c r="M221" s="64"/>
      <c r="N221" s="64"/>
      <c r="O221" s="64"/>
      <c r="P221" s="64"/>
      <c r="Q221" s="64"/>
      <c r="T221" s="64"/>
      <c r="U221" s="64"/>
      <c r="V221" s="64"/>
      <c r="W221" s="64"/>
      <c r="X221" s="64"/>
      <c r="AA221" s="64"/>
      <c r="AB221" s="64"/>
      <c r="AC221" s="64"/>
      <c r="AD221" s="64"/>
      <c r="AE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I222" s="64"/>
      <c r="J222" s="64"/>
      <c r="M222" s="64"/>
      <c r="N222" s="64"/>
      <c r="O222" s="64"/>
      <c r="P222" s="64"/>
      <c r="Q222" s="64"/>
      <c r="T222" s="64"/>
      <c r="U222" s="64"/>
      <c r="V222" s="64"/>
      <c r="W222" s="64"/>
      <c r="X222" s="64"/>
      <c r="AA222" s="64"/>
      <c r="AB222" s="64"/>
      <c r="AC222" s="64"/>
      <c r="AD222" s="64"/>
      <c r="AE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I223" s="64"/>
      <c r="J223" s="64"/>
      <c r="M223" s="64"/>
      <c r="N223" s="64"/>
      <c r="O223" s="64"/>
      <c r="P223" s="64"/>
      <c r="Q223" s="64"/>
      <c r="T223" s="64"/>
      <c r="U223" s="64"/>
      <c r="V223" s="64"/>
      <c r="W223" s="64"/>
      <c r="X223" s="64"/>
      <c r="AA223" s="64"/>
      <c r="AB223" s="64"/>
      <c r="AC223" s="64"/>
      <c r="AD223" s="64"/>
      <c r="AE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I224" s="64"/>
      <c r="J224" s="64"/>
      <c r="M224" s="64"/>
      <c r="N224" s="64"/>
      <c r="O224" s="64"/>
      <c r="P224" s="64"/>
      <c r="Q224" s="64"/>
      <c r="T224" s="64"/>
      <c r="U224" s="64"/>
      <c r="V224" s="64"/>
      <c r="W224" s="64"/>
      <c r="X224" s="64"/>
      <c r="AA224" s="64"/>
      <c r="AB224" s="64"/>
      <c r="AC224" s="64"/>
      <c r="AD224" s="64"/>
      <c r="AE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I225" s="64"/>
      <c r="J225" s="64"/>
      <c r="M225" s="64"/>
      <c r="N225" s="64"/>
      <c r="O225" s="64"/>
      <c r="P225" s="64"/>
      <c r="Q225" s="64"/>
      <c r="T225" s="64"/>
      <c r="U225" s="64"/>
      <c r="V225" s="64"/>
      <c r="W225" s="64"/>
      <c r="X225" s="64"/>
      <c r="AA225" s="64"/>
      <c r="AB225" s="64"/>
      <c r="AC225" s="64"/>
      <c r="AD225" s="64"/>
      <c r="AE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I226" s="64"/>
      <c r="J226" s="64"/>
      <c r="M226" s="64"/>
      <c r="N226" s="64"/>
      <c r="O226" s="64"/>
      <c r="P226" s="64"/>
      <c r="Q226" s="64"/>
      <c r="T226" s="64"/>
      <c r="U226" s="64"/>
      <c r="V226" s="64"/>
      <c r="W226" s="64"/>
      <c r="X226" s="64"/>
      <c r="AA226" s="64"/>
      <c r="AB226" s="64"/>
      <c r="AC226" s="64"/>
      <c r="AD226" s="64"/>
      <c r="AE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I227" s="64"/>
      <c r="J227" s="64"/>
      <c r="M227" s="64"/>
      <c r="N227" s="64"/>
      <c r="O227" s="64"/>
      <c r="P227" s="64"/>
      <c r="Q227" s="64"/>
      <c r="T227" s="64"/>
      <c r="U227" s="64"/>
      <c r="V227" s="64"/>
      <c r="W227" s="64"/>
      <c r="X227" s="64"/>
      <c r="AA227" s="64"/>
      <c r="AB227" s="64"/>
      <c r="AC227" s="64"/>
      <c r="AD227" s="64"/>
      <c r="AE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I228" s="64"/>
      <c r="J228" s="64"/>
      <c r="M228" s="64"/>
      <c r="N228" s="64"/>
      <c r="O228" s="64"/>
      <c r="P228" s="64"/>
      <c r="Q228" s="64"/>
      <c r="T228" s="64"/>
      <c r="U228" s="64"/>
      <c r="V228" s="64"/>
      <c r="W228" s="64"/>
      <c r="X228" s="64"/>
      <c r="AA228" s="64"/>
      <c r="AB228" s="64"/>
      <c r="AC228" s="64"/>
      <c r="AD228" s="64"/>
      <c r="AE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I229" s="64"/>
      <c r="J229" s="64"/>
      <c r="M229" s="64"/>
      <c r="N229" s="64"/>
      <c r="O229" s="64"/>
      <c r="P229" s="64"/>
      <c r="Q229" s="64"/>
      <c r="T229" s="64"/>
      <c r="U229" s="64"/>
      <c r="V229" s="64"/>
      <c r="W229" s="64"/>
      <c r="X229" s="64"/>
      <c r="AA229" s="64"/>
      <c r="AB229" s="64"/>
      <c r="AC229" s="64"/>
      <c r="AD229" s="64"/>
      <c r="AE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I230" s="64"/>
      <c r="J230" s="64"/>
      <c r="M230" s="64"/>
      <c r="N230" s="64"/>
      <c r="O230" s="64"/>
      <c r="P230" s="64"/>
      <c r="Q230" s="64"/>
      <c r="T230" s="64"/>
      <c r="U230" s="64"/>
      <c r="V230" s="64"/>
      <c r="W230" s="64"/>
      <c r="X230" s="64"/>
      <c r="AA230" s="64"/>
      <c r="AB230" s="64"/>
      <c r="AC230" s="64"/>
      <c r="AD230" s="64"/>
      <c r="AE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I231" s="64"/>
      <c r="J231" s="64"/>
      <c r="M231" s="64"/>
      <c r="N231" s="64"/>
      <c r="O231" s="64"/>
      <c r="P231" s="64"/>
      <c r="Q231" s="64"/>
      <c r="T231" s="64"/>
      <c r="U231" s="64"/>
      <c r="V231" s="64"/>
      <c r="W231" s="64"/>
      <c r="X231" s="64"/>
      <c r="AA231" s="64"/>
      <c r="AB231" s="64"/>
      <c r="AC231" s="64"/>
      <c r="AD231" s="64"/>
      <c r="AE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I232" s="64"/>
      <c r="J232" s="64"/>
      <c r="M232" s="64"/>
      <c r="N232" s="64"/>
      <c r="O232" s="64"/>
      <c r="P232" s="64"/>
      <c r="Q232" s="64"/>
      <c r="T232" s="64"/>
      <c r="U232" s="64"/>
      <c r="V232" s="64"/>
      <c r="W232" s="64"/>
      <c r="X232" s="64"/>
      <c r="AA232" s="64"/>
      <c r="AB232" s="64"/>
      <c r="AC232" s="64"/>
      <c r="AD232" s="64"/>
      <c r="AE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I233" s="64"/>
      <c r="J233" s="64"/>
      <c r="M233" s="64"/>
      <c r="N233" s="64"/>
      <c r="O233" s="64"/>
      <c r="P233" s="64"/>
      <c r="Q233" s="64"/>
      <c r="T233" s="64"/>
      <c r="U233" s="64"/>
      <c r="V233" s="64"/>
      <c r="W233" s="64"/>
      <c r="X233" s="64"/>
      <c r="AA233" s="64"/>
      <c r="AB233" s="64"/>
      <c r="AC233" s="64"/>
      <c r="AD233" s="64"/>
      <c r="AE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I234" s="64"/>
      <c r="J234" s="64"/>
      <c r="M234" s="64"/>
      <c r="N234" s="64"/>
      <c r="O234" s="64"/>
      <c r="P234" s="64"/>
      <c r="Q234" s="64"/>
      <c r="T234" s="64"/>
      <c r="U234" s="64"/>
      <c r="V234" s="64"/>
      <c r="W234" s="64"/>
      <c r="X234" s="64"/>
      <c r="AA234" s="64"/>
      <c r="AB234" s="64"/>
      <c r="AC234" s="64"/>
      <c r="AD234" s="64"/>
      <c r="AE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I235" s="64"/>
      <c r="J235" s="64"/>
      <c r="M235" s="64"/>
      <c r="N235" s="64"/>
      <c r="O235" s="64"/>
      <c r="P235" s="64"/>
      <c r="Q235" s="64"/>
      <c r="T235" s="64"/>
      <c r="U235" s="64"/>
      <c r="V235" s="64"/>
      <c r="W235" s="64"/>
      <c r="X235" s="64"/>
      <c r="AA235" s="64"/>
      <c r="AB235" s="64"/>
      <c r="AC235" s="64"/>
      <c r="AD235" s="64"/>
      <c r="AE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I236" s="64"/>
      <c r="J236" s="64"/>
      <c r="M236" s="64"/>
      <c r="N236" s="64"/>
      <c r="O236" s="64"/>
      <c r="P236" s="64"/>
      <c r="Q236" s="64"/>
      <c r="T236" s="64"/>
      <c r="U236" s="64"/>
      <c r="V236" s="64"/>
      <c r="W236" s="64"/>
      <c r="X236" s="64"/>
      <c r="AA236" s="64"/>
      <c r="AB236" s="64"/>
      <c r="AC236" s="64"/>
      <c r="AD236" s="64"/>
      <c r="AE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I237" s="64"/>
      <c r="J237" s="64"/>
      <c r="M237" s="64"/>
      <c r="N237" s="64"/>
      <c r="O237" s="64"/>
      <c r="P237" s="64"/>
      <c r="Q237" s="64"/>
      <c r="T237" s="64"/>
      <c r="U237" s="64"/>
      <c r="V237" s="64"/>
      <c r="W237" s="64"/>
      <c r="X237" s="64"/>
      <c r="AA237" s="64"/>
      <c r="AB237" s="64"/>
      <c r="AC237" s="64"/>
      <c r="AD237" s="64"/>
      <c r="AE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I238" s="64"/>
      <c r="J238" s="64"/>
      <c r="M238" s="64"/>
      <c r="N238" s="64"/>
      <c r="O238" s="64"/>
      <c r="P238" s="64"/>
      <c r="Q238" s="64"/>
      <c r="T238" s="64"/>
      <c r="U238" s="64"/>
      <c r="V238" s="64"/>
      <c r="W238" s="64"/>
      <c r="X238" s="64"/>
      <c r="AA238" s="64"/>
      <c r="AB238" s="64"/>
      <c r="AC238" s="64"/>
      <c r="AD238" s="64"/>
      <c r="AE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I239" s="64"/>
      <c r="J239" s="64"/>
      <c r="M239" s="64"/>
      <c r="N239" s="64"/>
      <c r="O239" s="64"/>
      <c r="P239" s="64"/>
      <c r="Q239" s="64"/>
      <c r="T239" s="64"/>
      <c r="U239" s="64"/>
      <c r="V239" s="64"/>
      <c r="W239" s="64"/>
      <c r="X239" s="64"/>
      <c r="AA239" s="64"/>
      <c r="AB239" s="64"/>
      <c r="AC239" s="64"/>
      <c r="AD239" s="64"/>
      <c r="AE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I240" s="64"/>
      <c r="J240" s="64"/>
      <c r="M240" s="64"/>
      <c r="N240" s="64"/>
      <c r="O240" s="64"/>
      <c r="P240" s="64"/>
      <c r="Q240" s="64"/>
      <c r="T240" s="64"/>
      <c r="U240" s="64"/>
      <c r="V240" s="64"/>
      <c r="W240" s="64"/>
      <c r="X240" s="64"/>
      <c r="AA240" s="64"/>
      <c r="AB240" s="64"/>
      <c r="AC240" s="64"/>
      <c r="AD240" s="64"/>
      <c r="AE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I241" s="64"/>
      <c r="J241" s="64"/>
      <c r="M241" s="64"/>
      <c r="N241" s="64"/>
      <c r="O241" s="64"/>
      <c r="P241" s="64"/>
      <c r="Q241" s="64"/>
      <c r="T241" s="64"/>
      <c r="U241" s="64"/>
      <c r="V241" s="64"/>
      <c r="W241" s="64"/>
      <c r="X241" s="64"/>
      <c r="AA241" s="64"/>
      <c r="AB241" s="64"/>
      <c r="AC241" s="64"/>
      <c r="AD241" s="64"/>
      <c r="AE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I242" s="64"/>
      <c r="J242" s="64"/>
      <c r="M242" s="64"/>
      <c r="N242" s="64"/>
      <c r="O242" s="64"/>
      <c r="P242" s="64"/>
      <c r="Q242" s="64"/>
      <c r="T242" s="64"/>
      <c r="U242" s="64"/>
      <c r="V242" s="64"/>
      <c r="W242" s="64"/>
      <c r="X242" s="64"/>
      <c r="AA242" s="64"/>
      <c r="AB242" s="64"/>
      <c r="AC242" s="64"/>
      <c r="AD242" s="64"/>
      <c r="AE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I243" s="64"/>
      <c r="J243" s="64"/>
      <c r="M243" s="64"/>
      <c r="N243" s="64"/>
      <c r="O243" s="64"/>
      <c r="P243" s="64"/>
      <c r="Q243" s="64"/>
      <c r="T243" s="64"/>
      <c r="U243" s="64"/>
      <c r="V243" s="64"/>
      <c r="W243" s="64"/>
      <c r="X243" s="64"/>
      <c r="AA243" s="64"/>
      <c r="AB243" s="64"/>
      <c r="AC243" s="64"/>
      <c r="AD243" s="64"/>
      <c r="AE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I244" s="64"/>
      <c r="J244" s="64"/>
      <c r="M244" s="64"/>
      <c r="N244" s="64"/>
      <c r="O244" s="64"/>
      <c r="P244" s="64"/>
      <c r="Q244" s="64"/>
      <c r="T244" s="64"/>
      <c r="U244" s="64"/>
      <c r="V244" s="64"/>
      <c r="W244" s="64"/>
      <c r="X244" s="64"/>
      <c r="AA244" s="64"/>
      <c r="AB244" s="64"/>
      <c r="AC244" s="64"/>
      <c r="AD244" s="64"/>
      <c r="AE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I245" s="64"/>
      <c r="J245" s="64"/>
      <c r="M245" s="64"/>
      <c r="N245" s="64"/>
      <c r="O245" s="64"/>
      <c r="P245" s="64"/>
      <c r="Q245" s="64"/>
      <c r="T245" s="64"/>
      <c r="U245" s="64"/>
      <c r="V245" s="64"/>
      <c r="W245" s="64"/>
      <c r="X245" s="64"/>
      <c r="AA245" s="64"/>
      <c r="AB245" s="64"/>
      <c r="AC245" s="64"/>
      <c r="AD245" s="64"/>
      <c r="AE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I246" s="64"/>
      <c r="J246" s="64"/>
      <c r="M246" s="64"/>
      <c r="N246" s="64"/>
      <c r="O246" s="64"/>
      <c r="P246" s="64"/>
      <c r="Q246" s="64"/>
      <c r="T246" s="64"/>
      <c r="U246" s="64"/>
      <c r="V246" s="64"/>
      <c r="W246" s="64"/>
      <c r="X246" s="64"/>
      <c r="AA246" s="64"/>
      <c r="AB246" s="64"/>
      <c r="AC246" s="64"/>
      <c r="AD246" s="64"/>
      <c r="AE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I247" s="64"/>
      <c r="J247" s="64"/>
      <c r="M247" s="64"/>
      <c r="N247" s="64"/>
      <c r="O247" s="64"/>
      <c r="P247" s="64"/>
      <c r="Q247" s="64"/>
      <c r="T247" s="64"/>
      <c r="U247" s="64"/>
      <c r="V247" s="64"/>
      <c r="W247" s="64"/>
      <c r="X247" s="64"/>
      <c r="AA247" s="64"/>
      <c r="AB247" s="64"/>
      <c r="AC247" s="64"/>
      <c r="AD247" s="64"/>
      <c r="AE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I248" s="64"/>
      <c r="J248" s="64"/>
      <c r="M248" s="64"/>
      <c r="N248" s="64"/>
      <c r="O248" s="64"/>
      <c r="P248" s="64"/>
      <c r="Q248" s="64"/>
      <c r="T248" s="64"/>
      <c r="U248" s="64"/>
      <c r="V248" s="64"/>
      <c r="W248" s="64"/>
      <c r="X248" s="64"/>
      <c r="AA248" s="64"/>
      <c r="AB248" s="64"/>
      <c r="AC248" s="64"/>
      <c r="AD248" s="64"/>
      <c r="AE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I249" s="64"/>
      <c r="J249" s="64"/>
      <c r="M249" s="64"/>
      <c r="N249" s="64"/>
      <c r="O249" s="64"/>
      <c r="P249" s="64"/>
      <c r="Q249" s="64"/>
      <c r="T249" s="64"/>
      <c r="U249" s="64"/>
      <c r="V249" s="64"/>
      <c r="W249" s="64"/>
      <c r="X249" s="64"/>
      <c r="AA249" s="64"/>
      <c r="AB249" s="64"/>
      <c r="AC249" s="64"/>
      <c r="AD249" s="64"/>
      <c r="AE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I250" s="64"/>
      <c r="J250" s="64"/>
      <c r="M250" s="64"/>
      <c r="N250" s="64"/>
      <c r="O250" s="64"/>
      <c r="P250" s="64"/>
      <c r="Q250" s="64"/>
      <c r="T250" s="64"/>
      <c r="U250" s="64"/>
      <c r="V250" s="64"/>
      <c r="W250" s="64"/>
      <c r="X250" s="64"/>
      <c r="AA250" s="64"/>
      <c r="AB250" s="64"/>
      <c r="AC250" s="64"/>
      <c r="AD250" s="64"/>
      <c r="AE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I251" s="64"/>
      <c r="J251" s="64"/>
      <c r="M251" s="64"/>
      <c r="N251" s="64"/>
      <c r="O251" s="64"/>
      <c r="P251" s="64"/>
      <c r="Q251" s="64"/>
      <c r="T251" s="64"/>
      <c r="U251" s="64"/>
      <c r="V251" s="64"/>
      <c r="W251" s="64"/>
      <c r="X251" s="64"/>
      <c r="AA251" s="64"/>
      <c r="AB251" s="64"/>
      <c r="AC251" s="64"/>
      <c r="AD251" s="64"/>
      <c r="AE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I252" s="64"/>
      <c r="J252" s="64"/>
      <c r="M252" s="64"/>
      <c r="N252" s="64"/>
      <c r="O252" s="64"/>
      <c r="P252" s="64"/>
      <c r="Q252" s="64"/>
      <c r="T252" s="64"/>
      <c r="U252" s="64"/>
      <c r="V252" s="64"/>
      <c r="W252" s="64"/>
      <c r="X252" s="64"/>
      <c r="AA252" s="64"/>
      <c r="AB252" s="64"/>
      <c r="AC252" s="64"/>
      <c r="AD252" s="64"/>
      <c r="AE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I253" s="64"/>
      <c r="J253" s="64"/>
      <c r="M253" s="64"/>
      <c r="N253" s="64"/>
      <c r="O253" s="64"/>
      <c r="P253" s="64"/>
      <c r="Q253" s="64"/>
      <c r="T253" s="64"/>
      <c r="U253" s="64"/>
      <c r="V253" s="64"/>
      <c r="W253" s="64"/>
      <c r="X253" s="64"/>
      <c r="AA253" s="64"/>
      <c r="AB253" s="64"/>
      <c r="AC253" s="64"/>
      <c r="AD253" s="64"/>
      <c r="AE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I254" s="64"/>
      <c r="J254" s="64"/>
      <c r="M254" s="64"/>
      <c r="N254" s="64"/>
      <c r="O254" s="64"/>
      <c r="P254" s="64"/>
      <c r="Q254" s="64"/>
      <c r="T254" s="64"/>
      <c r="U254" s="64"/>
      <c r="V254" s="64"/>
      <c r="W254" s="64"/>
      <c r="X254" s="64"/>
      <c r="AA254" s="64"/>
      <c r="AB254" s="64"/>
      <c r="AC254" s="64"/>
      <c r="AD254" s="64"/>
      <c r="AE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I255" s="64"/>
      <c r="J255" s="64"/>
      <c r="M255" s="64"/>
      <c r="N255" s="64"/>
      <c r="O255" s="64"/>
      <c r="P255" s="64"/>
      <c r="Q255" s="64"/>
      <c r="T255" s="64"/>
      <c r="U255" s="64"/>
      <c r="V255" s="64"/>
      <c r="W255" s="64"/>
      <c r="X255" s="64"/>
      <c r="AA255" s="64"/>
      <c r="AB255" s="64"/>
      <c r="AC255" s="64"/>
      <c r="AD255" s="64"/>
      <c r="AE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I256" s="64"/>
      <c r="J256" s="64"/>
      <c r="M256" s="64"/>
      <c r="N256" s="64"/>
      <c r="O256" s="64"/>
      <c r="P256" s="64"/>
      <c r="Q256" s="64"/>
      <c r="T256" s="64"/>
      <c r="U256" s="64"/>
      <c r="V256" s="64"/>
      <c r="W256" s="64"/>
      <c r="X256" s="64"/>
      <c r="AA256" s="64"/>
      <c r="AB256" s="64"/>
      <c r="AC256" s="64"/>
      <c r="AD256" s="64"/>
      <c r="AE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I257" s="64"/>
      <c r="J257" s="64"/>
      <c r="M257" s="64"/>
      <c r="N257" s="64"/>
      <c r="O257" s="64"/>
      <c r="P257" s="64"/>
      <c r="Q257" s="64"/>
      <c r="T257" s="64"/>
      <c r="U257" s="64"/>
      <c r="V257" s="64"/>
      <c r="W257" s="64"/>
      <c r="X257" s="64"/>
      <c r="AA257" s="64"/>
      <c r="AB257" s="64"/>
      <c r="AC257" s="64"/>
      <c r="AD257" s="64"/>
      <c r="AE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I258" s="64"/>
      <c r="J258" s="64"/>
      <c r="M258" s="64"/>
      <c r="N258" s="64"/>
      <c r="O258" s="64"/>
      <c r="P258" s="64"/>
      <c r="Q258" s="64"/>
      <c r="T258" s="64"/>
      <c r="U258" s="64"/>
      <c r="V258" s="64"/>
      <c r="W258" s="64"/>
      <c r="X258" s="64"/>
      <c r="AA258" s="64"/>
      <c r="AB258" s="64"/>
      <c r="AC258" s="64"/>
      <c r="AD258" s="64"/>
      <c r="AE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I259" s="64"/>
      <c r="J259" s="64"/>
      <c r="M259" s="64"/>
      <c r="N259" s="64"/>
      <c r="O259" s="64"/>
      <c r="P259" s="64"/>
      <c r="Q259" s="64"/>
      <c r="T259" s="64"/>
      <c r="U259" s="64"/>
      <c r="V259" s="64"/>
      <c r="W259" s="64"/>
      <c r="X259" s="64"/>
      <c r="AA259" s="64"/>
      <c r="AB259" s="64"/>
      <c r="AC259" s="64"/>
      <c r="AD259" s="64"/>
      <c r="AE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I260" s="64"/>
      <c r="J260" s="64"/>
      <c r="M260" s="64"/>
      <c r="N260" s="64"/>
      <c r="O260" s="64"/>
      <c r="P260" s="64"/>
      <c r="Q260" s="64"/>
      <c r="T260" s="64"/>
      <c r="U260" s="64"/>
      <c r="V260" s="64"/>
      <c r="W260" s="64"/>
      <c r="X260" s="64"/>
      <c r="AA260" s="64"/>
      <c r="AB260" s="64"/>
      <c r="AC260" s="64"/>
      <c r="AD260" s="64"/>
      <c r="AE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I261" s="64"/>
      <c r="J261" s="64"/>
      <c r="M261" s="64"/>
      <c r="N261" s="64"/>
      <c r="O261" s="64"/>
      <c r="P261" s="64"/>
      <c r="Q261" s="64"/>
      <c r="T261" s="64"/>
      <c r="U261" s="64"/>
      <c r="V261" s="64"/>
      <c r="W261" s="64"/>
      <c r="X261" s="64"/>
      <c r="AA261" s="64"/>
      <c r="AB261" s="64"/>
      <c r="AC261" s="64"/>
      <c r="AD261" s="64"/>
      <c r="AE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I262" s="64"/>
      <c r="J262" s="64"/>
      <c r="M262" s="64"/>
      <c r="N262" s="64"/>
      <c r="O262" s="64"/>
      <c r="P262" s="64"/>
      <c r="Q262" s="64"/>
      <c r="T262" s="64"/>
      <c r="U262" s="64"/>
      <c r="V262" s="64"/>
      <c r="W262" s="64"/>
      <c r="X262" s="64"/>
      <c r="AA262" s="64"/>
      <c r="AB262" s="64"/>
      <c r="AC262" s="64"/>
      <c r="AD262" s="64"/>
      <c r="AE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I263" s="64"/>
      <c r="J263" s="64"/>
      <c r="M263" s="64"/>
      <c r="N263" s="64"/>
      <c r="O263" s="64"/>
      <c r="P263" s="64"/>
      <c r="Q263" s="64"/>
      <c r="T263" s="64"/>
      <c r="U263" s="64"/>
      <c r="V263" s="64"/>
      <c r="W263" s="64"/>
      <c r="X263" s="64"/>
      <c r="AA263" s="64"/>
      <c r="AB263" s="64"/>
      <c r="AC263" s="64"/>
      <c r="AD263" s="64"/>
      <c r="AE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I264" s="64"/>
      <c r="J264" s="64"/>
      <c r="M264" s="64"/>
      <c r="N264" s="64"/>
      <c r="O264" s="64"/>
      <c r="P264" s="64"/>
      <c r="Q264" s="64"/>
      <c r="T264" s="64"/>
      <c r="U264" s="64"/>
      <c r="V264" s="64"/>
      <c r="W264" s="64"/>
      <c r="X264" s="64"/>
      <c r="AA264" s="64"/>
      <c r="AB264" s="64"/>
      <c r="AC264" s="64"/>
      <c r="AD264" s="64"/>
      <c r="AE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I265" s="64"/>
      <c r="J265" s="64"/>
      <c r="M265" s="64"/>
      <c r="N265" s="64"/>
      <c r="O265" s="64"/>
      <c r="P265" s="64"/>
      <c r="Q265" s="64"/>
      <c r="T265" s="64"/>
      <c r="U265" s="64"/>
      <c r="V265" s="64"/>
      <c r="W265" s="64"/>
      <c r="X265" s="64"/>
      <c r="AA265" s="64"/>
      <c r="AB265" s="64"/>
      <c r="AC265" s="64"/>
      <c r="AD265" s="64"/>
      <c r="AE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I266" s="64"/>
      <c r="J266" s="64"/>
      <c r="M266" s="64"/>
      <c r="N266" s="64"/>
      <c r="O266" s="64"/>
      <c r="P266" s="64"/>
      <c r="Q266" s="64"/>
      <c r="T266" s="64"/>
      <c r="U266" s="64"/>
      <c r="V266" s="64"/>
      <c r="W266" s="64"/>
      <c r="X266" s="64"/>
      <c r="AA266" s="64"/>
      <c r="AB266" s="64"/>
      <c r="AC266" s="64"/>
      <c r="AD266" s="64"/>
      <c r="AE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I267" s="64"/>
      <c r="J267" s="64"/>
      <c r="M267" s="64"/>
      <c r="N267" s="64"/>
      <c r="O267" s="64"/>
      <c r="P267" s="64"/>
      <c r="Q267" s="64"/>
      <c r="T267" s="64"/>
      <c r="U267" s="64"/>
      <c r="V267" s="64"/>
      <c r="W267" s="64"/>
      <c r="X267" s="64"/>
      <c r="AA267" s="64"/>
      <c r="AB267" s="64"/>
      <c r="AC267" s="64"/>
      <c r="AD267" s="64"/>
      <c r="AE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I268" s="64"/>
      <c r="J268" s="64"/>
      <c r="M268" s="64"/>
      <c r="N268" s="64"/>
      <c r="O268" s="64"/>
      <c r="P268" s="64"/>
      <c r="Q268" s="64"/>
      <c r="T268" s="64"/>
      <c r="U268" s="64"/>
      <c r="V268" s="64"/>
      <c r="W268" s="64"/>
      <c r="X268" s="64"/>
      <c r="AA268" s="64"/>
      <c r="AB268" s="64"/>
      <c r="AC268" s="64"/>
      <c r="AD268" s="64"/>
      <c r="AE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I269" s="64"/>
      <c r="J269" s="64"/>
      <c r="M269" s="64"/>
      <c r="N269" s="64"/>
      <c r="O269" s="64"/>
      <c r="P269" s="64"/>
      <c r="Q269" s="64"/>
      <c r="T269" s="64"/>
      <c r="U269" s="64"/>
      <c r="V269" s="64"/>
      <c r="W269" s="64"/>
      <c r="X269" s="64"/>
      <c r="AA269" s="64"/>
      <c r="AB269" s="64"/>
      <c r="AC269" s="64"/>
      <c r="AD269" s="64"/>
      <c r="AE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I270" s="64"/>
      <c r="J270" s="64"/>
      <c r="M270" s="64"/>
      <c r="N270" s="64"/>
      <c r="O270" s="64"/>
      <c r="P270" s="64"/>
      <c r="Q270" s="64"/>
      <c r="T270" s="64"/>
      <c r="U270" s="64"/>
      <c r="V270" s="64"/>
      <c r="W270" s="64"/>
      <c r="X270" s="64"/>
      <c r="AA270" s="64"/>
      <c r="AB270" s="64"/>
      <c r="AC270" s="64"/>
      <c r="AD270" s="64"/>
      <c r="AE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I271" s="64"/>
      <c r="J271" s="64"/>
      <c r="M271" s="64"/>
      <c r="N271" s="64"/>
      <c r="O271" s="64"/>
      <c r="P271" s="64"/>
      <c r="Q271" s="64"/>
      <c r="T271" s="64"/>
      <c r="U271" s="64"/>
      <c r="V271" s="64"/>
      <c r="W271" s="64"/>
      <c r="X271" s="64"/>
      <c r="AA271" s="64"/>
      <c r="AB271" s="64"/>
      <c r="AC271" s="64"/>
      <c r="AD271" s="64"/>
      <c r="AE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I272" s="64"/>
      <c r="J272" s="64"/>
      <c r="M272" s="64"/>
      <c r="N272" s="64"/>
      <c r="O272" s="64"/>
      <c r="P272" s="64"/>
      <c r="Q272" s="64"/>
      <c r="T272" s="64"/>
      <c r="U272" s="64"/>
      <c r="V272" s="64"/>
      <c r="W272" s="64"/>
      <c r="X272" s="64"/>
      <c r="AA272" s="64"/>
      <c r="AB272" s="64"/>
      <c r="AC272" s="64"/>
      <c r="AD272" s="64"/>
      <c r="AE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I273" s="64"/>
      <c r="J273" s="64"/>
      <c r="M273" s="64"/>
      <c r="N273" s="64"/>
      <c r="O273" s="64"/>
      <c r="P273" s="64"/>
      <c r="Q273" s="64"/>
      <c r="T273" s="64"/>
      <c r="U273" s="64"/>
      <c r="V273" s="64"/>
      <c r="W273" s="64"/>
      <c r="X273" s="64"/>
      <c r="AA273" s="64"/>
      <c r="AB273" s="64"/>
      <c r="AC273" s="64"/>
      <c r="AD273" s="64"/>
      <c r="AE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I274" s="64"/>
      <c r="J274" s="64"/>
      <c r="M274" s="64"/>
      <c r="N274" s="64"/>
      <c r="O274" s="64"/>
      <c r="P274" s="64"/>
      <c r="Q274" s="64"/>
      <c r="T274" s="64"/>
      <c r="U274" s="64"/>
      <c r="V274" s="64"/>
      <c r="W274" s="64"/>
      <c r="X274" s="64"/>
      <c r="AA274" s="64"/>
      <c r="AB274" s="64"/>
      <c r="AC274" s="64"/>
      <c r="AD274" s="64"/>
      <c r="AE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I275" s="64"/>
      <c r="J275" s="64"/>
      <c r="M275" s="64"/>
      <c r="N275" s="64"/>
      <c r="O275" s="64"/>
      <c r="P275" s="64"/>
      <c r="Q275" s="64"/>
      <c r="T275" s="64"/>
      <c r="U275" s="64"/>
      <c r="V275" s="64"/>
      <c r="W275" s="64"/>
      <c r="X275" s="64"/>
      <c r="AA275" s="64"/>
      <c r="AB275" s="64"/>
      <c r="AC275" s="64"/>
      <c r="AD275" s="64"/>
      <c r="AE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I276" s="64"/>
      <c r="J276" s="64"/>
      <c r="M276" s="64"/>
      <c r="N276" s="64"/>
      <c r="O276" s="64"/>
      <c r="P276" s="64"/>
      <c r="Q276" s="64"/>
      <c r="T276" s="64"/>
      <c r="U276" s="64"/>
      <c r="V276" s="64"/>
      <c r="W276" s="64"/>
      <c r="X276" s="64"/>
      <c r="AA276" s="64"/>
      <c r="AB276" s="64"/>
      <c r="AC276" s="64"/>
      <c r="AD276" s="64"/>
      <c r="AE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I277" s="64"/>
      <c r="J277" s="64"/>
      <c r="M277" s="64"/>
      <c r="N277" s="64"/>
      <c r="O277" s="64"/>
      <c r="P277" s="64"/>
      <c r="Q277" s="64"/>
      <c r="T277" s="64"/>
      <c r="U277" s="64"/>
      <c r="V277" s="64"/>
      <c r="W277" s="64"/>
      <c r="X277" s="64"/>
      <c r="AA277" s="64"/>
      <c r="AB277" s="64"/>
      <c r="AC277" s="64"/>
      <c r="AD277" s="64"/>
      <c r="AE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I278" s="64"/>
      <c r="J278" s="64"/>
      <c r="M278" s="64"/>
      <c r="N278" s="64"/>
      <c r="O278" s="64"/>
      <c r="P278" s="64"/>
      <c r="Q278" s="64"/>
      <c r="T278" s="64"/>
      <c r="U278" s="64"/>
      <c r="V278" s="64"/>
      <c r="W278" s="64"/>
      <c r="X278" s="64"/>
      <c r="AA278" s="64"/>
      <c r="AB278" s="64"/>
      <c r="AC278" s="64"/>
      <c r="AD278" s="64"/>
      <c r="AE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I279" s="64"/>
      <c r="J279" s="64"/>
      <c r="M279" s="64"/>
      <c r="N279" s="64"/>
      <c r="O279" s="64"/>
      <c r="P279" s="64"/>
      <c r="Q279" s="64"/>
      <c r="T279" s="64"/>
      <c r="U279" s="64"/>
      <c r="V279" s="64"/>
      <c r="W279" s="64"/>
      <c r="X279" s="64"/>
      <c r="AA279" s="64"/>
      <c r="AB279" s="64"/>
      <c r="AC279" s="64"/>
      <c r="AD279" s="64"/>
      <c r="AE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I280" s="64"/>
      <c r="J280" s="64"/>
      <c r="M280" s="64"/>
      <c r="N280" s="64"/>
      <c r="O280" s="64"/>
      <c r="P280" s="64"/>
      <c r="Q280" s="64"/>
      <c r="T280" s="64"/>
      <c r="U280" s="64"/>
      <c r="V280" s="64"/>
      <c r="W280" s="64"/>
      <c r="X280" s="64"/>
      <c r="AA280" s="64"/>
      <c r="AB280" s="64"/>
      <c r="AC280" s="64"/>
      <c r="AD280" s="64"/>
      <c r="AE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I281" s="64"/>
      <c r="J281" s="64"/>
      <c r="M281" s="64"/>
      <c r="N281" s="64"/>
      <c r="O281" s="64"/>
      <c r="P281" s="64"/>
      <c r="Q281" s="64"/>
      <c r="T281" s="64"/>
      <c r="U281" s="64"/>
      <c r="V281" s="64"/>
      <c r="W281" s="64"/>
      <c r="X281" s="64"/>
      <c r="AA281" s="64"/>
      <c r="AB281" s="64"/>
      <c r="AC281" s="64"/>
      <c r="AD281" s="64"/>
      <c r="AE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I282" s="64"/>
      <c r="J282" s="64"/>
      <c r="M282" s="64"/>
      <c r="N282" s="64"/>
      <c r="O282" s="64"/>
      <c r="P282" s="64"/>
      <c r="Q282" s="64"/>
      <c r="T282" s="64"/>
      <c r="U282" s="64"/>
      <c r="V282" s="64"/>
      <c r="W282" s="64"/>
      <c r="X282" s="64"/>
      <c r="AA282" s="64"/>
      <c r="AB282" s="64"/>
      <c r="AC282" s="64"/>
      <c r="AD282" s="64"/>
      <c r="AE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I283" s="64"/>
      <c r="J283" s="64"/>
      <c r="M283" s="64"/>
      <c r="N283" s="64"/>
      <c r="O283" s="64"/>
      <c r="P283" s="64"/>
      <c r="Q283" s="64"/>
      <c r="T283" s="64"/>
      <c r="U283" s="64"/>
      <c r="V283" s="64"/>
      <c r="W283" s="64"/>
      <c r="X283" s="64"/>
      <c r="AA283" s="64"/>
      <c r="AB283" s="64"/>
      <c r="AC283" s="64"/>
      <c r="AD283" s="64"/>
      <c r="AE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I284" s="64"/>
      <c r="J284" s="64"/>
      <c r="M284" s="64"/>
      <c r="N284" s="64"/>
      <c r="O284" s="64"/>
      <c r="P284" s="64"/>
      <c r="Q284" s="64"/>
      <c r="T284" s="64"/>
      <c r="U284" s="64"/>
      <c r="V284" s="64"/>
      <c r="W284" s="64"/>
      <c r="X284" s="64"/>
      <c r="AA284" s="64"/>
      <c r="AB284" s="64"/>
      <c r="AC284" s="64"/>
      <c r="AD284" s="64"/>
      <c r="AE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I285" s="64"/>
      <c r="J285" s="64"/>
      <c r="M285" s="64"/>
      <c r="N285" s="64"/>
      <c r="O285" s="64"/>
      <c r="P285" s="64"/>
      <c r="Q285" s="64"/>
      <c r="T285" s="64"/>
      <c r="U285" s="64"/>
      <c r="V285" s="64"/>
      <c r="W285" s="64"/>
      <c r="X285" s="64"/>
      <c r="AA285" s="64"/>
      <c r="AB285" s="64"/>
      <c r="AC285" s="64"/>
      <c r="AD285" s="64"/>
      <c r="AE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I286" s="64"/>
      <c r="J286" s="64"/>
      <c r="M286" s="64"/>
      <c r="N286" s="64"/>
      <c r="O286" s="64"/>
      <c r="P286" s="64"/>
      <c r="Q286" s="64"/>
      <c r="T286" s="64"/>
      <c r="U286" s="64"/>
      <c r="V286" s="64"/>
      <c r="W286" s="64"/>
      <c r="X286" s="64"/>
      <c r="AA286" s="64"/>
      <c r="AB286" s="64"/>
      <c r="AC286" s="64"/>
      <c r="AD286" s="64"/>
      <c r="AE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I287" s="64"/>
      <c r="J287" s="64"/>
      <c r="M287" s="64"/>
      <c r="N287" s="64"/>
      <c r="O287" s="64"/>
      <c r="P287" s="64"/>
      <c r="Q287" s="64"/>
      <c r="T287" s="64"/>
      <c r="U287" s="64"/>
      <c r="V287" s="64"/>
      <c r="W287" s="64"/>
      <c r="X287" s="64"/>
      <c r="AA287" s="64"/>
      <c r="AB287" s="64"/>
      <c r="AC287" s="64"/>
      <c r="AD287" s="64"/>
      <c r="AE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I288" s="64"/>
      <c r="J288" s="64"/>
      <c r="M288" s="64"/>
      <c r="N288" s="64"/>
      <c r="O288" s="64"/>
      <c r="P288" s="64"/>
      <c r="Q288" s="64"/>
      <c r="T288" s="64"/>
      <c r="U288" s="64"/>
      <c r="V288" s="64"/>
      <c r="W288" s="64"/>
      <c r="X288" s="64"/>
      <c r="AA288" s="64"/>
      <c r="AB288" s="64"/>
      <c r="AC288" s="64"/>
      <c r="AD288" s="64"/>
      <c r="AE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I289" s="64"/>
      <c r="J289" s="64"/>
      <c r="M289" s="64"/>
      <c r="N289" s="64"/>
      <c r="O289" s="64"/>
      <c r="P289" s="64"/>
      <c r="Q289" s="64"/>
      <c r="T289" s="64"/>
      <c r="U289" s="64"/>
      <c r="V289" s="64"/>
      <c r="W289" s="64"/>
      <c r="X289" s="64"/>
      <c r="AA289" s="64"/>
      <c r="AB289" s="64"/>
      <c r="AC289" s="64"/>
      <c r="AD289" s="64"/>
      <c r="AE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I290" s="64"/>
      <c r="J290" s="64"/>
      <c r="M290" s="64"/>
      <c r="N290" s="64"/>
      <c r="O290" s="64"/>
      <c r="P290" s="64"/>
      <c r="Q290" s="64"/>
      <c r="T290" s="64"/>
      <c r="U290" s="64"/>
      <c r="V290" s="64"/>
      <c r="W290" s="64"/>
      <c r="X290" s="64"/>
      <c r="AA290" s="64"/>
      <c r="AB290" s="64"/>
      <c r="AC290" s="64"/>
      <c r="AD290" s="64"/>
      <c r="AE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I291" s="64"/>
      <c r="J291" s="64"/>
      <c r="M291" s="64"/>
      <c r="N291" s="64"/>
      <c r="O291" s="64"/>
      <c r="P291" s="64"/>
      <c r="Q291" s="64"/>
      <c r="T291" s="64"/>
      <c r="U291" s="64"/>
      <c r="V291" s="64"/>
      <c r="W291" s="64"/>
      <c r="X291" s="64"/>
      <c r="AA291" s="64"/>
      <c r="AB291" s="64"/>
      <c r="AC291" s="64"/>
      <c r="AD291" s="64"/>
      <c r="AE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I292" s="64"/>
      <c r="J292" s="64"/>
      <c r="M292" s="64"/>
      <c r="N292" s="64"/>
      <c r="O292" s="64"/>
      <c r="P292" s="64"/>
      <c r="Q292" s="64"/>
      <c r="T292" s="64"/>
      <c r="U292" s="64"/>
      <c r="V292" s="64"/>
      <c r="W292" s="64"/>
      <c r="X292" s="64"/>
      <c r="AA292" s="64"/>
      <c r="AB292" s="64"/>
      <c r="AC292" s="64"/>
      <c r="AD292" s="64"/>
      <c r="AE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I293" s="64"/>
      <c r="J293" s="64"/>
      <c r="M293" s="64"/>
      <c r="N293" s="64"/>
      <c r="O293" s="64"/>
      <c r="P293" s="64"/>
      <c r="Q293" s="64"/>
      <c r="T293" s="64"/>
      <c r="U293" s="64"/>
      <c r="V293" s="64"/>
      <c r="W293" s="64"/>
      <c r="X293" s="64"/>
      <c r="AA293" s="64"/>
      <c r="AB293" s="64"/>
      <c r="AC293" s="64"/>
      <c r="AD293" s="64"/>
      <c r="AE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I294" s="64"/>
      <c r="J294" s="64"/>
      <c r="M294" s="64"/>
      <c r="N294" s="64"/>
      <c r="O294" s="64"/>
      <c r="P294" s="64"/>
      <c r="Q294" s="64"/>
      <c r="T294" s="64"/>
      <c r="U294" s="64"/>
      <c r="V294" s="64"/>
      <c r="W294" s="64"/>
      <c r="X294" s="64"/>
      <c r="AA294" s="64"/>
      <c r="AB294" s="64"/>
      <c r="AC294" s="64"/>
      <c r="AD294" s="64"/>
      <c r="AE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I295" s="64"/>
      <c r="J295" s="64"/>
      <c r="M295" s="64"/>
      <c r="N295" s="64"/>
      <c r="O295" s="64"/>
      <c r="P295" s="64"/>
      <c r="Q295" s="64"/>
      <c r="T295" s="64"/>
      <c r="U295" s="64"/>
      <c r="V295" s="64"/>
      <c r="W295" s="64"/>
      <c r="X295" s="64"/>
      <c r="AA295" s="64"/>
      <c r="AB295" s="64"/>
      <c r="AC295" s="64"/>
      <c r="AD295" s="64"/>
      <c r="AE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I296" s="64"/>
      <c r="J296" s="64"/>
      <c r="M296" s="64"/>
      <c r="N296" s="64"/>
      <c r="O296" s="64"/>
      <c r="P296" s="64"/>
      <c r="Q296" s="64"/>
      <c r="T296" s="64"/>
      <c r="U296" s="64"/>
      <c r="V296" s="64"/>
      <c r="W296" s="64"/>
      <c r="X296" s="64"/>
      <c r="AA296" s="64"/>
      <c r="AB296" s="64"/>
      <c r="AC296" s="64"/>
      <c r="AD296" s="64"/>
      <c r="AE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I297" s="64"/>
      <c r="J297" s="64"/>
      <c r="M297" s="64"/>
      <c r="N297" s="64"/>
      <c r="O297" s="64"/>
      <c r="P297" s="64"/>
      <c r="Q297" s="64"/>
      <c r="T297" s="64"/>
      <c r="U297" s="64"/>
      <c r="V297" s="64"/>
      <c r="W297" s="64"/>
      <c r="X297" s="64"/>
      <c r="AA297" s="64"/>
      <c r="AB297" s="64"/>
      <c r="AC297" s="64"/>
      <c r="AD297" s="64"/>
      <c r="AE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I298" s="64"/>
      <c r="J298" s="64"/>
      <c r="M298" s="64"/>
      <c r="N298" s="64"/>
      <c r="O298" s="64"/>
      <c r="P298" s="64"/>
      <c r="Q298" s="64"/>
      <c r="T298" s="64"/>
      <c r="U298" s="64"/>
      <c r="V298" s="64"/>
      <c r="W298" s="64"/>
      <c r="X298" s="64"/>
      <c r="AA298" s="64"/>
      <c r="AB298" s="64"/>
      <c r="AC298" s="64"/>
      <c r="AD298" s="64"/>
      <c r="AE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I299" s="64"/>
      <c r="J299" s="64"/>
      <c r="M299" s="64"/>
      <c r="N299" s="64"/>
      <c r="O299" s="64"/>
      <c r="P299" s="64"/>
      <c r="Q299" s="64"/>
      <c r="T299" s="64"/>
      <c r="U299" s="64"/>
      <c r="V299" s="64"/>
      <c r="W299" s="64"/>
      <c r="X299" s="64"/>
      <c r="AA299" s="64"/>
      <c r="AB299" s="64"/>
      <c r="AC299" s="64"/>
      <c r="AD299" s="64"/>
      <c r="AE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I300" s="64"/>
      <c r="J300" s="64"/>
      <c r="M300" s="64"/>
      <c r="N300" s="64"/>
      <c r="O300" s="64"/>
      <c r="P300" s="64"/>
      <c r="Q300" s="64"/>
      <c r="T300" s="64"/>
      <c r="U300" s="64"/>
      <c r="V300" s="64"/>
      <c r="W300" s="64"/>
      <c r="X300" s="64"/>
      <c r="AA300" s="64"/>
      <c r="AB300" s="64"/>
      <c r="AC300" s="64"/>
      <c r="AD300" s="64"/>
      <c r="AE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I301" s="64"/>
      <c r="J301" s="64"/>
      <c r="M301" s="64"/>
      <c r="N301" s="64"/>
      <c r="O301" s="64"/>
      <c r="P301" s="64"/>
      <c r="Q301" s="64"/>
      <c r="T301" s="64"/>
      <c r="U301" s="64"/>
      <c r="V301" s="64"/>
      <c r="W301" s="64"/>
      <c r="X301" s="64"/>
      <c r="AA301" s="64"/>
      <c r="AB301" s="64"/>
      <c r="AC301" s="64"/>
      <c r="AD301" s="64"/>
      <c r="AE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I302" s="64"/>
      <c r="J302" s="64"/>
      <c r="M302" s="64"/>
      <c r="N302" s="64"/>
      <c r="O302" s="64"/>
      <c r="P302" s="64"/>
      <c r="Q302" s="64"/>
      <c r="T302" s="64"/>
      <c r="U302" s="64"/>
      <c r="V302" s="64"/>
      <c r="W302" s="64"/>
      <c r="X302" s="64"/>
      <c r="AA302" s="64"/>
      <c r="AB302" s="64"/>
      <c r="AC302" s="64"/>
      <c r="AD302" s="64"/>
      <c r="AE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I303" s="64"/>
      <c r="J303" s="64"/>
      <c r="M303" s="64"/>
      <c r="N303" s="64"/>
      <c r="O303" s="64"/>
      <c r="P303" s="64"/>
      <c r="Q303" s="64"/>
      <c r="T303" s="64"/>
      <c r="U303" s="64"/>
      <c r="V303" s="64"/>
      <c r="W303" s="64"/>
      <c r="X303" s="64"/>
      <c r="AA303" s="64"/>
      <c r="AB303" s="64"/>
      <c r="AC303" s="64"/>
      <c r="AD303" s="64"/>
      <c r="AE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I304" s="64"/>
      <c r="J304" s="64"/>
      <c r="M304" s="64"/>
      <c r="N304" s="64"/>
      <c r="O304" s="64"/>
      <c r="P304" s="64"/>
      <c r="Q304" s="64"/>
      <c r="T304" s="64"/>
      <c r="U304" s="64"/>
      <c r="V304" s="64"/>
      <c r="W304" s="64"/>
      <c r="X304" s="64"/>
      <c r="AA304" s="64"/>
      <c r="AB304" s="64"/>
      <c r="AC304" s="64"/>
      <c r="AD304" s="64"/>
      <c r="AE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I305" s="64"/>
      <c r="J305" s="64"/>
      <c r="M305" s="64"/>
      <c r="N305" s="64"/>
      <c r="O305" s="64"/>
      <c r="P305" s="64"/>
      <c r="Q305" s="64"/>
      <c r="T305" s="64"/>
      <c r="U305" s="64"/>
      <c r="V305" s="64"/>
      <c r="W305" s="64"/>
      <c r="X305" s="64"/>
      <c r="AA305" s="64"/>
      <c r="AB305" s="64"/>
      <c r="AC305" s="64"/>
      <c r="AD305" s="64"/>
      <c r="AE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I306" s="64"/>
      <c r="J306" s="64"/>
      <c r="M306" s="64"/>
      <c r="N306" s="64"/>
      <c r="O306" s="64"/>
      <c r="P306" s="64"/>
      <c r="Q306" s="64"/>
      <c r="T306" s="64"/>
      <c r="U306" s="64"/>
      <c r="V306" s="64"/>
      <c r="W306" s="64"/>
      <c r="X306" s="64"/>
      <c r="AA306" s="64"/>
      <c r="AB306" s="64"/>
      <c r="AC306" s="64"/>
      <c r="AD306" s="64"/>
      <c r="AE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I307" s="64"/>
      <c r="J307" s="64"/>
      <c r="M307" s="64"/>
      <c r="N307" s="64"/>
      <c r="O307" s="64"/>
      <c r="P307" s="64"/>
      <c r="Q307" s="64"/>
      <c r="T307" s="64"/>
      <c r="U307" s="64"/>
      <c r="V307" s="64"/>
      <c r="W307" s="64"/>
      <c r="X307" s="64"/>
      <c r="AA307" s="64"/>
      <c r="AB307" s="64"/>
      <c r="AC307" s="64"/>
      <c r="AD307" s="64"/>
      <c r="AE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I308" s="64"/>
      <c r="J308" s="64"/>
      <c r="M308" s="64"/>
      <c r="N308" s="64"/>
      <c r="O308" s="64"/>
      <c r="P308" s="64"/>
      <c r="Q308" s="64"/>
      <c r="T308" s="64"/>
      <c r="U308" s="64"/>
      <c r="V308" s="64"/>
      <c r="W308" s="64"/>
      <c r="X308" s="64"/>
      <c r="AA308" s="64"/>
      <c r="AB308" s="64"/>
      <c r="AC308" s="64"/>
      <c r="AD308" s="64"/>
      <c r="AE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I309" s="64"/>
      <c r="J309" s="64"/>
      <c r="M309" s="64"/>
      <c r="N309" s="64"/>
      <c r="O309" s="64"/>
      <c r="P309" s="64"/>
      <c r="Q309" s="64"/>
      <c r="T309" s="64"/>
      <c r="U309" s="64"/>
      <c r="V309" s="64"/>
      <c r="W309" s="64"/>
      <c r="X309" s="64"/>
      <c r="AA309" s="64"/>
      <c r="AB309" s="64"/>
      <c r="AC309" s="64"/>
      <c r="AD309" s="64"/>
      <c r="AE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I310" s="64"/>
      <c r="J310" s="64"/>
      <c r="M310" s="64"/>
      <c r="N310" s="64"/>
      <c r="O310" s="64"/>
      <c r="P310" s="64"/>
      <c r="Q310" s="64"/>
      <c r="T310" s="64"/>
      <c r="U310" s="64"/>
      <c r="V310" s="64"/>
      <c r="W310" s="64"/>
      <c r="X310" s="64"/>
      <c r="AA310" s="64"/>
      <c r="AB310" s="64"/>
      <c r="AC310" s="64"/>
      <c r="AD310" s="64"/>
      <c r="AE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I311" s="64"/>
      <c r="J311" s="64"/>
      <c r="M311" s="64"/>
      <c r="N311" s="64"/>
      <c r="O311" s="64"/>
      <c r="P311" s="64"/>
      <c r="Q311" s="64"/>
      <c r="T311" s="64"/>
      <c r="U311" s="64"/>
      <c r="V311" s="64"/>
      <c r="W311" s="64"/>
      <c r="X311" s="64"/>
      <c r="AA311" s="64"/>
      <c r="AB311" s="64"/>
      <c r="AC311" s="64"/>
      <c r="AD311" s="64"/>
      <c r="AE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I312" s="64"/>
      <c r="J312" s="64"/>
      <c r="M312" s="64"/>
      <c r="N312" s="64"/>
      <c r="O312" s="64"/>
      <c r="P312" s="64"/>
      <c r="Q312" s="64"/>
      <c r="T312" s="64"/>
      <c r="U312" s="64"/>
      <c r="V312" s="64"/>
      <c r="W312" s="64"/>
      <c r="X312" s="64"/>
      <c r="AA312" s="64"/>
      <c r="AB312" s="64"/>
      <c r="AC312" s="64"/>
      <c r="AD312" s="64"/>
      <c r="AE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I313" s="64"/>
      <c r="J313" s="64"/>
      <c r="M313" s="64"/>
      <c r="N313" s="64"/>
      <c r="O313" s="64"/>
      <c r="P313" s="64"/>
      <c r="Q313" s="64"/>
      <c r="T313" s="64"/>
      <c r="U313" s="64"/>
      <c r="V313" s="64"/>
      <c r="W313" s="64"/>
      <c r="X313" s="64"/>
      <c r="AA313" s="64"/>
      <c r="AB313" s="64"/>
      <c r="AC313" s="64"/>
      <c r="AD313" s="64"/>
      <c r="AE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I314" s="64"/>
      <c r="J314" s="64"/>
      <c r="M314" s="64"/>
      <c r="N314" s="64"/>
      <c r="O314" s="64"/>
      <c r="P314" s="64"/>
      <c r="Q314" s="64"/>
      <c r="T314" s="64"/>
      <c r="U314" s="64"/>
      <c r="V314" s="64"/>
      <c r="W314" s="64"/>
      <c r="X314" s="64"/>
      <c r="AA314" s="64"/>
      <c r="AB314" s="64"/>
      <c r="AC314" s="64"/>
      <c r="AD314" s="64"/>
      <c r="AE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I315" s="64"/>
      <c r="J315" s="64"/>
      <c r="M315" s="64"/>
      <c r="N315" s="64"/>
      <c r="O315" s="64"/>
      <c r="P315" s="64"/>
      <c r="Q315" s="64"/>
      <c r="T315" s="64"/>
      <c r="U315" s="64"/>
      <c r="V315" s="64"/>
      <c r="W315" s="64"/>
      <c r="X315" s="64"/>
      <c r="AA315" s="64"/>
      <c r="AB315" s="64"/>
      <c r="AC315" s="64"/>
      <c r="AD315" s="64"/>
      <c r="AE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I316" s="64"/>
      <c r="J316" s="64"/>
      <c r="M316" s="64"/>
      <c r="N316" s="64"/>
      <c r="O316" s="64"/>
      <c r="P316" s="64"/>
      <c r="Q316" s="64"/>
      <c r="T316" s="64"/>
      <c r="U316" s="64"/>
      <c r="V316" s="64"/>
      <c r="W316" s="64"/>
      <c r="X316" s="64"/>
      <c r="AA316" s="64"/>
      <c r="AB316" s="64"/>
      <c r="AC316" s="64"/>
      <c r="AD316" s="64"/>
      <c r="AE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I317" s="64"/>
      <c r="J317" s="64"/>
      <c r="M317" s="64"/>
      <c r="N317" s="64"/>
      <c r="O317" s="64"/>
      <c r="P317" s="64"/>
      <c r="Q317" s="64"/>
      <c r="T317" s="64"/>
      <c r="U317" s="64"/>
      <c r="V317" s="64"/>
      <c r="W317" s="64"/>
      <c r="X317" s="64"/>
      <c r="AA317" s="64"/>
      <c r="AB317" s="64"/>
      <c r="AC317" s="64"/>
      <c r="AD317" s="64"/>
      <c r="AE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I318" s="64"/>
      <c r="J318" s="64"/>
      <c r="M318" s="64"/>
      <c r="N318" s="64"/>
      <c r="O318" s="64"/>
      <c r="P318" s="64"/>
      <c r="Q318" s="64"/>
      <c r="T318" s="64"/>
      <c r="U318" s="64"/>
      <c r="V318" s="64"/>
      <c r="W318" s="64"/>
      <c r="X318" s="64"/>
      <c r="AA318" s="64"/>
      <c r="AB318" s="64"/>
      <c r="AC318" s="64"/>
      <c r="AD318" s="64"/>
      <c r="AE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I319" s="64"/>
      <c r="J319" s="64"/>
      <c r="M319" s="64"/>
      <c r="N319" s="64"/>
      <c r="O319" s="64"/>
      <c r="P319" s="64"/>
      <c r="Q319" s="64"/>
      <c r="T319" s="64"/>
      <c r="U319" s="64"/>
      <c r="V319" s="64"/>
      <c r="W319" s="64"/>
      <c r="X319" s="64"/>
      <c r="AA319" s="64"/>
      <c r="AB319" s="64"/>
      <c r="AC319" s="64"/>
      <c r="AD319" s="64"/>
      <c r="AE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I320" s="64"/>
      <c r="J320" s="64"/>
      <c r="M320" s="64"/>
      <c r="N320" s="64"/>
      <c r="O320" s="64"/>
      <c r="P320" s="64"/>
      <c r="Q320" s="64"/>
      <c r="T320" s="64"/>
      <c r="U320" s="64"/>
      <c r="V320" s="64"/>
      <c r="W320" s="64"/>
      <c r="X320" s="64"/>
      <c r="AA320" s="64"/>
      <c r="AB320" s="64"/>
      <c r="AC320" s="64"/>
      <c r="AD320" s="64"/>
      <c r="AE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I321" s="64"/>
      <c r="J321" s="64"/>
      <c r="M321" s="64"/>
      <c r="N321" s="64"/>
      <c r="O321" s="64"/>
      <c r="P321" s="64"/>
      <c r="Q321" s="64"/>
      <c r="T321" s="64"/>
      <c r="U321" s="64"/>
      <c r="V321" s="64"/>
      <c r="W321" s="64"/>
      <c r="X321" s="64"/>
      <c r="AA321" s="64"/>
      <c r="AB321" s="64"/>
      <c r="AC321" s="64"/>
      <c r="AD321" s="64"/>
      <c r="AE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I322" s="64"/>
      <c r="J322" s="64"/>
      <c r="M322" s="64"/>
      <c r="N322" s="64"/>
      <c r="O322" s="64"/>
      <c r="P322" s="64"/>
      <c r="Q322" s="64"/>
      <c r="T322" s="64"/>
      <c r="U322" s="64"/>
      <c r="V322" s="64"/>
      <c r="W322" s="64"/>
      <c r="X322" s="64"/>
      <c r="AA322" s="64"/>
      <c r="AB322" s="64"/>
      <c r="AC322" s="64"/>
      <c r="AD322" s="64"/>
      <c r="AE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I323" s="64"/>
      <c r="J323" s="64"/>
      <c r="M323" s="64"/>
      <c r="N323" s="64"/>
      <c r="O323" s="64"/>
      <c r="P323" s="64"/>
      <c r="Q323" s="64"/>
      <c r="T323" s="64"/>
      <c r="U323" s="64"/>
      <c r="V323" s="64"/>
      <c r="W323" s="64"/>
      <c r="X323" s="64"/>
      <c r="AA323" s="64"/>
      <c r="AB323" s="64"/>
      <c r="AC323" s="64"/>
      <c r="AD323" s="64"/>
      <c r="AE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I324" s="64"/>
      <c r="J324" s="64"/>
      <c r="M324" s="64"/>
      <c r="N324" s="64"/>
      <c r="O324" s="64"/>
      <c r="P324" s="64"/>
      <c r="Q324" s="64"/>
      <c r="T324" s="64"/>
      <c r="U324" s="64"/>
      <c r="V324" s="64"/>
      <c r="W324" s="64"/>
      <c r="X324" s="64"/>
      <c r="AA324" s="64"/>
      <c r="AB324" s="64"/>
      <c r="AC324" s="64"/>
      <c r="AD324" s="64"/>
      <c r="AE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I325" s="64"/>
      <c r="J325" s="64"/>
      <c r="M325" s="64"/>
      <c r="N325" s="64"/>
      <c r="O325" s="64"/>
      <c r="P325" s="64"/>
      <c r="Q325" s="64"/>
      <c r="T325" s="64"/>
      <c r="U325" s="64"/>
      <c r="V325" s="64"/>
      <c r="W325" s="64"/>
      <c r="X325" s="64"/>
      <c r="AA325" s="64"/>
      <c r="AB325" s="64"/>
      <c r="AC325" s="64"/>
      <c r="AD325" s="64"/>
      <c r="AE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I326" s="64"/>
      <c r="J326" s="64"/>
      <c r="M326" s="64"/>
      <c r="N326" s="64"/>
      <c r="O326" s="64"/>
      <c r="P326" s="64"/>
      <c r="Q326" s="64"/>
      <c r="T326" s="64"/>
      <c r="U326" s="64"/>
      <c r="V326" s="64"/>
      <c r="W326" s="64"/>
      <c r="X326" s="64"/>
      <c r="AA326" s="64"/>
      <c r="AB326" s="64"/>
      <c r="AC326" s="64"/>
      <c r="AD326" s="64"/>
      <c r="AE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I327" s="64"/>
      <c r="J327" s="64"/>
      <c r="M327" s="64"/>
      <c r="N327" s="64"/>
      <c r="O327" s="64"/>
      <c r="P327" s="64"/>
      <c r="Q327" s="64"/>
      <c r="T327" s="64"/>
      <c r="U327" s="64"/>
      <c r="V327" s="64"/>
      <c r="W327" s="64"/>
      <c r="X327" s="64"/>
      <c r="AA327" s="64"/>
      <c r="AB327" s="64"/>
      <c r="AC327" s="64"/>
      <c r="AD327" s="64"/>
      <c r="AE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I328" s="64"/>
      <c r="J328" s="64"/>
      <c r="M328" s="64"/>
      <c r="N328" s="64"/>
      <c r="O328" s="64"/>
      <c r="P328" s="64"/>
      <c r="Q328" s="64"/>
      <c r="T328" s="64"/>
      <c r="U328" s="64"/>
      <c r="V328" s="64"/>
      <c r="W328" s="64"/>
      <c r="X328" s="64"/>
      <c r="AA328" s="64"/>
      <c r="AB328" s="64"/>
      <c r="AC328" s="64"/>
      <c r="AD328" s="64"/>
      <c r="AE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I329" s="64"/>
      <c r="J329" s="64"/>
      <c r="M329" s="64"/>
      <c r="N329" s="64"/>
      <c r="O329" s="64"/>
      <c r="P329" s="64"/>
      <c r="Q329" s="64"/>
      <c r="T329" s="64"/>
      <c r="U329" s="64"/>
      <c r="V329" s="64"/>
      <c r="W329" s="64"/>
      <c r="X329" s="64"/>
      <c r="AA329" s="64"/>
      <c r="AB329" s="64"/>
      <c r="AC329" s="64"/>
      <c r="AD329" s="64"/>
      <c r="AE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I330" s="64"/>
      <c r="J330" s="64"/>
      <c r="M330" s="64"/>
      <c r="N330" s="64"/>
      <c r="O330" s="64"/>
      <c r="P330" s="64"/>
      <c r="Q330" s="64"/>
      <c r="T330" s="64"/>
      <c r="U330" s="64"/>
      <c r="V330" s="64"/>
      <c r="W330" s="64"/>
      <c r="X330" s="64"/>
      <c r="AA330" s="64"/>
      <c r="AB330" s="64"/>
      <c r="AC330" s="64"/>
      <c r="AD330" s="64"/>
      <c r="AE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I331" s="64"/>
      <c r="J331" s="64"/>
      <c r="M331" s="64"/>
      <c r="N331" s="64"/>
      <c r="O331" s="64"/>
      <c r="P331" s="64"/>
      <c r="Q331" s="64"/>
      <c r="T331" s="64"/>
      <c r="U331" s="64"/>
      <c r="V331" s="64"/>
      <c r="W331" s="64"/>
      <c r="X331" s="64"/>
      <c r="AA331" s="64"/>
      <c r="AB331" s="64"/>
      <c r="AC331" s="64"/>
      <c r="AD331" s="64"/>
      <c r="AE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I332" s="64"/>
      <c r="J332" s="64"/>
      <c r="M332" s="64"/>
      <c r="N332" s="64"/>
      <c r="O332" s="64"/>
      <c r="P332" s="64"/>
      <c r="Q332" s="64"/>
      <c r="T332" s="64"/>
      <c r="U332" s="64"/>
      <c r="V332" s="64"/>
      <c r="W332" s="64"/>
      <c r="X332" s="64"/>
      <c r="AA332" s="64"/>
      <c r="AB332" s="64"/>
      <c r="AC332" s="64"/>
      <c r="AD332" s="64"/>
      <c r="AE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I333" s="64"/>
      <c r="J333" s="64"/>
      <c r="M333" s="64"/>
      <c r="N333" s="64"/>
      <c r="O333" s="64"/>
      <c r="P333" s="64"/>
      <c r="Q333" s="64"/>
      <c r="T333" s="64"/>
      <c r="U333" s="64"/>
      <c r="V333" s="64"/>
      <c r="W333" s="64"/>
      <c r="X333" s="64"/>
      <c r="AA333" s="64"/>
      <c r="AB333" s="64"/>
      <c r="AC333" s="64"/>
      <c r="AD333" s="64"/>
      <c r="AE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I334" s="64"/>
      <c r="J334" s="64"/>
      <c r="M334" s="64"/>
      <c r="N334" s="64"/>
      <c r="O334" s="64"/>
      <c r="P334" s="64"/>
      <c r="Q334" s="64"/>
      <c r="T334" s="64"/>
      <c r="U334" s="64"/>
      <c r="V334" s="64"/>
      <c r="W334" s="64"/>
      <c r="X334" s="64"/>
      <c r="AA334" s="64"/>
      <c r="AB334" s="64"/>
      <c r="AC334" s="64"/>
      <c r="AD334" s="64"/>
      <c r="AE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I335" s="64"/>
      <c r="J335" s="64"/>
      <c r="M335" s="64"/>
      <c r="N335" s="64"/>
      <c r="O335" s="64"/>
      <c r="P335" s="64"/>
      <c r="Q335" s="64"/>
      <c r="T335" s="64"/>
      <c r="U335" s="64"/>
      <c r="V335" s="64"/>
      <c r="W335" s="64"/>
      <c r="X335" s="64"/>
      <c r="AA335" s="64"/>
      <c r="AB335" s="64"/>
      <c r="AC335" s="64"/>
      <c r="AD335" s="64"/>
      <c r="AE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I336" s="64"/>
      <c r="J336" s="64"/>
      <c r="M336" s="64"/>
      <c r="N336" s="64"/>
      <c r="O336" s="64"/>
      <c r="P336" s="64"/>
      <c r="Q336" s="64"/>
      <c r="T336" s="64"/>
      <c r="U336" s="64"/>
      <c r="V336" s="64"/>
      <c r="W336" s="64"/>
      <c r="X336" s="64"/>
      <c r="AA336" s="64"/>
      <c r="AB336" s="64"/>
      <c r="AC336" s="64"/>
      <c r="AD336" s="64"/>
      <c r="AE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I337" s="64"/>
      <c r="J337" s="64"/>
      <c r="M337" s="64"/>
      <c r="N337" s="64"/>
      <c r="O337" s="64"/>
      <c r="P337" s="64"/>
      <c r="Q337" s="64"/>
      <c r="T337" s="64"/>
      <c r="U337" s="64"/>
      <c r="V337" s="64"/>
      <c r="W337" s="64"/>
      <c r="X337" s="64"/>
      <c r="AA337" s="64"/>
      <c r="AB337" s="64"/>
      <c r="AC337" s="64"/>
      <c r="AD337" s="64"/>
      <c r="AE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I338" s="64"/>
      <c r="J338" s="64"/>
      <c r="M338" s="64"/>
      <c r="N338" s="64"/>
      <c r="O338" s="64"/>
      <c r="P338" s="64"/>
      <c r="Q338" s="64"/>
      <c r="T338" s="64"/>
      <c r="U338" s="64"/>
      <c r="V338" s="64"/>
      <c r="W338" s="64"/>
      <c r="X338" s="64"/>
      <c r="AA338" s="64"/>
      <c r="AB338" s="64"/>
      <c r="AC338" s="64"/>
      <c r="AD338" s="64"/>
      <c r="AE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I339" s="64"/>
      <c r="J339" s="64"/>
      <c r="M339" s="64"/>
      <c r="N339" s="64"/>
      <c r="O339" s="64"/>
      <c r="P339" s="64"/>
      <c r="Q339" s="64"/>
      <c r="T339" s="64"/>
      <c r="U339" s="64"/>
      <c r="V339" s="64"/>
      <c r="W339" s="64"/>
      <c r="X339" s="64"/>
      <c r="AA339" s="64"/>
      <c r="AB339" s="64"/>
      <c r="AC339" s="64"/>
      <c r="AD339" s="64"/>
      <c r="AE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40:AJ76 AK40:AK87 K133:X133 F31:AK39 F3:AK28">
    <cfRule type="cellIs" dxfId="28" priority="7" operator="lessThan">
      <formula>0</formula>
    </cfRule>
  </conditionalFormatting>
  <conditionalFormatting sqref="M80 P80 R80:AJ80 F131:H131 J131">
    <cfRule type="cellIs" dxfId="27" priority="10" operator="lessThan">
      <formula>0</formula>
    </cfRule>
  </conditionalFormatting>
  <conditionalFormatting sqref="M120:X123">
    <cfRule type="cellIs" dxfId="26" priority="8" operator="lessThan">
      <formula>0</formula>
    </cfRule>
  </conditionalFormatting>
  <conditionalFormatting sqref="M128:X132">
    <cfRule type="cellIs" dxfId="25" priority="5" operator="lessThan">
      <formula>0</formula>
    </cfRule>
  </conditionalFormatting>
  <conditionalFormatting sqref="M77:AJ79 F77:L87 M81:AJ87 F88:AK117 M118:AJ119 F118:J130 K118:L132 AK118:AK135 F132:J135 K134:AJ135">
    <cfRule type="cellIs" dxfId="24" priority="6" operator="lessThan">
      <formula>0</formula>
    </cfRule>
  </conditionalFormatting>
  <conditionalFormatting sqref="M124:AJ124 M125:X126 M127:Q127 S127:X127">
    <cfRule type="cellIs" dxfId="23" priority="9" operator="lessThan">
      <formula>0</formula>
    </cfRule>
  </conditionalFormatting>
  <conditionalFormatting sqref="Z120:AJ123">
    <cfRule type="cellIs" dxfId="22" priority="4" operator="lessThan">
      <formula>0</formula>
    </cfRule>
  </conditionalFormatting>
  <conditionalFormatting sqref="Z125:AJ133">
    <cfRule type="cellIs" dxfId="21" priority="3" operator="lessThan">
      <formula>0</formula>
    </cfRule>
  </conditionalFormatting>
  <conditionalFormatting sqref="AK29:AK30">
    <cfRule type="cellIs" dxfId="20" priority="2" operator="lessThan">
      <formula>0</formula>
    </cfRule>
  </conditionalFormatting>
  <conditionalFormatting sqref="F29:AJ30">
    <cfRule type="cellIs" dxfId="1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DDDC-EAE4-46A0-BF6C-64AF3C9B88D3}">
  <dimension ref="A1:AS339"/>
  <sheetViews>
    <sheetView tabSelected="1" zoomScale="80" zoomScaleNormal="80" workbookViewId="0">
      <pane xSplit="1" ySplit="2" topLeftCell="B12" activePane="bottomRight" state="frozen"/>
      <selection pane="bottomRight" activeCell="AE26" sqref="AE26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4" bestFit="1" customWidth="1"/>
    <col min="7" max="7" width="6.140625" style="64" customWidth="1"/>
    <col min="8" max="8" width="4.5703125" style="64" bestFit="1" customWidth="1"/>
    <col min="9" max="10" width="5.5703125" style="64" bestFit="1" customWidth="1"/>
    <col min="11" max="11" width="5.5703125" style="68" bestFit="1" customWidth="1"/>
    <col min="12" max="12" width="5.5703125" style="68" customWidth="1"/>
    <col min="13" max="16" width="5.5703125" style="64" bestFit="1" customWidth="1"/>
    <col min="17" max="17" width="6.140625" style="64" customWidth="1"/>
    <col min="18" max="18" width="5.5703125" style="68" customWidth="1"/>
    <col min="19" max="19" width="6.7109375" style="68" bestFit="1" customWidth="1"/>
    <col min="20" max="20" width="4.5703125" style="64" bestFit="1" customWidth="1"/>
    <col min="21" max="21" width="5.140625" style="64" bestFit="1" customWidth="1"/>
    <col min="22" max="22" width="5.5703125" style="64" bestFit="1" customWidth="1"/>
    <col min="23" max="23" width="4.5703125" style="64" bestFit="1" customWidth="1"/>
    <col min="24" max="24" width="5.5703125" style="64" bestFit="1" customWidth="1"/>
    <col min="25" max="26" width="5.5703125" style="68" bestFit="1" customWidth="1"/>
    <col min="27" max="27" width="6.7109375" style="64" bestFit="1" customWidth="1"/>
    <col min="28" max="28" width="5.140625" style="64" bestFit="1" customWidth="1"/>
    <col min="29" max="29" width="5" style="64" bestFit="1" customWidth="1"/>
    <col min="30" max="30" width="6.7109375" style="64" bestFit="1" customWidth="1"/>
    <col min="31" max="31" width="5.5703125" style="64" bestFit="1" customWidth="1"/>
    <col min="32" max="33" width="4.5703125" style="68" bestFit="1" customWidth="1"/>
    <col min="34" max="34" width="5.7109375" style="64" bestFit="1" customWidth="1"/>
    <col min="35" max="35" width="6.28515625" style="64" customWidth="1"/>
    <col min="36" max="36" width="5.140625" style="64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116" t="s">
        <v>338</v>
      </c>
      <c r="G1" s="116" t="s">
        <v>339</v>
      </c>
      <c r="H1" s="116" t="s">
        <v>333</v>
      </c>
      <c r="I1" s="116" t="s">
        <v>334</v>
      </c>
      <c r="J1" s="116" t="s">
        <v>335</v>
      </c>
      <c r="K1" s="120" t="s">
        <v>336</v>
      </c>
      <c r="L1" s="120" t="s">
        <v>337</v>
      </c>
      <c r="M1" s="116" t="s">
        <v>338</v>
      </c>
      <c r="N1" s="116" t="s">
        <v>339</v>
      </c>
      <c r="O1" s="116" t="s">
        <v>333</v>
      </c>
      <c r="P1" s="116" t="s">
        <v>334</v>
      </c>
      <c r="Q1" s="116" t="s">
        <v>335</v>
      </c>
      <c r="R1" s="120" t="s">
        <v>336</v>
      </c>
      <c r="S1" s="120" t="s">
        <v>337</v>
      </c>
      <c r="T1" s="116" t="s">
        <v>338</v>
      </c>
      <c r="U1" s="116" t="s">
        <v>339</v>
      </c>
      <c r="V1" s="116" t="s">
        <v>333</v>
      </c>
      <c r="W1" s="116" t="s">
        <v>334</v>
      </c>
      <c r="X1" s="116" t="s">
        <v>335</v>
      </c>
      <c r="Y1" s="120" t="s">
        <v>336</v>
      </c>
      <c r="Z1" s="120" t="s">
        <v>337</v>
      </c>
      <c r="AA1" s="116" t="s">
        <v>338</v>
      </c>
      <c r="AB1" s="116" t="s">
        <v>339</v>
      </c>
      <c r="AC1" s="116" t="s">
        <v>333</v>
      </c>
      <c r="AD1" s="116" t="s">
        <v>334</v>
      </c>
      <c r="AE1" s="116" t="s">
        <v>335</v>
      </c>
      <c r="AF1" s="120" t="s">
        <v>336</v>
      </c>
      <c r="AG1" s="120" t="s">
        <v>337</v>
      </c>
      <c r="AH1" s="116" t="s">
        <v>338</v>
      </c>
      <c r="AI1" s="116" t="s">
        <v>339</v>
      </c>
      <c r="AJ1" s="116" t="s">
        <v>333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2">
        <v>46419</v>
      </c>
      <c r="G2" s="112">
        <v>46420</v>
      </c>
      <c r="H2" s="112">
        <v>46421</v>
      </c>
      <c r="I2" s="112">
        <v>46422</v>
      </c>
      <c r="J2" s="112">
        <v>46423</v>
      </c>
      <c r="K2" s="129">
        <v>46424</v>
      </c>
      <c r="L2" s="129">
        <v>46425</v>
      </c>
      <c r="M2" s="112">
        <v>46426</v>
      </c>
      <c r="N2" s="112">
        <v>46427</v>
      </c>
      <c r="O2" s="112">
        <v>46428</v>
      </c>
      <c r="P2" s="112">
        <v>46429</v>
      </c>
      <c r="Q2" s="112">
        <v>46430</v>
      </c>
      <c r="R2" s="129">
        <v>46431</v>
      </c>
      <c r="S2" s="129">
        <v>46432</v>
      </c>
      <c r="T2" s="112">
        <v>46433</v>
      </c>
      <c r="U2" s="112">
        <v>46434</v>
      </c>
      <c r="V2" s="112">
        <v>46435</v>
      </c>
      <c r="W2" s="112">
        <v>46436</v>
      </c>
      <c r="X2" s="112">
        <v>46437</v>
      </c>
      <c r="Y2" s="129">
        <v>46438</v>
      </c>
      <c r="Z2" s="129">
        <v>46439</v>
      </c>
      <c r="AA2" s="112">
        <v>46440</v>
      </c>
      <c r="AB2" s="112">
        <v>46441</v>
      </c>
      <c r="AC2" s="112">
        <v>46442</v>
      </c>
      <c r="AD2" s="112">
        <v>46443</v>
      </c>
      <c r="AE2" s="112">
        <v>46444</v>
      </c>
      <c r="AF2" s="129">
        <v>46445</v>
      </c>
      <c r="AG2" s="129">
        <v>46446</v>
      </c>
      <c r="AH2" s="112"/>
      <c r="AI2" s="112"/>
      <c r="AJ2" s="112"/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0"/>
      <c r="G4" s="70"/>
      <c r="H4" s="70"/>
      <c r="I4" s="70"/>
      <c r="J4" s="70"/>
      <c r="K4" s="120"/>
      <c r="L4" s="120"/>
      <c r="M4" s="70"/>
      <c r="N4" s="70"/>
      <c r="O4" s="70"/>
      <c r="P4" s="70"/>
      <c r="Q4" s="70"/>
      <c r="R4" s="120"/>
      <c r="S4" s="120"/>
      <c r="T4" s="70"/>
      <c r="U4" s="70"/>
      <c r="V4" s="70"/>
      <c r="W4" s="70"/>
      <c r="X4" s="70"/>
      <c r="Y4" s="120"/>
      <c r="Z4" s="120"/>
      <c r="AA4" s="70"/>
      <c r="AB4" s="70"/>
      <c r="AC4" s="70"/>
      <c r="AD4" s="70"/>
      <c r="AE4" s="70"/>
      <c r="AF4" s="120"/>
      <c r="AG4" s="120"/>
      <c r="AH4" s="70"/>
      <c r="AI4" s="70"/>
      <c r="AJ4" s="7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0"/>
      <c r="G5" s="70"/>
      <c r="H5" s="70"/>
      <c r="I5" s="70"/>
      <c r="J5" s="70"/>
      <c r="K5" s="120"/>
      <c r="L5" s="120"/>
      <c r="M5" s="70"/>
      <c r="N5" s="70"/>
      <c r="O5" s="70"/>
      <c r="P5" s="70"/>
      <c r="Q5" s="70"/>
      <c r="R5" s="120"/>
      <c r="S5" s="120"/>
      <c r="T5" s="70"/>
      <c r="U5" s="70"/>
      <c r="V5" s="70"/>
      <c r="W5" s="70"/>
      <c r="X5" s="70"/>
      <c r="Y5" s="120"/>
      <c r="Z5" s="120"/>
      <c r="AA5" s="70"/>
      <c r="AB5" s="70"/>
      <c r="AC5" s="70"/>
      <c r="AD5" s="70"/>
      <c r="AE5" s="70"/>
      <c r="AF5" s="120"/>
      <c r="AG5" s="120"/>
      <c r="AH5" s="70"/>
      <c r="AI5" s="70"/>
      <c r="AJ5" s="7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0"/>
      <c r="G6" s="70">
        <v>8</v>
      </c>
      <c r="H6" s="70"/>
      <c r="I6" s="70">
        <v>8</v>
      </c>
      <c r="J6" s="70">
        <v>8</v>
      </c>
      <c r="K6" s="120"/>
      <c r="L6" s="120"/>
      <c r="M6" s="70">
        <v>8</v>
      </c>
      <c r="N6" s="70"/>
      <c r="O6" s="70">
        <v>8</v>
      </c>
      <c r="P6" s="70">
        <v>8</v>
      </c>
      <c r="Q6" s="70"/>
      <c r="R6" s="120"/>
      <c r="S6" s="120"/>
      <c r="T6" s="70"/>
      <c r="U6" s="70"/>
      <c r="V6" s="70"/>
      <c r="W6" s="70"/>
      <c r="X6" s="70"/>
      <c r="Y6" s="120"/>
      <c r="Z6" s="120"/>
      <c r="AA6" s="70"/>
      <c r="AB6" s="70"/>
      <c r="AC6" s="70"/>
      <c r="AD6" s="70"/>
      <c r="AE6" s="70"/>
      <c r="AF6" s="120"/>
      <c r="AG6" s="120"/>
      <c r="AH6" s="70"/>
      <c r="AI6" s="70"/>
      <c r="AJ6" s="70"/>
      <c r="AK6" s="78">
        <f t="shared" si="0"/>
        <v>48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0"/>
      <c r="G7" s="70"/>
      <c r="H7" s="70"/>
      <c r="I7" s="70"/>
      <c r="J7" s="70"/>
      <c r="K7" s="120"/>
      <c r="L7" s="120"/>
      <c r="M7" s="70"/>
      <c r="N7" s="70"/>
      <c r="O7" s="70"/>
      <c r="P7" s="70"/>
      <c r="Q7" s="70"/>
      <c r="R7" s="120"/>
      <c r="S7" s="120"/>
      <c r="T7" s="70"/>
      <c r="U7" s="70"/>
      <c r="V7" s="70"/>
      <c r="W7" s="70"/>
      <c r="X7" s="70"/>
      <c r="Y7" s="120"/>
      <c r="Z7" s="120"/>
      <c r="AA7" s="70">
        <v>8</v>
      </c>
      <c r="AB7" s="70"/>
      <c r="AC7" s="70"/>
      <c r="AD7" s="70">
        <v>8</v>
      </c>
      <c r="AE7" s="70">
        <v>8</v>
      </c>
      <c r="AF7" s="120"/>
      <c r="AG7" s="120"/>
      <c r="AH7" s="70"/>
      <c r="AI7" s="70"/>
      <c r="AJ7" s="70"/>
      <c r="AK7" s="78">
        <f t="shared" si="0"/>
        <v>24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8"/>
      <c r="G8" s="108"/>
      <c r="I8" s="108"/>
      <c r="J8" s="108"/>
      <c r="K8" s="128"/>
      <c r="L8" s="128"/>
      <c r="M8" s="108"/>
      <c r="N8" s="108"/>
      <c r="O8" s="108"/>
      <c r="P8" s="108"/>
      <c r="Q8" s="108"/>
      <c r="R8" s="128"/>
      <c r="S8" s="128"/>
      <c r="T8" s="108"/>
      <c r="U8" s="70"/>
      <c r="V8" s="108"/>
      <c r="W8" s="70"/>
      <c r="X8" s="70"/>
      <c r="Y8" s="128"/>
      <c r="Z8" s="128"/>
      <c r="AA8" s="108"/>
      <c r="AB8" s="108"/>
      <c r="AC8" s="108"/>
      <c r="AD8" s="70"/>
      <c r="AE8" s="70"/>
      <c r="AF8" s="120"/>
      <c r="AG8" s="120"/>
      <c r="AH8" s="70"/>
      <c r="AI8" s="70"/>
      <c r="AJ8" s="7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0"/>
      <c r="G9" s="70"/>
      <c r="H9" s="70"/>
      <c r="I9" s="70"/>
      <c r="J9" s="70"/>
      <c r="K9" s="120"/>
      <c r="L9" s="120"/>
      <c r="M9" s="70"/>
      <c r="N9" s="70"/>
      <c r="O9" s="70"/>
      <c r="P9" s="70"/>
      <c r="Q9" s="70"/>
      <c r="R9" s="120"/>
      <c r="S9" s="120"/>
      <c r="T9" s="70"/>
      <c r="U9" s="162" t="s">
        <v>421</v>
      </c>
      <c r="V9" s="70"/>
      <c r="W9" s="70"/>
      <c r="X9" s="70"/>
      <c r="Y9" s="120"/>
      <c r="Z9" s="120"/>
      <c r="AA9" s="70"/>
      <c r="AB9" s="70"/>
      <c r="AC9" s="70"/>
      <c r="AD9" s="70"/>
      <c r="AE9" s="70"/>
      <c r="AF9" s="120"/>
      <c r="AG9" s="120"/>
      <c r="AH9" s="70"/>
      <c r="AI9" s="70"/>
      <c r="AJ9" s="70"/>
      <c r="AK9" s="78">
        <f t="shared" si="0"/>
        <v>0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0"/>
      <c r="G10" s="70"/>
      <c r="H10" s="70"/>
      <c r="I10" s="70"/>
      <c r="J10" s="70"/>
      <c r="K10" s="120"/>
      <c r="L10" s="120"/>
      <c r="M10" s="70"/>
      <c r="N10" s="70"/>
      <c r="O10" s="70"/>
      <c r="P10" s="70"/>
      <c r="Q10" s="70"/>
      <c r="R10" s="120"/>
      <c r="S10" s="120"/>
      <c r="T10" s="70"/>
      <c r="U10" s="70"/>
      <c r="V10" s="70"/>
      <c r="W10" s="70"/>
      <c r="X10" s="70"/>
      <c r="Y10" s="120"/>
      <c r="Z10" s="120"/>
      <c r="AA10" s="70"/>
      <c r="AB10" s="70"/>
      <c r="AC10" s="70"/>
      <c r="AD10" s="70"/>
      <c r="AE10" s="70"/>
      <c r="AF10" s="120"/>
      <c r="AG10" s="120"/>
      <c r="AH10" s="70"/>
      <c r="AI10" s="70"/>
      <c r="AJ10" s="7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0"/>
      <c r="G11" s="70"/>
      <c r="H11" s="70"/>
      <c r="I11" s="70"/>
      <c r="J11" s="70"/>
      <c r="K11" s="120"/>
      <c r="L11" s="120"/>
      <c r="M11" s="70"/>
      <c r="N11" s="70"/>
      <c r="O11" s="70"/>
      <c r="P11" s="70"/>
      <c r="Q11" s="70"/>
      <c r="R11" s="120"/>
      <c r="S11" s="120"/>
      <c r="T11" s="70"/>
      <c r="U11" s="70"/>
      <c r="V11" s="70"/>
      <c r="W11" s="70"/>
      <c r="X11" s="70"/>
      <c r="Y11" s="120"/>
      <c r="Z11" s="120"/>
      <c r="AA11" s="70"/>
      <c r="AB11" s="70"/>
      <c r="AC11" s="70"/>
      <c r="AD11" s="70"/>
      <c r="AE11" s="70"/>
      <c r="AF11" s="120"/>
      <c r="AG11" s="120"/>
      <c r="AH11" s="70"/>
      <c r="AI11" s="70"/>
      <c r="AJ11" s="7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0"/>
      <c r="G12" s="70"/>
      <c r="H12" s="70"/>
      <c r="I12" s="70"/>
      <c r="J12" s="70"/>
      <c r="K12" s="120"/>
      <c r="L12" s="120"/>
      <c r="M12" s="70"/>
      <c r="N12" s="70"/>
      <c r="O12" s="70"/>
      <c r="P12" s="70"/>
      <c r="Q12" s="70"/>
      <c r="R12" s="120"/>
      <c r="S12" s="120"/>
      <c r="T12" s="70"/>
      <c r="U12" s="70"/>
      <c r="V12" s="70"/>
      <c r="W12" s="70"/>
      <c r="X12" s="70"/>
      <c r="Y12" s="120"/>
      <c r="Z12" s="120"/>
      <c r="AA12" s="70"/>
      <c r="AB12" s="70"/>
      <c r="AC12" s="70"/>
      <c r="AD12" s="70"/>
      <c r="AE12" s="70"/>
      <c r="AF12" s="120"/>
      <c r="AG12" s="120"/>
      <c r="AH12" s="70"/>
      <c r="AI12" s="70"/>
      <c r="AJ12" s="7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0"/>
      <c r="G13" s="70"/>
      <c r="H13" s="70"/>
      <c r="I13" s="70"/>
      <c r="J13" s="70"/>
      <c r="K13" s="120"/>
      <c r="L13" s="120"/>
      <c r="M13" s="70"/>
      <c r="N13" s="70"/>
      <c r="O13" s="70"/>
      <c r="P13" s="70"/>
      <c r="Q13" s="70"/>
      <c r="R13" s="120"/>
      <c r="S13" s="120"/>
      <c r="T13" s="70"/>
      <c r="U13" s="70"/>
      <c r="V13" s="70"/>
      <c r="W13" s="70"/>
      <c r="X13" s="70"/>
      <c r="Y13" s="120"/>
      <c r="Z13" s="120"/>
      <c r="AA13" s="70"/>
      <c r="AB13" s="70"/>
      <c r="AC13" s="70"/>
      <c r="AD13" s="70"/>
      <c r="AE13" s="70"/>
      <c r="AF13" s="120"/>
      <c r="AG13" s="120"/>
      <c r="AH13" s="70"/>
      <c r="AI13" s="70"/>
      <c r="AJ13" s="7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0"/>
      <c r="G14" s="70"/>
      <c r="H14" s="70"/>
      <c r="I14" s="70"/>
      <c r="J14" s="70"/>
      <c r="K14" s="120"/>
      <c r="L14" s="120"/>
      <c r="M14" s="70"/>
      <c r="N14" s="70"/>
      <c r="O14" s="70"/>
      <c r="P14" s="70"/>
      <c r="Q14" s="70"/>
      <c r="R14" s="120"/>
      <c r="S14" s="120"/>
      <c r="T14" s="70"/>
      <c r="U14" s="70"/>
      <c r="V14" s="70"/>
      <c r="W14" s="70"/>
      <c r="X14" s="70"/>
      <c r="Y14" s="120"/>
      <c r="Z14" s="120"/>
      <c r="AA14" s="70"/>
      <c r="AB14" s="70"/>
      <c r="AC14" s="70"/>
      <c r="AD14" s="70"/>
      <c r="AE14" s="70"/>
      <c r="AF14" s="120"/>
      <c r="AG14" s="120"/>
      <c r="AH14" s="70"/>
      <c r="AI14" s="70"/>
      <c r="AJ14" s="7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0"/>
      <c r="G15" s="70"/>
      <c r="H15" s="70"/>
      <c r="I15" s="70"/>
      <c r="J15" s="70"/>
      <c r="K15" s="120"/>
      <c r="L15" s="120"/>
      <c r="M15" s="70"/>
      <c r="N15" s="70"/>
      <c r="O15" s="70"/>
      <c r="P15" s="70"/>
      <c r="Q15" s="70"/>
      <c r="R15" s="120"/>
      <c r="S15" s="120"/>
      <c r="T15" s="70"/>
      <c r="U15" s="70"/>
      <c r="V15" s="70"/>
      <c r="W15" s="70"/>
      <c r="X15" s="70"/>
      <c r="Y15" s="120"/>
      <c r="Z15" s="120"/>
      <c r="AA15" s="70"/>
      <c r="AB15" s="70"/>
      <c r="AC15" s="70"/>
      <c r="AD15" s="70"/>
      <c r="AE15" s="70"/>
      <c r="AF15" s="120"/>
      <c r="AG15" s="120"/>
      <c r="AH15" s="70"/>
      <c r="AI15" s="70"/>
      <c r="AJ15" s="7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0"/>
      <c r="G16" s="70"/>
      <c r="H16" s="70"/>
      <c r="I16" s="70"/>
      <c r="J16" s="70"/>
      <c r="K16" s="120"/>
      <c r="L16" s="120"/>
      <c r="M16" s="70"/>
      <c r="N16" s="70"/>
      <c r="O16" s="70"/>
      <c r="P16" s="70"/>
      <c r="Q16" s="70"/>
      <c r="R16" s="120"/>
      <c r="S16" s="120"/>
      <c r="T16" s="70"/>
      <c r="U16" s="70"/>
      <c r="V16" s="70"/>
      <c r="W16" s="70"/>
      <c r="X16" s="70"/>
      <c r="Y16" s="120"/>
      <c r="Z16" s="120"/>
      <c r="AA16" s="70"/>
      <c r="AB16" s="70"/>
      <c r="AC16" s="70"/>
      <c r="AD16" s="70"/>
      <c r="AE16" s="70"/>
      <c r="AF16" s="120"/>
      <c r="AG16" s="120"/>
      <c r="AH16" s="70"/>
      <c r="AI16" s="70"/>
      <c r="AJ16" s="7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0"/>
      <c r="G17" s="70"/>
      <c r="H17" s="70"/>
      <c r="I17" s="70"/>
      <c r="J17" s="70"/>
      <c r="K17" s="120"/>
      <c r="L17" s="120"/>
      <c r="M17" s="70"/>
      <c r="N17" s="70"/>
      <c r="O17" s="70"/>
      <c r="P17" s="70"/>
      <c r="Q17" s="70"/>
      <c r="R17" s="120"/>
      <c r="S17" s="120"/>
      <c r="T17" s="70"/>
      <c r="U17" s="70"/>
      <c r="V17" s="70"/>
      <c r="W17" s="70"/>
      <c r="X17" s="70"/>
      <c r="Y17" s="120"/>
      <c r="Z17" s="120"/>
      <c r="AA17" s="70"/>
      <c r="AB17" s="70"/>
      <c r="AC17" s="70"/>
      <c r="AD17" s="70"/>
      <c r="AE17" s="70"/>
      <c r="AF17" s="120"/>
      <c r="AG17" s="120"/>
      <c r="AH17" s="70"/>
      <c r="AI17" s="70"/>
      <c r="AJ17" s="7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0"/>
      <c r="G18" s="70"/>
      <c r="H18" s="70"/>
      <c r="I18" s="70"/>
      <c r="J18" s="70"/>
      <c r="K18" s="120"/>
      <c r="L18" s="120"/>
      <c r="M18" s="70"/>
      <c r="N18" s="70"/>
      <c r="O18" s="70"/>
      <c r="P18" s="70"/>
      <c r="Q18" s="70"/>
      <c r="R18" s="120"/>
      <c r="S18" s="120"/>
      <c r="T18" s="70"/>
      <c r="U18" s="70"/>
      <c r="V18" s="70"/>
      <c r="W18" s="70"/>
      <c r="X18" s="70"/>
      <c r="Y18" s="120"/>
      <c r="Z18" s="120"/>
      <c r="AA18" s="70"/>
      <c r="AB18" s="70"/>
      <c r="AC18" s="70"/>
      <c r="AD18" s="70"/>
      <c r="AE18" s="70"/>
      <c r="AF18" s="120"/>
      <c r="AG18" s="120"/>
      <c r="AH18" s="70"/>
      <c r="AI18" s="70"/>
      <c r="AJ18" s="7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0"/>
      <c r="G19" s="70"/>
      <c r="H19" s="70"/>
      <c r="I19" s="70"/>
      <c r="J19" s="70"/>
      <c r="K19" s="120"/>
      <c r="L19" s="120"/>
      <c r="M19" s="70"/>
      <c r="N19" s="70"/>
      <c r="O19" s="70"/>
      <c r="P19" s="70"/>
      <c r="Q19" s="70"/>
      <c r="R19" s="120"/>
      <c r="S19" s="120"/>
      <c r="T19" s="70"/>
      <c r="U19" s="70"/>
      <c r="V19" s="70"/>
      <c r="W19" s="70"/>
      <c r="X19" s="70"/>
      <c r="Y19" s="120"/>
      <c r="Z19" s="120"/>
      <c r="AA19" s="70"/>
      <c r="AB19" s="70"/>
      <c r="AC19" s="70"/>
      <c r="AD19" s="70"/>
      <c r="AE19" s="70"/>
      <c r="AF19" s="120"/>
      <c r="AG19" s="120"/>
      <c r="AH19" s="70"/>
      <c r="AI19" s="70"/>
      <c r="AJ19" s="7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0"/>
      <c r="G20" s="70"/>
      <c r="H20" s="70"/>
      <c r="I20" s="70"/>
      <c r="J20" s="70"/>
      <c r="K20" s="120"/>
      <c r="L20" s="120"/>
      <c r="M20" s="70"/>
      <c r="N20" s="70"/>
      <c r="O20" s="70"/>
      <c r="P20" s="70"/>
      <c r="Q20" s="70"/>
      <c r="R20" s="120"/>
      <c r="S20" s="120"/>
      <c r="T20" s="70"/>
      <c r="U20" s="70"/>
      <c r="V20" s="70"/>
      <c r="W20" s="70"/>
      <c r="X20" s="70"/>
      <c r="Y20" s="120"/>
      <c r="Z20" s="120"/>
      <c r="AA20" s="70"/>
      <c r="AB20" s="70"/>
      <c r="AC20" s="70"/>
      <c r="AD20" s="70"/>
      <c r="AE20" s="70"/>
      <c r="AF20" s="120"/>
      <c r="AG20" s="120"/>
      <c r="AH20" s="70"/>
      <c r="AI20" s="70"/>
      <c r="AJ20" s="7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0"/>
      <c r="G21" s="70"/>
      <c r="H21" s="70"/>
      <c r="I21" s="70"/>
      <c r="J21" s="70"/>
      <c r="K21" s="120"/>
      <c r="L21" s="120"/>
      <c r="M21" s="70"/>
      <c r="N21" s="70"/>
      <c r="O21" s="70"/>
      <c r="P21" s="70"/>
      <c r="Q21" s="70"/>
      <c r="R21" s="120"/>
      <c r="S21" s="120"/>
      <c r="T21" s="70"/>
      <c r="U21" s="70"/>
      <c r="V21" s="70"/>
      <c r="W21" s="70"/>
      <c r="X21" s="70"/>
      <c r="Y21" s="120"/>
      <c r="Z21" s="120"/>
      <c r="AA21" s="70"/>
      <c r="AB21" s="70"/>
      <c r="AC21" s="70"/>
      <c r="AD21" s="70"/>
      <c r="AE21" s="70"/>
      <c r="AF21" s="120"/>
      <c r="AG21" s="120"/>
      <c r="AH21" s="70"/>
      <c r="AI21" s="70"/>
      <c r="AJ21" s="7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0"/>
      <c r="G22" s="70"/>
      <c r="H22" s="70"/>
      <c r="I22" s="70"/>
      <c r="J22" s="70"/>
      <c r="K22" s="120"/>
      <c r="L22" s="120"/>
      <c r="M22" s="70"/>
      <c r="N22" s="70"/>
      <c r="O22" s="70"/>
      <c r="P22" s="70"/>
      <c r="Q22" s="70"/>
      <c r="R22" s="120"/>
      <c r="S22" s="120"/>
      <c r="T22" s="70"/>
      <c r="U22" s="70"/>
      <c r="V22" s="70"/>
      <c r="W22" s="70"/>
      <c r="X22" s="70"/>
      <c r="Y22" s="120"/>
      <c r="Z22" s="120"/>
      <c r="AA22" s="70"/>
      <c r="AB22" s="70"/>
      <c r="AC22" s="70"/>
      <c r="AD22" s="70"/>
      <c r="AE22" s="70"/>
      <c r="AF22" s="120"/>
      <c r="AG22" s="120"/>
      <c r="AH22" s="70"/>
      <c r="AI22" s="70"/>
      <c r="AJ22" s="7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0"/>
      <c r="G23" s="70"/>
      <c r="H23" s="70"/>
      <c r="I23" s="70"/>
      <c r="J23" s="70"/>
      <c r="K23" s="120"/>
      <c r="L23" s="120"/>
      <c r="M23" s="70"/>
      <c r="N23" s="70"/>
      <c r="O23" s="70"/>
      <c r="P23" s="70"/>
      <c r="Q23" s="70"/>
      <c r="R23" s="120"/>
      <c r="S23" s="120"/>
      <c r="T23" s="70"/>
      <c r="U23" s="70"/>
      <c r="V23" s="70"/>
      <c r="W23" s="70"/>
      <c r="X23" s="70"/>
      <c r="Y23" s="120"/>
      <c r="Z23" s="120"/>
      <c r="AA23" s="70"/>
      <c r="AB23" s="70"/>
      <c r="AC23" s="70"/>
      <c r="AD23" s="70"/>
      <c r="AE23" s="70"/>
      <c r="AF23" s="120"/>
      <c r="AG23" s="120"/>
      <c r="AH23" s="70"/>
      <c r="AI23" s="70"/>
      <c r="AJ23" s="7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0"/>
      <c r="G24" s="70"/>
      <c r="H24" s="70"/>
      <c r="I24" s="70"/>
      <c r="J24" s="70"/>
      <c r="K24" s="120"/>
      <c r="L24" s="120"/>
      <c r="M24" s="70"/>
      <c r="N24" s="70"/>
      <c r="O24" s="70"/>
      <c r="P24" s="70"/>
      <c r="Q24" s="70"/>
      <c r="R24" s="120"/>
      <c r="S24" s="120"/>
      <c r="T24" s="70"/>
      <c r="U24" s="70"/>
      <c r="V24" s="70"/>
      <c r="W24" s="70"/>
      <c r="X24" s="70"/>
      <c r="Y24" s="120"/>
      <c r="Z24" s="120"/>
      <c r="AA24" s="70"/>
      <c r="AB24" s="70"/>
      <c r="AC24" s="70"/>
      <c r="AD24" s="70"/>
      <c r="AE24" s="70"/>
      <c r="AF24" s="120"/>
      <c r="AG24" s="120"/>
      <c r="AH24" s="70"/>
      <c r="AI24" s="70"/>
      <c r="AJ24" s="7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0"/>
      <c r="G25" s="70"/>
      <c r="H25" s="70"/>
      <c r="I25" s="70"/>
      <c r="J25" s="70"/>
      <c r="K25" s="120"/>
      <c r="L25" s="120"/>
      <c r="M25" s="70"/>
      <c r="N25" s="70"/>
      <c r="O25" s="70"/>
      <c r="P25" s="70"/>
      <c r="Q25" s="70"/>
      <c r="R25" s="120"/>
      <c r="S25" s="120"/>
      <c r="T25" s="70"/>
      <c r="U25" s="70"/>
      <c r="V25" s="70"/>
      <c r="W25" s="70"/>
      <c r="X25" s="70"/>
      <c r="Y25" s="120"/>
      <c r="Z25" s="120"/>
      <c r="AA25" s="70"/>
      <c r="AB25" s="70"/>
      <c r="AC25" s="70"/>
      <c r="AD25" s="70"/>
      <c r="AE25" s="70"/>
      <c r="AF25" s="120"/>
      <c r="AG25" s="120"/>
      <c r="AH25" s="70"/>
      <c r="AI25" s="70"/>
      <c r="AJ25" s="7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0"/>
      <c r="G26" s="70"/>
      <c r="H26" s="70"/>
      <c r="I26" s="70"/>
      <c r="J26" s="70"/>
      <c r="K26" s="120"/>
      <c r="L26" s="120"/>
      <c r="M26" s="70"/>
      <c r="N26" s="70"/>
      <c r="O26" s="70"/>
      <c r="P26" s="70"/>
      <c r="Q26" s="70"/>
      <c r="R26" s="120"/>
      <c r="S26" s="120"/>
      <c r="T26" s="70"/>
      <c r="U26" s="70"/>
      <c r="V26" s="70"/>
      <c r="W26" s="70"/>
      <c r="X26" s="70"/>
      <c r="Y26" s="120"/>
      <c r="Z26" s="120"/>
      <c r="AA26" s="66">
        <v>8</v>
      </c>
      <c r="AB26" s="66">
        <v>8</v>
      </c>
      <c r="AC26" s="66">
        <v>8</v>
      </c>
      <c r="AD26" s="70"/>
      <c r="AE26" s="66">
        <v>8</v>
      </c>
      <c r="AF26" s="120"/>
      <c r="AG26" s="120"/>
      <c r="AH26" s="70"/>
      <c r="AI26" s="70"/>
      <c r="AJ26" s="70"/>
      <c r="AK26" s="78">
        <f t="shared" si="1"/>
        <v>32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0"/>
      <c r="G27" s="70"/>
      <c r="H27" s="70"/>
      <c r="I27" s="70"/>
      <c r="J27" s="70"/>
      <c r="K27" s="120"/>
      <c r="L27" s="120"/>
      <c r="M27" s="70"/>
      <c r="N27" s="70"/>
      <c r="O27" s="70"/>
      <c r="P27" s="70"/>
      <c r="Q27" s="70"/>
      <c r="R27" s="120"/>
      <c r="S27" s="120"/>
      <c r="T27" s="70"/>
      <c r="U27" s="70"/>
      <c r="V27" s="70"/>
      <c r="W27" s="70"/>
      <c r="X27" s="70"/>
      <c r="Y27" s="120"/>
      <c r="Z27" s="120"/>
      <c r="AA27" s="70"/>
      <c r="AB27" s="70"/>
      <c r="AC27" s="70"/>
      <c r="AD27" s="70"/>
      <c r="AE27" s="70"/>
      <c r="AF27" s="120"/>
      <c r="AG27" s="120"/>
      <c r="AH27" s="70"/>
      <c r="AI27" s="70"/>
      <c r="AJ27" s="7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0"/>
      <c r="G28" s="70"/>
      <c r="H28" s="70"/>
      <c r="I28" s="70"/>
      <c r="J28" s="70"/>
      <c r="K28" s="120"/>
      <c r="L28" s="120"/>
      <c r="M28" s="70"/>
      <c r="N28" s="70"/>
      <c r="O28" s="70"/>
      <c r="P28" s="70"/>
      <c r="Q28" s="70"/>
      <c r="R28" s="120"/>
      <c r="S28" s="120"/>
      <c r="T28" s="70"/>
      <c r="U28" s="70"/>
      <c r="V28" s="70"/>
      <c r="W28" s="70"/>
      <c r="X28" s="70"/>
      <c r="Y28" s="120"/>
      <c r="Z28" s="120"/>
      <c r="AA28" s="70"/>
      <c r="AB28" s="70"/>
      <c r="AC28" s="70"/>
      <c r="AD28" s="70"/>
      <c r="AE28" s="70"/>
      <c r="AF28" s="120"/>
      <c r="AG28" s="120"/>
      <c r="AH28" s="70"/>
      <c r="AI28" s="70"/>
      <c r="AJ28" s="7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0"/>
      <c r="G29" s="70"/>
      <c r="H29" s="70"/>
      <c r="I29" s="70"/>
      <c r="J29" s="70"/>
      <c r="K29" s="120"/>
      <c r="L29" s="120"/>
      <c r="M29" s="70"/>
      <c r="N29" s="70"/>
      <c r="O29" s="70"/>
      <c r="P29" s="70"/>
      <c r="Q29" s="70"/>
      <c r="R29" s="120"/>
      <c r="S29" s="120"/>
      <c r="T29" s="70"/>
      <c r="U29" s="70"/>
      <c r="V29" s="70"/>
      <c r="W29" s="70"/>
      <c r="X29" s="70"/>
      <c r="Y29" s="120"/>
      <c r="Z29" s="120"/>
      <c r="AA29" s="70"/>
      <c r="AB29" s="70"/>
      <c r="AC29" s="70"/>
      <c r="AD29" s="70"/>
      <c r="AE29" s="70"/>
      <c r="AF29" s="120"/>
      <c r="AG29" s="120"/>
      <c r="AH29" s="70"/>
      <c r="AI29" s="70"/>
      <c r="AJ29" s="70"/>
      <c r="AK29" s="78">
        <f t="shared" si="1"/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0"/>
      <c r="G30" s="70"/>
      <c r="H30" s="70"/>
      <c r="I30" s="70"/>
      <c r="J30" s="70"/>
      <c r="K30" s="120"/>
      <c r="L30" s="120"/>
      <c r="M30" s="70"/>
      <c r="N30" s="70"/>
      <c r="O30" s="70"/>
      <c r="P30" s="70"/>
      <c r="Q30" s="70"/>
      <c r="R30" s="120"/>
      <c r="S30" s="120"/>
      <c r="T30" s="70"/>
      <c r="U30" s="70"/>
      <c r="V30" s="70"/>
      <c r="W30" s="70"/>
      <c r="X30" s="70"/>
      <c r="Y30" s="120"/>
      <c r="Z30" s="120"/>
      <c r="AA30" s="70"/>
      <c r="AB30" s="70"/>
      <c r="AC30" s="70"/>
      <c r="AD30" s="70"/>
      <c r="AE30" s="70"/>
      <c r="AF30" s="120"/>
      <c r="AG30" s="120"/>
      <c r="AH30" s="70"/>
      <c r="AI30" s="70"/>
      <c r="AJ30" s="70"/>
      <c r="AK30" s="78">
        <f t="shared" si="1"/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0"/>
      <c r="G31" s="70"/>
      <c r="H31" s="70"/>
      <c r="I31" s="70"/>
      <c r="J31" s="70"/>
      <c r="K31" s="120"/>
      <c r="L31" s="120"/>
      <c r="M31" s="70"/>
      <c r="N31" s="70"/>
      <c r="O31" s="70"/>
      <c r="P31" s="70"/>
      <c r="Q31" s="70"/>
      <c r="R31" s="120"/>
      <c r="S31" s="120"/>
      <c r="T31" s="70"/>
      <c r="U31" s="70"/>
      <c r="V31" s="70"/>
      <c r="W31" s="70"/>
      <c r="X31" s="70"/>
      <c r="Y31" s="120"/>
      <c r="Z31" s="120"/>
      <c r="AA31" s="70"/>
      <c r="AB31" s="70"/>
      <c r="AC31" s="70"/>
      <c r="AD31" s="70"/>
      <c r="AE31" s="70"/>
      <c r="AF31" s="120"/>
      <c r="AG31" s="120"/>
      <c r="AH31" s="70"/>
      <c r="AI31" s="70"/>
      <c r="AJ31" s="7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0"/>
      <c r="G32" s="108"/>
      <c r="H32" s="70"/>
      <c r="I32" s="70"/>
      <c r="J32" s="70"/>
      <c r="K32" s="128"/>
      <c r="L32" s="128"/>
      <c r="M32" s="108"/>
      <c r="N32" s="108"/>
      <c r="O32" s="108"/>
      <c r="P32" s="70"/>
      <c r="Q32" s="70"/>
      <c r="R32" s="120"/>
      <c r="S32" s="128"/>
      <c r="T32" s="108"/>
      <c r="U32" s="108"/>
      <c r="V32" s="108"/>
      <c r="W32" s="108"/>
      <c r="X32" s="144">
        <v>12</v>
      </c>
      <c r="Y32" s="158">
        <v>12</v>
      </c>
      <c r="Z32" s="128"/>
      <c r="AA32" s="144">
        <v>8</v>
      </c>
      <c r="AB32" s="144">
        <v>12</v>
      </c>
      <c r="AC32" s="144">
        <v>8</v>
      </c>
      <c r="AD32" s="108"/>
      <c r="AE32" s="108"/>
      <c r="AF32" s="128"/>
      <c r="AG32" s="128"/>
      <c r="AH32" s="144">
        <v>8</v>
      </c>
      <c r="AI32" s="144"/>
      <c r="AJ32" s="144"/>
      <c r="AK32" s="78">
        <f t="shared" si="1"/>
        <v>60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0"/>
      <c r="G33" s="70"/>
      <c r="H33" s="70"/>
      <c r="I33" s="70"/>
      <c r="J33" s="70"/>
      <c r="K33" s="120"/>
      <c r="L33" s="120"/>
      <c r="M33" s="70"/>
      <c r="N33" s="70"/>
      <c r="O33" s="70"/>
      <c r="P33" s="70"/>
      <c r="Q33" s="70"/>
      <c r="R33" s="120"/>
      <c r="S33" s="120"/>
      <c r="T33" s="70"/>
      <c r="U33" s="70"/>
      <c r="V33" s="70"/>
      <c r="W33" s="70"/>
      <c r="X33" s="70"/>
      <c r="Y33" s="120"/>
      <c r="Z33" s="120"/>
      <c r="AA33" s="70"/>
      <c r="AB33" s="70"/>
      <c r="AC33" s="70"/>
      <c r="AD33" s="70"/>
      <c r="AE33" s="70"/>
      <c r="AF33" s="120"/>
      <c r="AG33" s="158">
        <v>12</v>
      </c>
      <c r="AH33" s="70"/>
      <c r="AI33" s="70"/>
      <c r="AJ33" s="70"/>
      <c r="AK33" s="78">
        <f t="shared" si="1"/>
        <v>12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0"/>
      <c r="G34" s="70"/>
      <c r="H34" s="70"/>
      <c r="I34" s="70">
        <v>20</v>
      </c>
      <c r="J34" s="70"/>
      <c r="K34" s="120"/>
      <c r="L34" s="120"/>
      <c r="M34" s="70"/>
      <c r="N34" s="70"/>
      <c r="O34" s="70"/>
      <c r="P34" s="70"/>
      <c r="Q34" s="70"/>
      <c r="R34" s="120"/>
      <c r="S34" s="120"/>
      <c r="T34" s="70"/>
      <c r="U34" s="70">
        <v>8</v>
      </c>
      <c r="V34" s="70"/>
      <c r="W34" s="70"/>
      <c r="X34" s="70"/>
      <c r="Y34" s="120"/>
      <c r="Z34" s="120"/>
      <c r="AA34" s="70"/>
      <c r="AB34" s="70"/>
      <c r="AC34" s="70"/>
      <c r="AD34" s="70"/>
      <c r="AE34" s="70"/>
      <c r="AF34" s="120"/>
      <c r="AG34" s="120"/>
      <c r="AH34" s="70"/>
      <c r="AI34" s="70"/>
      <c r="AJ34" s="70"/>
      <c r="AK34" s="78">
        <f t="shared" si="1"/>
        <v>28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0"/>
      <c r="G35" s="70"/>
      <c r="H35" s="70"/>
      <c r="I35" s="70"/>
      <c r="J35" s="70"/>
      <c r="K35" s="120"/>
      <c r="L35" s="120"/>
      <c r="M35" s="70"/>
      <c r="N35" s="70"/>
      <c r="O35" s="70"/>
      <c r="P35" s="70"/>
      <c r="Q35" s="70"/>
      <c r="R35" s="120"/>
      <c r="S35" s="120"/>
      <c r="T35" s="70"/>
      <c r="U35" s="70"/>
      <c r="V35" s="70"/>
      <c r="W35" s="70"/>
      <c r="X35" s="70"/>
      <c r="Y35" s="120"/>
      <c r="Z35" s="120"/>
      <c r="AA35" s="70"/>
      <c r="AB35" s="70"/>
      <c r="AC35" s="70"/>
      <c r="AD35" s="70"/>
      <c r="AE35" s="70"/>
      <c r="AF35" s="120"/>
      <c r="AG35" s="120"/>
      <c r="AH35" s="70"/>
      <c r="AI35" s="70"/>
      <c r="AJ35" s="7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0"/>
      <c r="G36" s="70"/>
      <c r="H36" s="70"/>
      <c r="I36" s="70"/>
      <c r="J36" s="70"/>
      <c r="K36" s="120"/>
      <c r="L36" s="120"/>
      <c r="M36" s="70"/>
      <c r="N36" s="70"/>
      <c r="O36" s="70"/>
      <c r="P36" s="70"/>
      <c r="Q36" s="70"/>
      <c r="R36" s="120"/>
      <c r="S36" s="120"/>
      <c r="T36" s="70"/>
      <c r="U36" s="70"/>
      <c r="V36" s="70"/>
      <c r="W36" s="70"/>
      <c r="X36" s="70"/>
      <c r="Y36" s="120"/>
      <c r="Z36" s="120"/>
      <c r="AA36" s="70"/>
      <c r="AB36" s="70"/>
      <c r="AC36" s="70"/>
      <c r="AD36" s="70"/>
      <c r="AE36" s="70"/>
      <c r="AF36" s="120"/>
      <c r="AG36" s="120"/>
      <c r="AH36" s="70"/>
      <c r="AI36" s="70"/>
      <c r="AJ36" s="7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4"/>
      <c r="G37" s="64"/>
      <c r="H37" s="64"/>
      <c r="I37" s="64"/>
      <c r="J37" s="64"/>
      <c r="K37" s="68"/>
      <c r="L37" s="68"/>
      <c r="M37" s="64"/>
      <c r="N37" s="64"/>
      <c r="O37" s="64"/>
      <c r="P37" s="64"/>
      <c r="Q37" s="64"/>
      <c r="R37" s="68"/>
      <c r="S37" s="68"/>
      <c r="T37" s="64"/>
      <c r="U37" s="64"/>
      <c r="V37" s="64"/>
      <c r="W37" s="64"/>
      <c r="X37" s="64"/>
      <c r="Y37" s="68"/>
      <c r="Z37" s="68"/>
      <c r="AA37" s="64"/>
      <c r="AB37" s="64"/>
      <c r="AC37" s="64"/>
      <c r="AD37" s="64"/>
      <c r="AE37" s="64"/>
      <c r="AF37" s="68"/>
      <c r="AG37" s="68"/>
      <c r="AH37" s="64"/>
      <c r="AI37" s="64"/>
      <c r="AJ37" s="64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4"/>
      <c r="G38" s="64"/>
      <c r="H38" s="64"/>
      <c r="I38" s="64"/>
      <c r="J38" s="64"/>
      <c r="K38" s="68"/>
      <c r="L38" s="68"/>
      <c r="M38" s="64"/>
      <c r="N38" s="64"/>
      <c r="O38" s="64"/>
      <c r="P38" s="64"/>
      <c r="Q38" s="64"/>
      <c r="R38" s="68"/>
      <c r="S38" s="68"/>
      <c r="T38" s="64"/>
      <c r="U38" s="64"/>
      <c r="V38" s="64"/>
      <c r="W38" s="64"/>
      <c r="X38" s="64"/>
      <c r="Y38" s="68"/>
      <c r="Z38" s="68"/>
      <c r="AA38" s="64"/>
      <c r="AB38" s="64"/>
      <c r="AC38" s="64"/>
      <c r="AD38" s="64"/>
      <c r="AE38" s="64"/>
      <c r="AF38" s="68"/>
      <c r="AG38" s="68"/>
      <c r="AH38" s="64"/>
      <c r="AI38" s="64"/>
      <c r="AJ38" s="64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0"/>
      <c r="G39" s="70"/>
      <c r="H39" s="70"/>
      <c r="I39" s="70"/>
      <c r="J39" s="70"/>
      <c r="K39" s="120"/>
      <c r="L39" s="120"/>
      <c r="M39" s="70">
        <v>8</v>
      </c>
      <c r="N39" s="70"/>
      <c r="O39" s="70">
        <v>12</v>
      </c>
      <c r="P39" s="70">
        <v>8</v>
      </c>
      <c r="Q39" s="70"/>
      <c r="R39" s="120"/>
      <c r="S39" s="120"/>
      <c r="T39" s="70">
        <v>20</v>
      </c>
      <c r="U39" s="70"/>
      <c r="V39" s="70">
        <v>8</v>
      </c>
      <c r="W39" s="70"/>
      <c r="X39" s="70"/>
      <c r="Y39" s="120"/>
      <c r="Z39" s="120"/>
      <c r="AA39" s="70"/>
      <c r="AB39" s="70"/>
      <c r="AC39" s="70"/>
      <c r="AD39" s="70"/>
      <c r="AE39" s="70"/>
      <c r="AF39" s="120"/>
      <c r="AG39" s="120"/>
      <c r="AH39" s="70"/>
      <c r="AI39" s="70"/>
      <c r="AJ39" s="70"/>
      <c r="AK39" s="78">
        <f t="shared" si="1"/>
        <v>56</v>
      </c>
    </row>
    <row r="40" spans="1:45" s="100" customFormat="1" ht="16.7" thickBot="1">
      <c r="A40" s="77"/>
      <c r="B40" s="75"/>
      <c r="C40" s="75"/>
      <c r="D40" s="96"/>
      <c r="E40" s="75"/>
      <c r="F40" s="92"/>
      <c r="G40" s="92"/>
      <c r="H40" s="92"/>
      <c r="I40" s="92"/>
      <c r="J40" s="92"/>
      <c r="K40" s="124"/>
      <c r="L40" s="124"/>
      <c r="M40" s="92"/>
      <c r="N40" s="92"/>
      <c r="O40" s="92"/>
      <c r="P40" s="92"/>
      <c r="Q40" s="92"/>
      <c r="R40" s="124"/>
      <c r="S40" s="124"/>
      <c r="T40" s="92"/>
      <c r="U40" s="92"/>
      <c r="V40" s="92"/>
      <c r="W40" s="92"/>
      <c r="X40" s="92"/>
      <c r="Y40" s="124"/>
      <c r="Z40" s="124"/>
      <c r="AA40" s="92"/>
      <c r="AB40" s="92"/>
      <c r="AC40" s="92"/>
      <c r="AD40" s="92"/>
      <c r="AE40" s="92"/>
      <c r="AF40" s="124"/>
      <c r="AG40" s="124"/>
      <c r="AH40" s="92"/>
      <c r="AI40" s="92"/>
      <c r="AJ40" s="92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83"/>
      <c r="H41" s="83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4"/>
      <c r="G42" s="62"/>
      <c r="H42" s="62"/>
      <c r="I42" s="62"/>
      <c r="J42" s="62"/>
      <c r="K42" s="127"/>
      <c r="L42" s="68"/>
      <c r="M42" s="64"/>
      <c r="N42" s="62"/>
      <c r="O42" s="62"/>
      <c r="P42" s="62"/>
      <c r="Q42" s="62"/>
      <c r="R42" s="127"/>
      <c r="S42" s="68"/>
      <c r="T42" s="64"/>
      <c r="U42" s="62"/>
      <c r="V42" s="62"/>
      <c r="W42" s="62"/>
      <c r="X42" s="62"/>
      <c r="Y42" s="127"/>
      <c r="Z42" s="68"/>
      <c r="AA42" s="64"/>
      <c r="AB42" s="62"/>
      <c r="AC42" s="62"/>
      <c r="AD42" s="62"/>
      <c r="AE42" s="62"/>
      <c r="AF42" s="127"/>
      <c r="AG42" s="68"/>
      <c r="AH42"/>
      <c r="AI42"/>
      <c r="AJ42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62"/>
      <c r="H43" s="62"/>
      <c r="I43" s="62"/>
      <c r="J43" s="62"/>
      <c r="K43" s="127"/>
      <c r="M43" s="64">
        <v>8</v>
      </c>
      <c r="N43" s="62">
        <v>8</v>
      </c>
      <c r="O43" s="62"/>
      <c r="P43" s="62"/>
      <c r="Q43" s="62"/>
      <c r="R43" s="127"/>
      <c r="U43" s="62"/>
      <c r="V43" s="62"/>
      <c r="W43" s="62"/>
      <c r="X43" s="62"/>
      <c r="Y43" s="127"/>
      <c r="AB43" s="62"/>
      <c r="AC43" s="62"/>
      <c r="AD43" s="62"/>
      <c r="AE43" s="62"/>
      <c r="AF43" s="127"/>
      <c r="AH43"/>
      <c r="AI43"/>
      <c r="AJ43"/>
      <c r="AK43" s="78">
        <f t="shared" si="1"/>
        <v>16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4"/>
      <c r="G44" s="62"/>
      <c r="H44" s="62"/>
      <c r="I44" s="62"/>
      <c r="J44" s="62"/>
      <c r="K44" s="127"/>
      <c r="L44" s="68"/>
      <c r="M44" s="64"/>
      <c r="N44" s="62"/>
      <c r="O44" s="62"/>
      <c r="P44" s="62"/>
      <c r="Q44" s="62"/>
      <c r="R44" s="127"/>
      <c r="S44" s="68"/>
      <c r="T44" s="64"/>
      <c r="U44" s="62"/>
      <c r="V44" s="62"/>
      <c r="W44" s="62"/>
      <c r="X44" s="62"/>
      <c r="Y44" s="127"/>
      <c r="Z44" s="68"/>
      <c r="AA44" s="64"/>
      <c r="AB44" s="62"/>
      <c r="AC44" s="62"/>
      <c r="AD44" s="62"/>
      <c r="AE44" s="62"/>
      <c r="AF44" s="127"/>
      <c r="AG44" s="68"/>
      <c r="AH44"/>
      <c r="AI44"/>
      <c r="AJ44"/>
      <c r="AK44" s="78">
        <f t="shared" si="1"/>
        <v>0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4"/>
      <c r="G45" s="62"/>
      <c r="H45" s="62"/>
      <c r="I45" s="62"/>
      <c r="J45" s="62"/>
      <c r="K45" s="127"/>
      <c r="L45" s="68"/>
      <c r="M45" s="64"/>
      <c r="N45" s="62"/>
      <c r="O45" s="62"/>
      <c r="P45" s="62"/>
      <c r="Q45" s="62"/>
      <c r="R45" s="127"/>
      <c r="S45" s="68"/>
      <c r="T45" s="64"/>
      <c r="U45" s="62"/>
      <c r="V45" s="62"/>
      <c r="W45" s="62"/>
      <c r="X45" s="62"/>
      <c r="Y45" s="127"/>
      <c r="Z45" s="68"/>
      <c r="AA45" s="64"/>
      <c r="AB45" s="62"/>
      <c r="AC45" s="62"/>
      <c r="AD45" s="62">
        <v>8</v>
      </c>
      <c r="AE45" s="62">
        <v>8</v>
      </c>
      <c r="AF45" s="127"/>
      <c r="AG45" s="68"/>
      <c r="AH45"/>
      <c r="AI45"/>
      <c r="AJ45"/>
      <c r="AK45" s="78">
        <f t="shared" si="1"/>
        <v>16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4"/>
      <c r="G46" s="62"/>
      <c r="H46" s="62"/>
      <c r="I46" s="62"/>
      <c r="J46" s="62"/>
      <c r="K46" s="127"/>
      <c r="L46" s="68"/>
      <c r="M46" s="64"/>
      <c r="N46" s="62"/>
      <c r="O46" s="62"/>
      <c r="P46" s="62"/>
      <c r="Q46" s="62"/>
      <c r="R46" s="127"/>
      <c r="S46" s="68"/>
      <c r="T46" s="64"/>
      <c r="U46" s="62"/>
      <c r="V46" s="62"/>
      <c r="W46" s="62"/>
      <c r="X46" s="62"/>
      <c r="Y46" s="127"/>
      <c r="Z46" s="68"/>
      <c r="AA46" s="64"/>
      <c r="AB46" s="62"/>
      <c r="AC46" s="62"/>
      <c r="AD46" s="62"/>
      <c r="AE46" s="62"/>
      <c r="AF46" s="127"/>
      <c r="AG46" s="68"/>
      <c r="AH46"/>
      <c r="AI46"/>
      <c r="AJ46" s="62"/>
      <c r="AK46" s="78">
        <f t="shared" si="1"/>
        <v>0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4"/>
      <c r="G47" s="62"/>
      <c r="H47" s="62"/>
      <c r="I47" s="62"/>
      <c r="J47" s="62"/>
      <c r="K47" s="127"/>
      <c r="L47" s="68"/>
      <c r="M47" s="64"/>
      <c r="N47" s="62"/>
      <c r="O47" s="62"/>
      <c r="P47" s="62"/>
      <c r="Q47" s="62"/>
      <c r="R47" s="127"/>
      <c r="S47" s="68"/>
      <c r="T47" s="64"/>
      <c r="U47" s="62"/>
      <c r="V47" s="62"/>
      <c r="W47" s="62"/>
      <c r="X47" s="62"/>
      <c r="Y47" s="127"/>
      <c r="Z47" s="68"/>
      <c r="AA47" s="64"/>
      <c r="AB47" s="62"/>
      <c r="AC47" s="62"/>
      <c r="AD47" s="62"/>
      <c r="AE47" s="62"/>
      <c r="AF47" s="127"/>
      <c r="AG47" s="68"/>
      <c r="AH47"/>
      <c r="AI47"/>
      <c r="AJ47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4"/>
      <c r="G48" s="62"/>
      <c r="H48" s="62"/>
      <c r="I48" s="62"/>
      <c r="J48" s="62"/>
      <c r="K48" s="127"/>
      <c r="L48" s="68"/>
      <c r="M48" s="64"/>
      <c r="N48" s="62"/>
      <c r="O48" s="62"/>
      <c r="P48" s="62"/>
      <c r="Q48" s="62"/>
      <c r="R48" s="127"/>
      <c r="S48" s="68"/>
      <c r="T48" s="64"/>
      <c r="U48" s="62"/>
      <c r="V48" s="62"/>
      <c r="W48" s="62"/>
      <c r="X48" s="62"/>
      <c r="Y48" s="127"/>
      <c r="Z48" s="68"/>
      <c r="AA48" s="64">
        <v>24</v>
      </c>
      <c r="AB48" s="62"/>
      <c r="AC48" s="62"/>
      <c r="AD48" s="62"/>
      <c r="AE48" s="62"/>
      <c r="AF48" s="127"/>
      <c r="AG48" s="68"/>
      <c r="AH48"/>
      <c r="AI48"/>
      <c r="AJ48"/>
      <c r="AK48" s="78">
        <f t="shared" si="1"/>
        <v>24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4"/>
      <c r="G49" s="62"/>
      <c r="H49" s="62"/>
      <c r="I49" s="62"/>
      <c r="J49" s="62"/>
      <c r="K49" s="127"/>
      <c r="L49" s="68"/>
      <c r="M49" s="64"/>
      <c r="N49" s="62"/>
      <c r="O49" s="62"/>
      <c r="P49" s="62"/>
      <c r="Q49" s="62"/>
      <c r="R49" s="127"/>
      <c r="S49" s="68"/>
      <c r="T49" s="64"/>
      <c r="U49" s="62"/>
      <c r="V49" s="62"/>
      <c r="W49" s="62"/>
      <c r="X49" s="62"/>
      <c r="Y49" s="127"/>
      <c r="Z49" s="68"/>
      <c r="AA49" s="64"/>
      <c r="AB49" s="62"/>
      <c r="AC49" s="62"/>
      <c r="AD49" s="62"/>
      <c r="AE49" s="62"/>
      <c r="AF49" s="127"/>
      <c r="AG49" s="68"/>
      <c r="AH49"/>
      <c r="AI49"/>
      <c r="AJ49"/>
      <c r="AK49" s="78">
        <f t="shared" si="1"/>
        <v>0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4"/>
      <c r="G50" s="62"/>
      <c r="H50" s="62"/>
      <c r="I50" s="62"/>
      <c r="J50" s="62"/>
      <c r="K50" s="127"/>
      <c r="L50" s="68"/>
      <c r="M50" s="64"/>
      <c r="N50" s="62"/>
      <c r="O50" s="62"/>
      <c r="P50" s="62"/>
      <c r="Q50" s="62"/>
      <c r="R50" s="127"/>
      <c r="S50" s="68"/>
      <c r="T50" s="64"/>
      <c r="U50" s="62"/>
      <c r="V50" s="62"/>
      <c r="W50" s="62"/>
      <c r="X50" s="62"/>
      <c r="Y50" s="127"/>
      <c r="Z50" s="68"/>
      <c r="AA50" s="64"/>
      <c r="AB50" s="62"/>
      <c r="AC50" s="62"/>
      <c r="AD50" s="62"/>
      <c r="AE50" s="62"/>
      <c r="AF50" s="127"/>
      <c r="AG50" s="68"/>
      <c r="AH50"/>
      <c r="AI50"/>
      <c r="AJ50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4"/>
      <c r="G51" s="62"/>
      <c r="H51" s="62"/>
      <c r="I51" s="62"/>
      <c r="J51" s="62"/>
      <c r="K51" s="127"/>
      <c r="L51" s="68"/>
      <c r="M51" s="64"/>
      <c r="N51" s="62"/>
      <c r="O51" s="62"/>
      <c r="P51" s="62"/>
      <c r="Q51" s="62"/>
      <c r="R51" s="127"/>
      <c r="S51" s="68"/>
      <c r="T51" s="64"/>
      <c r="U51" s="62"/>
      <c r="V51" s="62"/>
      <c r="W51" s="62"/>
      <c r="X51" s="62"/>
      <c r="Y51" s="127"/>
      <c r="Z51" s="68"/>
      <c r="AA51" s="64"/>
      <c r="AB51" s="62"/>
      <c r="AC51" s="62"/>
      <c r="AD51" s="62"/>
      <c r="AE51" s="62"/>
      <c r="AF51" s="127"/>
      <c r="AG51" s="68"/>
      <c r="AH51"/>
      <c r="AI51"/>
      <c r="AJ51"/>
      <c r="AK51" s="78">
        <f t="shared" si="1"/>
        <v>0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4"/>
      <c r="G52" s="62"/>
      <c r="H52" s="62"/>
      <c r="I52" s="62"/>
      <c r="J52" s="62"/>
      <c r="K52" s="127"/>
      <c r="L52" s="68"/>
      <c r="M52" s="64"/>
      <c r="N52" s="62"/>
      <c r="O52" s="62">
        <v>1</v>
      </c>
      <c r="P52" s="62"/>
      <c r="Q52" s="62"/>
      <c r="R52" s="127"/>
      <c r="S52" s="68"/>
      <c r="T52" s="64"/>
      <c r="U52" s="62"/>
      <c r="V52" s="62">
        <v>12</v>
      </c>
      <c r="W52" s="62"/>
      <c r="X52" s="62"/>
      <c r="Y52" s="127"/>
      <c r="Z52" s="68"/>
      <c r="AA52" s="64"/>
      <c r="AB52" s="62"/>
      <c r="AC52" s="62"/>
      <c r="AD52" s="62"/>
      <c r="AE52" s="62"/>
      <c r="AF52" s="127"/>
      <c r="AG52" s="68"/>
      <c r="AH52"/>
      <c r="AI52"/>
      <c r="AJ52"/>
      <c r="AK52" s="78">
        <f t="shared" si="1"/>
        <v>13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4"/>
      <c r="G53" s="62"/>
      <c r="H53" s="62"/>
      <c r="I53" s="62"/>
      <c r="J53" s="62"/>
      <c r="K53" s="127"/>
      <c r="L53" s="68"/>
      <c r="M53" s="64"/>
      <c r="N53" s="62"/>
      <c r="O53" s="62"/>
      <c r="P53" s="62"/>
      <c r="Q53" s="62"/>
      <c r="R53" s="127"/>
      <c r="S53" s="68"/>
      <c r="T53" s="64"/>
      <c r="U53" s="62"/>
      <c r="V53" s="62"/>
      <c r="W53" s="62"/>
      <c r="X53" s="62"/>
      <c r="Y53" s="127"/>
      <c r="Z53" s="68"/>
      <c r="AA53" s="64"/>
      <c r="AB53" s="62"/>
      <c r="AC53" s="62"/>
      <c r="AD53" s="62"/>
      <c r="AE53" s="62"/>
      <c r="AF53" s="127"/>
      <c r="AG53" s="68"/>
      <c r="AH53"/>
      <c r="AI53"/>
      <c r="AJ53"/>
      <c r="AK53" s="78">
        <f t="shared" si="1"/>
        <v>0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4"/>
      <c r="G54" s="62"/>
      <c r="H54" s="62"/>
      <c r="I54" s="62"/>
      <c r="J54" s="62"/>
      <c r="K54" s="127"/>
      <c r="L54" s="68"/>
      <c r="M54" s="64"/>
      <c r="N54" s="62"/>
      <c r="O54" s="62"/>
      <c r="P54" s="62"/>
      <c r="Q54" s="62"/>
      <c r="R54" s="127"/>
      <c r="S54" s="68"/>
      <c r="T54" s="64"/>
      <c r="U54" s="62"/>
      <c r="V54" s="62"/>
      <c r="W54" s="62"/>
      <c r="X54" s="62">
        <v>8</v>
      </c>
      <c r="Y54" s="127"/>
      <c r="Z54" s="68"/>
      <c r="AA54" s="64">
        <v>8</v>
      </c>
      <c r="AB54" s="62"/>
      <c r="AC54" s="62"/>
      <c r="AD54" s="62"/>
      <c r="AE54" s="62"/>
      <c r="AF54" s="127"/>
      <c r="AG54" s="68"/>
      <c r="AH54"/>
      <c r="AI54"/>
      <c r="AJ54"/>
      <c r="AK54" s="78">
        <f t="shared" si="1"/>
        <v>16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4"/>
      <c r="G55" s="62"/>
      <c r="H55" s="62"/>
      <c r="I55" s="62"/>
      <c r="J55" s="62"/>
      <c r="K55" s="127"/>
      <c r="L55" s="68"/>
      <c r="M55" s="64"/>
      <c r="N55" s="62"/>
      <c r="O55" s="62"/>
      <c r="P55" s="62">
        <v>8</v>
      </c>
      <c r="Q55" s="62">
        <v>8</v>
      </c>
      <c r="R55" s="127"/>
      <c r="S55" s="68"/>
      <c r="T55" s="64">
        <v>8</v>
      </c>
      <c r="U55" s="62"/>
      <c r="V55" s="62"/>
      <c r="W55" s="62"/>
      <c r="X55" s="62"/>
      <c r="Y55" s="127"/>
      <c r="Z55" s="68"/>
      <c r="AA55" s="64"/>
      <c r="AB55" s="62"/>
      <c r="AC55" s="62"/>
      <c r="AD55" s="62">
        <v>8</v>
      </c>
      <c r="AE55" s="62">
        <v>8</v>
      </c>
      <c r="AF55" s="127"/>
      <c r="AG55" s="68"/>
      <c r="AH55"/>
      <c r="AI55"/>
      <c r="AJ55"/>
      <c r="AK55" s="78">
        <f t="shared" si="1"/>
        <v>40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4"/>
      <c r="G56" s="62"/>
      <c r="H56" s="62"/>
      <c r="I56" s="62"/>
      <c r="J56" s="62"/>
      <c r="K56" s="127"/>
      <c r="L56" s="68"/>
      <c r="M56" s="64">
        <v>8</v>
      </c>
      <c r="N56" s="62">
        <v>8</v>
      </c>
      <c r="O56" s="62">
        <v>8</v>
      </c>
      <c r="P56" s="62">
        <v>8</v>
      </c>
      <c r="Q56" s="62"/>
      <c r="R56" s="127"/>
      <c r="S56" s="68"/>
      <c r="T56" s="64"/>
      <c r="U56" s="62"/>
      <c r="V56" s="62"/>
      <c r="W56" s="62"/>
      <c r="X56" s="62"/>
      <c r="Y56" s="127"/>
      <c r="Z56" s="68"/>
      <c r="AA56" s="64"/>
      <c r="AB56" s="62"/>
      <c r="AC56" s="62"/>
      <c r="AD56" s="62"/>
      <c r="AE56" s="62"/>
      <c r="AF56" s="127"/>
      <c r="AG56" s="68"/>
      <c r="AH56"/>
      <c r="AI56"/>
      <c r="AJ56"/>
      <c r="AK56" s="78">
        <f t="shared" si="1"/>
        <v>32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4"/>
      <c r="G57" s="62"/>
      <c r="H57" s="62"/>
      <c r="I57" s="62"/>
      <c r="J57" s="62"/>
      <c r="K57" s="127"/>
      <c r="L57" s="68"/>
      <c r="M57" s="64"/>
      <c r="N57" s="62"/>
      <c r="O57" s="62"/>
      <c r="P57" s="62"/>
      <c r="Q57" s="62">
        <v>8</v>
      </c>
      <c r="R57" s="127"/>
      <c r="S57" s="68"/>
      <c r="T57" s="64">
        <v>8</v>
      </c>
      <c r="U57" s="62">
        <v>8</v>
      </c>
      <c r="V57" s="62">
        <v>8</v>
      </c>
      <c r="W57" s="62"/>
      <c r="X57" s="62"/>
      <c r="Y57" s="127"/>
      <c r="Z57" s="68"/>
      <c r="AA57" s="64"/>
      <c r="AB57" s="62"/>
      <c r="AC57" s="62"/>
      <c r="AD57" s="62"/>
      <c r="AE57" s="62"/>
      <c r="AF57" s="127"/>
      <c r="AG57" s="68"/>
      <c r="AH57"/>
      <c r="AI57"/>
      <c r="AJ57"/>
      <c r="AK57" s="78">
        <f t="shared" si="1"/>
        <v>32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4">
        <v>8</v>
      </c>
      <c r="G58" s="62">
        <v>8</v>
      </c>
      <c r="H58" s="62"/>
      <c r="I58" s="62">
        <v>8</v>
      </c>
      <c r="J58" s="62">
        <v>8</v>
      </c>
      <c r="K58" s="127"/>
      <c r="L58" s="68"/>
      <c r="M58" s="64"/>
      <c r="N58" s="62"/>
      <c r="O58" s="62"/>
      <c r="P58" s="62"/>
      <c r="Q58" s="62"/>
      <c r="R58" s="127"/>
      <c r="S58" s="68"/>
      <c r="T58" s="64"/>
      <c r="U58" s="62"/>
      <c r="V58" s="62"/>
      <c r="W58" s="62"/>
      <c r="X58" s="62"/>
      <c r="Y58" s="127"/>
      <c r="Z58" s="68"/>
      <c r="AA58" s="64"/>
      <c r="AB58" s="62"/>
      <c r="AC58" s="62"/>
      <c r="AD58" s="62"/>
      <c r="AE58" s="62"/>
      <c r="AF58" s="127"/>
      <c r="AG58" s="68"/>
      <c r="AH58"/>
      <c r="AI58"/>
      <c r="AJ58"/>
      <c r="AK58" s="78">
        <f t="shared" si="1"/>
        <v>32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0"/>
      <c r="G59" s="70"/>
      <c r="H59" s="70"/>
      <c r="I59" s="70"/>
      <c r="J59" s="70"/>
      <c r="M59" s="70"/>
      <c r="N59" s="70"/>
      <c r="O59" s="70"/>
      <c r="P59" s="70"/>
      <c r="Q59" s="70"/>
      <c r="T59" s="70"/>
      <c r="U59" s="70"/>
      <c r="V59" s="70"/>
      <c r="W59" s="70"/>
      <c r="X59" s="70"/>
      <c r="AA59" s="70"/>
      <c r="AB59" s="70"/>
      <c r="AC59" s="70"/>
      <c r="AD59" s="70"/>
      <c r="AE59" s="70"/>
      <c r="AH59" s="70"/>
      <c r="AI59" s="70"/>
      <c r="AJ59" s="7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3"/>
      <c r="G60" s="73"/>
      <c r="H60" s="73"/>
      <c r="I60" s="73"/>
      <c r="J60" s="73"/>
      <c r="K60" s="124"/>
      <c r="L60" s="124"/>
      <c r="M60" s="73"/>
      <c r="N60" s="73"/>
      <c r="O60" s="73"/>
      <c r="P60" s="73"/>
      <c r="Q60" s="73"/>
      <c r="R60" s="124"/>
      <c r="S60" s="124"/>
      <c r="T60" s="73"/>
      <c r="U60" s="73"/>
      <c r="V60" s="73"/>
      <c r="W60" s="73"/>
      <c r="X60" s="73"/>
      <c r="Y60" s="124"/>
      <c r="Z60" s="124"/>
      <c r="AA60" s="73"/>
      <c r="AB60" s="73"/>
      <c r="AC60" s="73"/>
      <c r="AD60" s="73"/>
      <c r="AE60" s="73"/>
      <c r="AF60" s="124"/>
      <c r="AG60" s="124"/>
      <c r="AH60" s="73"/>
      <c r="AI60" s="73"/>
      <c r="AJ60" s="73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0"/>
      <c r="G61" s="70"/>
      <c r="H61" s="70"/>
      <c r="I61" s="70"/>
      <c r="J61" s="70"/>
      <c r="M61" s="70"/>
      <c r="N61" s="70"/>
      <c r="O61" s="70"/>
      <c r="P61" s="70"/>
      <c r="Q61" s="70"/>
      <c r="T61" s="70"/>
      <c r="U61" s="70"/>
      <c r="V61" s="70"/>
      <c r="W61" s="70"/>
      <c r="X61" s="70"/>
      <c r="AA61" s="70"/>
      <c r="AB61" s="70"/>
      <c r="AC61" s="70"/>
      <c r="AD61" s="70"/>
      <c r="AE61" s="70"/>
      <c r="AH61" s="70"/>
      <c r="AI61" s="70"/>
      <c r="AJ61" s="70"/>
      <c r="AK61" s="78">
        <f t="shared" ref="AK61:AK75" si="2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2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2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2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2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80"/>
      <c r="O66" s="80"/>
      <c r="AK66" s="78">
        <f t="shared" si="2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2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2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2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2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2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2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2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70"/>
      <c r="L74" s="120"/>
      <c r="N74" s="70"/>
      <c r="O74" s="70"/>
      <c r="P74" s="70"/>
      <c r="R74" s="120"/>
      <c r="S74" s="120"/>
      <c r="T74" s="70"/>
      <c r="U74" s="70"/>
      <c r="V74" s="70"/>
      <c r="W74" s="70"/>
      <c r="X74" s="70"/>
      <c r="Y74" s="120"/>
      <c r="Z74" s="120"/>
      <c r="AA74" s="70"/>
      <c r="AB74" s="70"/>
      <c r="AC74" s="70"/>
      <c r="AD74" s="70"/>
      <c r="AE74" s="70"/>
      <c r="AF74" s="120"/>
      <c r="AG74" s="120"/>
      <c r="AH74" s="70"/>
      <c r="AI74" s="70"/>
      <c r="AJ74" s="70"/>
      <c r="AK74" s="78">
        <f t="shared" si="2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2"/>
        <v>0</v>
      </c>
    </row>
    <row r="76" spans="1:45" s="90" customFormat="1" ht="16.7" thickBot="1">
      <c r="A76" s="77"/>
      <c r="B76" s="101"/>
      <c r="C76" s="75"/>
      <c r="D76" s="76"/>
      <c r="E76" s="75"/>
      <c r="F76" s="92"/>
      <c r="G76" s="100"/>
      <c r="H76" s="100"/>
      <c r="I76" s="100"/>
      <c r="J76" s="100"/>
      <c r="K76" s="126"/>
      <c r="L76" s="124"/>
      <c r="M76" s="92"/>
      <c r="N76" s="100"/>
      <c r="O76" s="100"/>
      <c r="P76" s="100"/>
      <c r="Q76" s="100"/>
      <c r="R76" s="126"/>
      <c r="S76" s="124"/>
      <c r="T76" s="92"/>
      <c r="U76" s="100"/>
      <c r="V76" s="100"/>
      <c r="W76" s="100"/>
      <c r="X76" s="100"/>
      <c r="Y76" s="126"/>
      <c r="Z76" s="124"/>
      <c r="AA76" s="92"/>
      <c r="AB76" s="100"/>
      <c r="AC76" s="100"/>
      <c r="AD76" s="100"/>
      <c r="AE76" s="100"/>
      <c r="AF76" s="126"/>
      <c r="AG76" s="124"/>
      <c r="AH76" s="98"/>
      <c r="AI76" s="98"/>
      <c r="AJ76" s="98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3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3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3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3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3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3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120"/>
      <c r="Z83" s="120"/>
      <c r="AC83" s="70"/>
      <c r="AD83" s="70"/>
      <c r="AF83" s="120"/>
      <c r="AG83" s="120"/>
      <c r="AI83" s="70"/>
      <c r="AJ83" s="70"/>
      <c r="AK83" s="78">
        <f t="shared" si="3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3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3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70"/>
      <c r="Y86" s="120"/>
      <c r="AK86" s="78">
        <f t="shared" si="3"/>
        <v>0</v>
      </c>
    </row>
    <row r="87" spans="1:39" ht="16.7" thickBot="1">
      <c r="A87" s="77"/>
      <c r="B87" s="97"/>
      <c r="C87" s="75"/>
      <c r="D87" s="96"/>
      <c r="E87" s="75"/>
      <c r="F87" s="92"/>
      <c r="G87" s="92"/>
      <c r="H87" s="92"/>
      <c r="I87" s="92"/>
      <c r="J87" s="92"/>
      <c r="K87" s="124"/>
      <c r="L87" s="124"/>
      <c r="M87" s="92"/>
      <c r="N87" s="92"/>
      <c r="O87" s="92"/>
      <c r="P87" s="92"/>
      <c r="Q87" s="92"/>
      <c r="R87" s="124"/>
      <c r="S87" s="124"/>
      <c r="T87" s="92"/>
      <c r="U87" s="92"/>
      <c r="V87" s="73"/>
      <c r="W87" s="92"/>
      <c r="X87" s="92"/>
      <c r="Y87" s="121"/>
      <c r="Z87" s="124"/>
      <c r="AA87" s="92"/>
      <c r="AB87" s="92"/>
      <c r="AC87" s="92"/>
      <c r="AD87" s="92"/>
      <c r="AE87" s="92"/>
      <c r="AF87" s="124"/>
      <c r="AG87" s="124"/>
      <c r="AH87" s="92"/>
      <c r="AI87" s="92"/>
      <c r="AJ87" s="92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4"/>
      <c r="G88" s="64"/>
      <c r="H88" s="83"/>
      <c r="I88" s="64"/>
      <c r="J88" s="64"/>
      <c r="K88" s="68"/>
      <c r="L88" s="68"/>
      <c r="M88" s="64"/>
      <c r="N88" s="64"/>
      <c r="O88" s="64"/>
      <c r="P88" s="64"/>
      <c r="Q88" s="64"/>
      <c r="R88" s="68"/>
      <c r="S88" s="68"/>
      <c r="T88" s="64"/>
      <c r="U88" s="64"/>
      <c r="V88" s="64"/>
      <c r="W88"/>
      <c r="X88"/>
      <c r="Y88" s="68"/>
      <c r="Z88" s="68"/>
      <c r="AA88"/>
      <c r="AB88" s="64"/>
      <c r="AC88" s="64"/>
      <c r="AD88" s="64"/>
      <c r="AE88" s="64"/>
      <c r="AF88" s="68"/>
      <c r="AG88" s="68"/>
      <c r="AH88" s="64"/>
      <c r="AI88" s="64"/>
      <c r="AJ88" s="64"/>
      <c r="AK88" s="78">
        <f t="shared" ref="AK88:AK135" si="4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0"/>
      <c r="G89" s="70"/>
      <c r="H89" s="70"/>
      <c r="I89" s="70"/>
      <c r="J89" s="70"/>
      <c r="K89" s="120"/>
      <c r="L89" s="120"/>
      <c r="M89" s="70"/>
      <c r="N89" s="70"/>
      <c r="O89" s="64"/>
      <c r="P89" s="70"/>
      <c r="Q89" s="70"/>
      <c r="R89" s="120"/>
      <c r="S89" s="120"/>
      <c r="T89" s="70"/>
      <c r="U89" s="64"/>
      <c r="V89" s="64"/>
      <c r="W89" s="64"/>
      <c r="X89" s="64"/>
      <c r="Y89" s="120"/>
      <c r="Z89" s="120"/>
      <c r="AA89" s="70"/>
      <c r="AB89" s="70"/>
      <c r="AC89" s="64"/>
      <c r="AD89" s="70"/>
      <c r="AE89" s="64"/>
      <c r="AF89" s="120"/>
      <c r="AG89" s="120"/>
      <c r="AH89" s="70"/>
      <c r="AI89" s="64"/>
      <c r="AJ89" s="70"/>
      <c r="AK89" s="78">
        <f t="shared" si="4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0"/>
      <c r="G90" s="70"/>
      <c r="H90" s="70"/>
      <c r="I90" s="70"/>
      <c r="J90" s="70"/>
      <c r="K90" s="120"/>
      <c r="L90" s="120"/>
      <c r="M90" s="70"/>
      <c r="N90" s="70"/>
      <c r="O90" s="70"/>
      <c r="P90" s="70"/>
      <c r="Q90" s="70"/>
      <c r="R90" s="120"/>
      <c r="S90" s="120"/>
      <c r="T90" s="70"/>
      <c r="U90" s="70"/>
      <c r="V90" s="70"/>
      <c r="W90" s="70"/>
      <c r="X90" s="70"/>
      <c r="Y90" s="120"/>
      <c r="Z90" s="120"/>
      <c r="AA90" s="70"/>
      <c r="AB90" s="70"/>
      <c r="AC90" s="70"/>
      <c r="AD90" s="70"/>
      <c r="AE90" s="70"/>
      <c r="AF90" s="120"/>
      <c r="AG90" s="120"/>
      <c r="AH90" s="70"/>
      <c r="AI90" s="70"/>
      <c r="AJ90" s="70"/>
      <c r="AK90" s="78">
        <f t="shared" si="4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0"/>
      <c r="G91" s="70"/>
      <c r="H91" s="70"/>
      <c r="I91" s="70"/>
      <c r="J91" s="70"/>
      <c r="K91" s="120"/>
      <c r="L91" s="120"/>
      <c r="M91" s="70"/>
      <c r="N91" s="70"/>
      <c r="O91" s="70"/>
      <c r="P91" s="70"/>
      <c r="Q91" s="70"/>
      <c r="R91" s="120"/>
      <c r="S91" s="120"/>
      <c r="T91" s="70"/>
      <c r="U91" s="70"/>
      <c r="V91" s="70"/>
      <c r="W91" s="70"/>
      <c r="X91" s="70"/>
      <c r="Y91" s="120"/>
      <c r="Z91" s="120"/>
      <c r="AA91" s="70"/>
      <c r="AB91" s="70"/>
      <c r="AC91" s="70"/>
      <c r="AD91" s="70"/>
      <c r="AE91" s="70"/>
      <c r="AF91" s="120"/>
      <c r="AG91" s="120"/>
      <c r="AH91" s="70"/>
      <c r="AI91" s="70"/>
      <c r="AJ91" s="70"/>
      <c r="AK91" s="78">
        <f t="shared" si="4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0"/>
      <c r="G92" s="70"/>
      <c r="H92" s="70"/>
      <c r="I92" s="70"/>
      <c r="J92" s="70"/>
      <c r="K92" s="120"/>
      <c r="L92" s="120"/>
      <c r="M92" s="70"/>
      <c r="N92" s="70"/>
      <c r="O92" s="70"/>
      <c r="P92" s="70"/>
      <c r="Q92" s="70"/>
      <c r="R92" s="120"/>
      <c r="S92" s="120"/>
      <c r="T92" s="70"/>
      <c r="U92" s="70"/>
      <c r="V92" s="70"/>
      <c r="W92" s="70"/>
      <c r="X92" s="70"/>
      <c r="Y92" s="120"/>
      <c r="Z92" s="120"/>
      <c r="AA92" s="70"/>
      <c r="AB92" s="70"/>
      <c r="AC92" s="70"/>
      <c r="AD92" s="70"/>
      <c r="AE92" s="70"/>
      <c r="AF92" s="120"/>
      <c r="AG92" s="120"/>
      <c r="AH92" s="70"/>
      <c r="AI92" s="70"/>
      <c r="AJ92" s="70"/>
      <c r="AK92" s="78">
        <f t="shared" si="4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0"/>
      <c r="G93" s="70"/>
      <c r="H93" s="70"/>
      <c r="I93" s="70"/>
      <c r="J93" s="70"/>
      <c r="K93" s="120"/>
      <c r="L93" s="120"/>
      <c r="M93" s="70"/>
      <c r="N93" s="70"/>
      <c r="O93" s="70"/>
      <c r="P93" s="70"/>
      <c r="Q93" s="70"/>
      <c r="R93" s="120"/>
      <c r="S93" s="120"/>
      <c r="T93" s="70"/>
      <c r="U93" s="70"/>
      <c r="V93" s="70"/>
      <c r="W93" s="70"/>
      <c r="X93" s="70"/>
      <c r="Y93" s="120"/>
      <c r="Z93" s="120"/>
      <c r="AA93" s="70"/>
      <c r="AB93" s="70"/>
      <c r="AC93" s="70"/>
      <c r="AD93" s="70"/>
      <c r="AE93" s="70"/>
      <c r="AF93" s="120"/>
      <c r="AG93" s="120"/>
      <c r="AH93" s="70"/>
      <c r="AI93" s="70"/>
      <c r="AJ93" s="70"/>
      <c r="AK93" s="78">
        <f t="shared" si="4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0"/>
      <c r="G94" s="70"/>
      <c r="H94" s="70"/>
      <c r="I94" s="70"/>
      <c r="J94" s="70"/>
      <c r="K94" s="120"/>
      <c r="L94" s="120"/>
      <c r="M94" s="70"/>
      <c r="N94" s="70"/>
      <c r="O94" s="70"/>
      <c r="P94" s="70"/>
      <c r="Q94" s="70"/>
      <c r="R94" s="120"/>
      <c r="S94" s="120"/>
      <c r="T94" s="70"/>
      <c r="U94" s="70"/>
      <c r="V94" s="70"/>
      <c r="W94" s="70"/>
      <c r="X94" s="70"/>
      <c r="Y94" s="120"/>
      <c r="Z94" s="120"/>
      <c r="AA94" s="70"/>
      <c r="AB94" s="70"/>
      <c r="AC94" s="70"/>
      <c r="AD94" s="70"/>
      <c r="AE94" s="70"/>
      <c r="AF94" s="120"/>
      <c r="AG94" s="120"/>
      <c r="AH94" s="70"/>
      <c r="AI94" s="70"/>
      <c r="AJ94" s="70"/>
      <c r="AK94" s="78">
        <f t="shared" si="4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0"/>
      <c r="G95" s="70"/>
      <c r="H95" s="70"/>
      <c r="I95" s="70"/>
      <c r="J95" s="70"/>
      <c r="K95" s="120"/>
      <c r="L95" s="120"/>
      <c r="M95" s="70"/>
      <c r="N95" s="70"/>
      <c r="O95" s="70"/>
      <c r="P95" s="70"/>
      <c r="Q95" s="70"/>
      <c r="R95" s="120"/>
      <c r="S95" s="120"/>
      <c r="T95" s="70"/>
      <c r="U95" s="70"/>
      <c r="V95" s="70"/>
      <c r="W95" s="70"/>
      <c r="X95" s="70"/>
      <c r="Y95" s="120"/>
      <c r="Z95" s="120"/>
      <c r="AA95" s="70"/>
      <c r="AB95" s="70"/>
      <c r="AC95" s="70"/>
      <c r="AD95" s="70"/>
      <c r="AE95" s="70"/>
      <c r="AF95" s="120"/>
      <c r="AG95" s="120"/>
      <c r="AH95" s="70"/>
      <c r="AI95" s="70"/>
      <c r="AJ95" s="70"/>
      <c r="AK95" s="78">
        <f t="shared" si="4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4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4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4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4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4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4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4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4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4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4"/>
      <c r="G105" s="64"/>
      <c r="H105" s="64"/>
      <c r="I105" s="64"/>
      <c r="J105" s="64"/>
      <c r="K105" s="68"/>
      <c r="L105" s="68"/>
      <c r="M105" s="64"/>
      <c r="N105" s="64"/>
      <c r="O105" s="64"/>
      <c r="P105" s="64"/>
      <c r="Q105" s="64"/>
      <c r="R105" s="68"/>
      <c r="S105" s="68"/>
      <c r="T105" s="64"/>
      <c r="U105" s="64"/>
      <c r="V105" s="64"/>
      <c r="W105" s="64"/>
      <c r="X105" s="64"/>
      <c r="Y105" s="68"/>
      <c r="Z105" s="68"/>
      <c r="AA105" s="64"/>
      <c r="AB105" s="64"/>
      <c r="AC105" s="64"/>
      <c r="AD105" s="64"/>
      <c r="AE105" s="64"/>
      <c r="AF105" s="68"/>
      <c r="AG105" s="68"/>
      <c r="AH105" s="64"/>
      <c r="AI105" s="64"/>
      <c r="AJ105" s="64"/>
      <c r="AK105" s="78">
        <f t="shared" si="4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4"/>
      <c r="G106" s="64"/>
      <c r="H106" s="64"/>
      <c r="I106" s="64"/>
      <c r="J106" s="64"/>
      <c r="K106" s="68"/>
      <c r="L106" s="68"/>
      <c r="M106" s="64"/>
      <c r="N106" s="64"/>
      <c r="O106" s="64"/>
      <c r="P106" s="64"/>
      <c r="Q106" s="64"/>
      <c r="R106" s="68"/>
      <c r="S106" s="68"/>
      <c r="T106" s="64"/>
      <c r="U106" s="64"/>
      <c r="V106" s="64"/>
      <c r="W106" s="64"/>
      <c r="X106" s="64"/>
      <c r="Y106" s="68"/>
      <c r="Z106" s="68"/>
      <c r="AA106" s="64"/>
      <c r="AB106" s="64"/>
      <c r="AC106" s="64"/>
      <c r="AD106" s="64"/>
      <c r="AE106" s="64"/>
      <c r="AF106" s="68"/>
      <c r="AG106" s="68"/>
      <c r="AH106" s="64"/>
      <c r="AI106" s="64"/>
      <c r="AJ106" s="64"/>
      <c r="AK106" s="78">
        <f t="shared" si="4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4"/>
      <c r="G107" s="64"/>
      <c r="H107" s="64"/>
      <c r="I107" s="64"/>
      <c r="J107" s="64"/>
      <c r="K107" s="68"/>
      <c r="L107" s="68"/>
      <c r="M107" s="64"/>
      <c r="N107" s="64"/>
      <c r="O107" s="64"/>
      <c r="P107" s="64"/>
      <c r="Q107" s="64"/>
      <c r="R107" s="68"/>
      <c r="S107" s="68"/>
      <c r="T107" s="64"/>
      <c r="U107" s="64"/>
      <c r="V107" s="64"/>
      <c r="W107" s="64"/>
      <c r="X107" s="64"/>
      <c r="Y107" s="68"/>
      <c r="Z107" s="68"/>
      <c r="AA107" s="64"/>
      <c r="AB107" s="64"/>
      <c r="AC107" s="64"/>
      <c r="AD107" s="64"/>
      <c r="AE107" s="64"/>
      <c r="AF107" s="68"/>
      <c r="AG107" s="68"/>
      <c r="AH107" s="64"/>
      <c r="AI107" s="64"/>
      <c r="AJ107" s="64"/>
      <c r="AK107" s="78">
        <f t="shared" si="4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4"/>
      <c r="G108" s="64"/>
      <c r="H108" s="64"/>
      <c r="I108" s="64"/>
      <c r="J108" s="64"/>
      <c r="K108" s="68"/>
      <c r="L108" s="68"/>
      <c r="M108" s="64"/>
      <c r="N108" s="64"/>
      <c r="O108" s="64"/>
      <c r="P108" s="64"/>
      <c r="Q108" s="64"/>
      <c r="R108" s="68"/>
      <c r="S108" s="68"/>
      <c r="T108" s="64"/>
      <c r="U108" s="64"/>
      <c r="V108" s="64"/>
      <c r="W108" s="64"/>
      <c r="X108" s="64"/>
      <c r="Y108" s="68"/>
      <c r="Z108" s="68"/>
      <c r="AA108" s="64"/>
      <c r="AB108" s="64"/>
      <c r="AC108" s="64"/>
      <c r="AD108" s="64"/>
      <c r="AE108" s="64"/>
      <c r="AF108" s="68"/>
      <c r="AG108" s="68"/>
      <c r="AH108" s="64"/>
      <c r="AI108" s="64"/>
      <c r="AJ108" s="64"/>
      <c r="AK108" s="78">
        <f t="shared" si="4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4"/>
      <c r="G109" s="64"/>
      <c r="H109" s="64"/>
      <c r="I109" s="64"/>
      <c r="J109" s="64"/>
      <c r="K109" s="68"/>
      <c r="L109" s="68"/>
      <c r="M109" s="64"/>
      <c r="N109" s="64"/>
      <c r="O109" s="64"/>
      <c r="P109" s="64"/>
      <c r="Q109" s="64"/>
      <c r="R109" s="68"/>
      <c r="S109" s="68"/>
      <c r="T109" s="64"/>
      <c r="U109" s="64"/>
      <c r="V109" s="64"/>
      <c r="W109" s="64"/>
      <c r="X109" s="64"/>
      <c r="Y109" s="68"/>
      <c r="Z109" s="68"/>
      <c r="AA109" s="64"/>
      <c r="AB109" s="64"/>
      <c r="AC109" s="64"/>
      <c r="AD109" s="64"/>
      <c r="AE109" s="64"/>
      <c r="AF109" s="68"/>
      <c r="AG109" s="68"/>
      <c r="AH109" s="64"/>
      <c r="AI109" s="64"/>
      <c r="AJ109" s="64"/>
      <c r="AK109" s="78">
        <f t="shared" si="4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4"/>
      <c r="G110" s="64"/>
      <c r="H110" s="64"/>
      <c r="I110" s="64"/>
      <c r="J110" s="64"/>
      <c r="K110" s="68"/>
      <c r="L110" s="68"/>
      <c r="M110" s="64"/>
      <c r="N110" s="64"/>
      <c r="O110" s="64"/>
      <c r="P110" s="64"/>
      <c r="Q110" s="64"/>
      <c r="R110" s="68"/>
      <c r="S110" s="68"/>
      <c r="T110" s="64"/>
      <c r="U110" s="64"/>
      <c r="V110" s="64"/>
      <c r="W110" s="64"/>
      <c r="X110" s="64"/>
      <c r="Y110" s="68"/>
      <c r="Z110" s="68"/>
      <c r="AA110" s="64"/>
      <c r="AB110" s="64"/>
      <c r="AC110" s="64"/>
      <c r="AD110" s="64"/>
      <c r="AE110" s="64"/>
      <c r="AF110" s="68"/>
      <c r="AG110" s="68"/>
      <c r="AH110" s="64"/>
      <c r="AI110" s="64"/>
      <c r="AJ110" s="64"/>
      <c r="AK110" s="78">
        <f t="shared" si="4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4"/>
      <c r="G111" s="64"/>
      <c r="H111" s="64"/>
      <c r="I111" s="64"/>
      <c r="J111" s="64"/>
      <c r="K111" s="68"/>
      <c r="L111" s="68"/>
      <c r="M111" s="64"/>
      <c r="N111" s="64"/>
      <c r="O111" s="64"/>
      <c r="P111" s="64"/>
      <c r="Q111" s="64"/>
      <c r="R111" s="68"/>
      <c r="S111" s="68"/>
      <c r="T111" s="64"/>
      <c r="U111" s="64"/>
      <c r="V111" s="64"/>
      <c r="W111" s="64"/>
      <c r="X111" s="64"/>
      <c r="Y111" s="68"/>
      <c r="Z111" s="68"/>
      <c r="AA111" s="64"/>
      <c r="AB111" s="64"/>
      <c r="AC111" s="64"/>
      <c r="AD111" s="64"/>
      <c r="AE111" s="64"/>
      <c r="AF111" s="68"/>
      <c r="AG111" s="68"/>
      <c r="AH111" s="64"/>
      <c r="AI111" s="64"/>
      <c r="AJ111" s="64"/>
      <c r="AK111" s="78">
        <f t="shared" si="4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4"/>
      <c r="G112" s="64"/>
      <c r="H112" s="64"/>
      <c r="I112" s="64"/>
      <c r="J112" s="64"/>
      <c r="K112" s="68"/>
      <c r="L112" s="68"/>
      <c r="M112" s="64"/>
      <c r="N112" s="64"/>
      <c r="O112" s="64"/>
      <c r="P112" s="64"/>
      <c r="Q112" s="64"/>
      <c r="R112" s="68"/>
      <c r="S112" s="68"/>
      <c r="T112" s="64"/>
      <c r="U112" s="64"/>
      <c r="V112" s="64"/>
      <c r="W112" s="64"/>
      <c r="X112" s="64"/>
      <c r="Y112" s="68"/>
      <c r="Z112" s="68"/>
      <c r="AA112" s="64"/>
      <c r="AB112" s="64"/>
      <c r="AC112" s="64"/>
      <c r="AD112" s="64"/>
      <c r="AE112" s="64"/>
      <c r="AF112" s="68"/>
      <c r="AG112" s="68"/>
      <c r="AH112" s="64"/>
      <c r="AI112" s="64"/>
      <c r="AJ112" s="64"/>
      <c r="AK112" s="78">
        <f t="shared" si="4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4"/>
      <c r="G113" s="64"/>
      <c r="H113" s="64"/>
      <c r="I113" s="64"/>
      <c r="J113" s="64"/>
      <c r="K113" s="68"/>
      <c r="L113" s="68"/>
      <c r="M113" s="64"/>
      <c r="N113" s="64"/>
      <c r="O113" s="64"/>
      <c r="P113" s="64"/>
      <c r="Q113" s="64"/>
      <c r="R113" s="68"/>
      <c r="S113" s="68"/>
      <c r="T113" s="64"/>
      <c r="U113" s="64"/>
      <c r="V113" s="64"/>
      <c r="W113" s="64"/>
      <c r="X113" s="64"/>
      <c r="Y113" s="68"/>
      <c r="Z113" s="68"/>
      <c r="AA113" s="64"/>
      <c r="AB113" s="64"/>
      <c r="AC113" s="64"/>
      <c r="AD113" s="64"/>
      <c r="AE113" s="64"/>
      <c r="AF113" s="68"/>
      <c r="AG113" s="68"/>
      <c r="AH113" s="64"/>
      <c r="AI113" s="64"/>
      <c r="AJ113" s="64"/>
      <c r="AK113" s="78">
        <f t="shared" si="4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4"/>
      <c r="G114" s="64"/>
      <c r="H114" s="64"/>
      <c r="I114" s="64"/>
      <c r="J114" s="64"/>
      <c r="K114" s="68"/>
      <c r="L114" s="68"/>
      <c r="M114" s="64"/>
      <c r="N114" s="64"/>
      <c r="O114" s="64"/>
      <c r="P114" s="64"/>
      <c r="Q114" s="64"/>
      <c r="R114" s="68"/>
      <c r="S114" s="68"/>
      <c r="T114" s="64"/>
      <c r="U114" s="64"/>
      <c r="V114" s="64"/>
      <c r="W114" s="64"/>
      <c r="X114" s="64"/>
      <c r="Y114" s="68"/>
      <c r="Z114" s="68"/>
      <c r="AA114" s="64"/>
      <c r="AB114" s="64"/>
      <c r="AC114" s="64"/>
      <c r="AD114" s="64"/>
      <c r="AE114" s="64"/>
      <c r="AF114" s="68"/>
      <c r="AG114" s="68"/>
      <c r="AH114" s="64"/>
      <c r="AI114" s="64"/>
      <c r="AJ114" s="64"/>
      <c r="AK114" s="78">
        <f t="shared" si="4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4"/>
      <c r="G115" s="64"/>
      <c r="H115" s="64"/>
      <c r="I115" s="64"/>
      <c r="J115" s="64"/>
      <c r="K115" s="68"/>
      <c r="L115" s="68"/>
      <c r="M115" s="64"/>
      <c r="N115" s="64"/>
      <c r="O115" s="64"/>
      <c r="P115" s="64"/>
      <c r="Q115" s="64"/>
      <c r="R115" s="68"/>
      <c r="S115" s="68"/>
      <c r="T115" s="64"/>
      <c r="U115" s="64"/>
      <c r="V115" s="64"/>
      <c r="W115" s="64"/>
      <c r="X115" s="64"/>
      <c r="Y115" s="68"/>
      <c r="Z115" s="68"/>
      <c r="AA115" s="64"/>
      <c r="AB115" s="64"/>
      <c r="AC115" s="64"/>
      <c r="AD115" s="64"/>
      <c r="AE115" s="64"/>
      <c r="AF115" s="68"/>
      <c r="AG115" s="68"/>
      <c r="AH115" s="64"/>
      <c r="AI115" s="64"/>
      <c r="AJ115" s="64"/>
      <c r="AK115" s="78">
        <f t="shared" si="4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4"/>
      <c r="G116" s="64"/>
      <c r="H116" s="64"/>
      <c r="I116" s="64"/>
      <c r="J116" s="64"/>
      <c r="K116" s="68"/>
      <c r="L116" s="68"/>
      <c r="M116" s="64"/>
      <c r="N116" s="64"/>
      <c r="O116" s="64"/>
      <c r="P116" s="64"/>
      <c r="Q116" s="64"/>
      <c r="R116" s="68"/>
      <c r="S116" s="68"/>
      <c r="T116" s="64"/>
      <c r="U116" s="64"/>
      <c r="V116" s="64"/>
      <c r="W116" s="64"/>
      <c r="X116" s="64"/>
      <c r="Y116" s="68"/>
      <c r="Z116" s="68"/>
      <c r="AA116" s="64"/>
      <c r="AB116" s="64"/>
      <c r="AC116" s="64"/>
      <c r="AD116" s="64"/>
      <c r="AE116" s="64"/>
      <c r="AF116" s="68"/>
      <c r="AG116" s="68"/>
      <c r="AH116" s="64"/>
      <c r="AI116" s="64"/>
      <c r="AJ116" s="64"/>
      <c r="AK116" s="78">
        <f t="shared" si="4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2"/>
      <c r="G117" s="92"/>
      <c r="H117" s="92"/>
      <c r="I117" s="92"/>
      <c r="J117" s="92"/>
      <c r="K117" s="124"/>
      <c r="L117" s="124"/>
      <c r="M117" s="92"/>
      <c r="N117" s="92"/>
      <c r="O117" s="92"/>
      <c r="P117" s="92"/>
      <c r="Q117" s="92"/>
      <c r="R117" s="124"/>
      <c r="S117" s="124"/>
      <c r="T117" s="92"/>
      <c r="U117" s="92"/>
      <c r="V117" s="92"/>
      <c r="W117" s="92"/>
      <c r="X117" s="92"/>
      <c r="Y117" s="124"/>
      <c r="Z117" s="124"/>
      <c r="AA117" s="92"/>
      <c r="AB117" s="92"/>
      <c r="AC117" s="92"/>
      <c r="AD117" s="92"/>
      <c r="AE117" s="92"/>
      <c r="AF117" s="124"/>
      <c r="AG117" s="124"/>
      <c r="AH117" s="92"/>
      <c r="AI117" s="92"/>
      <c r="AJ117" s="92"/>
      <c r="AK117" s="91">
        <f t="shared" si="4"/>
        <v>0</v>
      </c>
      <c r="AL117" s="90"/>
    </row>
    <row r="118" spans="1:39" ht="16.7" thickBot="1">
      <c r="A118" s="89" t="s">
        <v>403</v>
      </c>
      <c r="Y118" s="120"/>
      <c r="Z118" s="120"/>
      <c r="AC118" s="70"/>
      <c r="AD118" s="70"/>
      <c r="AF118" s="120"/>
      <c r="AG118" s="120"/>
      <c r="AI118" s="70"/>
      <c r="AJ118" s="70"/>
      <c r="AK118" s="78">
        <f t="shared" si="4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23"/>
      <c r="AE119" s="70"/>
      <c r="AK119" s="78">
        <f t="shared" si="4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88"/>
      <c r="H120" s="80"/>
      <c r="AK120" s="78">
        <f t="shared" si="4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AK121" s="78">
        <f t="shared" si="4"/>
        <v>0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4"/>
      <c r="G122" s="64"/>
      <c r="H122" s="64"/>
      <c r="I122" s="64"/>
      <c r="J122" s="64"/>
      <c r="K122" s="68"/>
      <c r="L122" s="68"/>
      <c r="M122" s="64"/>
      <c r="N122" s="64"/>
      <c r="O122" s="64"/>
      <c r="P122" s="64"/>
      <c r="Q122" s="80"/>
      <c r="R122" s="120"/>
      <c r="S122" s="68"/>
      <c r="T122" s="64"/>
      <c r="U122" s="70"/>
      <c r="V122" s="64"/>
      <c r="W122" s="64"/>
      <c r="X122" s="64"/>
      <c r="Y122" s="68"/>
      <c r="Z122" s="68"/>
      <c r="AA122" s="64"/>
      <c r="AB122" s="64"/>
      <c r="AC122" s="80"/>
      <c r="AD122" s="64"/>
      <c r="AE122" s="64"/>
      <c r="AF122" s="68"/>
      <c r="AG122" s="68"/>
      <c r="AH122" s="64"/>
      <c r="AI122" s="64"/>
      <c r="AJ122" s="70"/>
      <c r="AK122" s="78">
        <f t="shared" si="4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4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AK124" s="78">
        <f t="shared" si="4"/>
        <v>0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120"/>
      <c r="W125" s="70"/>
      <c r="AK125" s="78">
        <f t="shared" si="4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4"/>
      <c r="G126" s="64"/>
      <c r="H126" s="64"/>
      <c r="I126" s="64"/>
      <c r="J126" s="64"/>
      <c r="K126" s="68"/>
      <c r="L126" s="68"/>
      <c r="M126" s="70"/>
      <c r="N126" s="64"/>
      <c r="O126" s="64"/>
      <c r="P126" s="64"/>
      <c r="Q126" s="70"/>
      <c r="R126" s="68"/>
      <c r="S126" s="120"/>
      <c r="T126" s="64"/>
      <c r="U126" s="64"/>
      <c r="V126" s="64"/>
      <c r="W126" s="70"/>
      <c r="X126" s="64"/>
      <c r="Y126" s="68"/>
      <c r="Z126" s="68"/>
      <c r="AA126" s="64"/>
      <c r="AB126" s="64"/>
      <c r="AC126" s="64"/>
      <c r="AD126" s="64"/>
      <c r="AE126" s="64"/>
      <c r="AF126" s="68"/>
      <c r="AG126" s="68"/>
      <c r="AH126" s="64"/>
      <c r="AI126" s="64"/>
      <c r="AJ126" s="64"/>
      <c r="AK126" s="78">
        <f t="shared" si="4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120"/>
      <c r="T127" s="70"/>
      <c r="U127" s="70"/>
      <c r="AK127" s="78">
        <f t="shared" si="4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0"/>
      <c r="G128" s="70"/>
      <c r="H128" s="70"/>
      <c r="I128" s="70"/>
      <c r="J128" s="70"/>
      <c r="M128" s="70"/>
      <c r="N128" s="70"/>
      <c r="O128" s="70"/>
      <c r="P128" s="70"/>
      <c r="Q128" s="70"/>
      <c r="R128" s="120"/>
      <c r="S128" s="120"/>
      <c r="T128" s="70"/>
      <c r="V128" s="70"/>
      <c r="W128" s="70"/>
      <c r="X128" s="70"/>
      <c r="Z128" s="120"/>
      <c r="AA128" s="70"/>
      <c r="AB128" s="70"/>
      <c r="AC128" s="70"/>
      <c r="AD128" s="70"/>
      <c r="AE128" s="70"/>
      <c r="AF128" s="120"/>
      <c r="AG128" s="120"/>
      <c r="AH128" s="70"/>
      <c r="AI128" s="70"/>
      <c r="AJ128" s="70"/>
      <c r="AK128" s="78">
        <f t="shared" si="4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AK129" s="78">
        <f t="shared" si="4"/>
        <v>0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AK130" s="78">
        <f t="shared" si="4"/>
        <v>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127"/>
      <c r="AK131" s="78">
        <f t="shared" si="4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4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4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0"/>
      <c r="G134" s="70"/>
      <c r="I134" s="70"/>
      <c r="J134" s="70"/>
      <c r="M134" s="70"/>
      <c r="N134" s="70"/>
      <c r="O134" s="70"/>
      <c r="P134" s="70"/>
      <c r="Q134" s="70"/>
      <c r="R134" s="120"/>
      <c r="T134" s="70"/>
      <c r="U134" s="70"/>
      <c r="V134" s="70"/>
      <c r="Y134" s="120"/>
      <c r="Z134" s="120"/>
      <c r="AA134" s="70"/>
      <c r="AB134" s="70"/>
      <c r="AC134" s="70"/>
      <c r="AD134" s="70"/>
      <c r="AK134" s="78">
        <f t="shared" si="4"/>
        <v>0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AC135" s="70"/>
      <c r="AD135" s="70"/>
      <c r="AF135" s="120"/>
      <c r="AI135" s="70"/>
      <c r="AK135" s="78">
        <f t="shared" si="4"/>
        <v>0</v>
      </c>
    </row>
    <row r="136" spans="1:45" s="71" customFormat="1">
      <c r="A136" s="77"/>
      <c r="B136" s="75"/>
      <c r="C136" s="75"/>
      <c r="D136" s="76"/>
      <c r="E136" s="75"/>
      <c r="F136" s="73"/>
      <c r="G136" s="73"/>
      <c r="H136" s="73"/>
      <c r="I136" s="73"/>
      <c r="J136" s="73"/>
      <c r="K136" s="121"/>
      <c r="L136" s="121"/>
      <c r="M136" s="73"/>
      <c r="N136" s="73"/>
      <c r="O136" s="73"/>
      <c r="P136" s="73"/>
      <c r="Q136" s="73"/>
      <c r="R136" s="121"/>
      <c r="S136" s="121"/>
      <c r="T136" s="73"/>
      <c r="U136" s="73"/>
      <c r="V136" s="73"/>
      <c r="W136" s="73"/>
      <c r="X136" s="73"/>
      <c r="Y136" s="121"/>
      <c r="Z136" s="121"/>
      <c r="AA136" s="73"/>
      <c r="AB136" s="73"/>
      <c r="AC136" s="73"/>
      <c r="AD136" s="73"/>
      <c r="AE136" s="73"/>
      <c r="AF136" s="121"/>
      <c r="AG136" s="121"/>
      <c r="AH136" s="73"/>
      <c r="AI136" s="73"/>
      <c r="AJ136" s="73"/>
      <c r="AK136" s="71">
        <f>SUM(AK3:AK135)</f>
        <v>481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0"/>
      <c r="G137" s="70"/>
      <c r="H137" s="70"/>
      <c r="I137" s="70"/>
      <c r="J137" s="70"/>
      <c r="K137" s="120"/>
      <c r="L137" s="120"/>
      <c r="M137" s="70"/>
      <c r="N137" s="70"/>
      <c r="O137" s="70"/>
      <c r="P137" s="70"/>
      <c r="Q137" s="70"/>
      <c r="R137" s="120"/>
      <c r="S137" s="120"/>
      <c r="T137" s="70"/>
      <c r="U137" s="70"/>
      <c r="V137" s="70"/>
      <c r="W137" s="70"/>
      <c r="X137" s="70"/>
      <c r="Y137" s="120"/>
      <c r="Z137" s="120"/>
      <c r="AA137" s="70"/>
      <c r="AB137" s="70"/>
      <c r="AC137" s="70"/>
      <c r="AD137" s="64"/>
      <c r="AE137" s="64"/>
      <c r="AF137" s="68"/>
      <c r="AG137" s="68"/>
      <c r="AH137" s="64"/>
      <c r="AI137" s="64"/>
      <c r="AJ137" s="64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4"/>
      <c r="G138" s="64"/>
      <c r="H138" s="64"/>
      <c r="I138" s="64"/>
      <c r="J138" s="64"/>
      <c r="K138" s="68"/>
      <c r="L138" s="68"/>
      <c r="M138" s="64"/>
      <c r="N138" s="64"/>
      <c r="O138" s="64"/>
      <c r="P138" s="64"/>
      <c r="Q138" s="64"/>
      <c r="R138" s="68"/>
      <c r="S138" s="68"/>
      <c r="T138" s="64"/>
      <c r="U138" s="64"/>
      <c r="V138" s="64"/>
      <c r="W138" s="64"/>
      <c r="X138" s="64"/>
      <c r="Y138" s="68"/>
      <c r="Z138" s="68"/>
      <c r="AA138" s="64"/>
      <c r="AB138" s="64"/>
      <c r="AC138" s="64"/>
      <c r="AD138" s="64"/>
      <c r="AE138" s="64"/>
      <c r="AF138" s="68"/>
      <c r="AG138" s="68"/>
      <c r="AH138" s="64"/>
      <c r="AI138" s="64"/>
      <c r="AJ138" s="64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4"/>
      <c r="G146" s="64"/>
      <c r="H146" s="64"/>
      <c r="I146" s="64"/>
      <c r="J146" s="64"/>
      <c r="M146" s="64"/>
      <c r="N146" s="64"/>
      <c r="O146" s="64"/>
      <c r="P146" s="64"/>
      <c r="Q146" s="64"/>
      <c r="T146" s="64"/>
      <c r="U146" s="64"/>
      <c r="V146" s="64"/>
      <c r="W146" s="64"/>
      <c r="X146" s="64"/>
      <c r="AA146" s="64"/>
      <c r="AB146" s="64"/>
      <c r="AC146" s="64"/>
      <c r="AD146" s="64"/>
      <c r="AE146" s="64"/>
      <c r="AH146" s="64"/>
      <c r="AI146" s="64"/>
      <c r="AJ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4"/>
      <c r="G147" s="64"/>
      <c r="H147" s="64"/>
      <c r="I147" s="64"/>
      <c r="J147" s="64"/>
      <c r="M147" s="64"/>
      <c r="N147" s="64"/>
      <c r="O147" s="64"/>
      <c r="P147" s="64"/>
      <c r="Q147" s="64"/>
      <c r="T147" s="64"/>
      <c r="U147" s="64"/>
      <c r="V147" s="64"/>
      <c r="W147" s="64"/>
      <c r="X147" s="64"/>
      <c r="AA147" s="64"/>
      <c r="AB147" s="64"/>
      <c r="AC147" s="64"/>
      <c r="AD147" s="64"/>
      <c r="AE147" s="64"/>
      <c r="AH147" s="64"/>
      <c r="AI147" s="64"/>
      <c r="AJ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4"/>
      <c r="G148" s="64"/>
      <c r="H148" s="64"/>
      <c r="I148" s="64"/>
      <c r="J148" s="64"/>
      <c r="M148" s="64"/>
      <c r="N148" s="64"/>
      <c r="O148" s="64"/>
      <c r="P148" s="64"/>
      <c r="Q148" s="64"/>
      <c r="T148" s="64"/>
      <c r="U148" s="64"/>
      <c r="V148" s="64"/>
      <c r="W148" s="64"/>
      <c r="X148" s="64"/>
      <c r="AA148" s="64"/>
      <c r="AB148" s="64"/>
      <c r="AC148" s="64"/>
      <c r="AD148" s="64"/>
      <c r="AE148" s="64"/>
      <c r="AH148" s="64"/>
      <c r="AI148" s="64"/>
      <c r="AJ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4"/>
      <c r="G149" s="64"/>
      <c r="H149" s="64"/>
      <c r="I149" s="64"/>
      <c r="J149" s="64"/>
      <c r="M149" s="64"/>
      <c r="N149" s="64"/>
      <c r="O149" s="64"/>
      <c r="P149" s="64"/>
      <c r="Q149" s="64"/>
      <c r="T149" s="64"/>
      <c r="U149" s="64"/>
      <c r="V149" s="64"/>
      <c r="W149" s="64"/>
      <c r="X149" s="64"/>
      <c r="AA149" s="64"/>
      <c r="AB149" s="64"/>
      <c r="AC149" s="64"/>
      <c r="AD149" s="64"/>
      <c r="AE149" s="64"/>
      <c r="AH149" s="64"/>
      <c r="AI149" s="64"/>
      <c r="AJ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4"/>
      <c r="G150" s="64"/>
      <c r="H150" s="64"/>
      <c r="I150" s="64"/>
      <c r="J150" s="64"/>
      <c r="M150" s="64"/>
      <c r="N150" s="64"/>
      <c r="O150" s="64"/>
      <c r="P150" s="64"/>
      <c r="Q150" s="64"/>
      <c r="T150" s="64"/>
      <c r="U150" s="64"/>
      <c r="V150" s="64"/>
      <c r="W150" s="64"/>
      <c r="X150" s="64"/>
      <c r="AA150" s="64"/>
      <c r="AB150" s="64"/>
      <c r="AC150" s="64"/>
      <c r="AD150" s="64"/>
      <c r="AE150" s="64"/>
      <c r="AH150" s="64"/>
      <c r="AI150" s="64"/>
      <c r="AJ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4"/>
      <c r="G151" s="64"/>
      <c r="H151" s="64"/>
      <c r="I151" s="64"/>
      <c r="J151" s="64"/>
      <c r="M151" s="64"/>
      <c r="N151" s="64"/>
      <c r="O151" s="64"/>
      <c r="P151" s="64"/>
      <c r="Q151" s="64"/>
      <c r="T151" s="64"/>
      <c r="U151" s="64"/>
      <c r="V151" s="64"/>
      <c r="W151" s="64"/>
      <c r="X151" s="64"/>
      <c r="AA151" s="64"/>
      <c r="AB151" s="64"/>
      <c r="AC151" s="64"/>
      <c r="AD151" s="64"/>
      <c r="AE151" s="64"/>
      <c r="AH151" s="64"/>
      <c r="AI151" s="64"/>
      <c r="AJ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4"/>
      <c r="G152" s="64"/>
      <c r="H152" s="64"/>
      <c r="I152" s="64"/>
      <c r="J152" s="64"/>
      <c r="M152" s="64"/>
      <c r="N152" s="64"/>
      <c r="O152" s="64"/>
      <c r="P152" s="64"/>
      <c r="Q152" s="64"/>
      <c r="T152" s="64"/>
      <c r="U152" s="64"/>
      <c r="V152" s="64"/>
      <c r="W152" s="64"/>
      <c r="X152" s="64"/>
      <c r="AA152" s="64"/>
      <c r="AB152" s="64"/>
      <c r="AC152" s="64"/>
      <c r="AD152" s="64"/>
      <c r="AE152" s="64"/>
      <c r="AH152" s="64"/>
      <c r="AI152" s="64"/>
      <c r="AJ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4"/>
      <c r="G153" s="64"/>
      <c r="H153" s="64"/>
      <c r="I153" s="64"/>
      <c r="J153" s="64"/>
      <c r="M153" s="64"/>
      <c r="N153" s="64"/>
      <c r="O153" s="64"/>
      <c r="P153" s="64"/>
      <c r="Q153" s="64"/>
      <c r="T153" s="64"/>
      <c r="U153" s="64"/>
      <c r="V153" s="64"/>
      <c r="W153" s="64"/>
      <c r="X153" s="64"/>
      <c r="AA153" s="64"/>
      <c r="AB153" s="64"/>
      <c r="AC153" s="64"/>
      <c r="AD153" s="64"/>
      <c r="AE153" s="64"/>
      <c r="AH153" s="64"/>
      <c r="AI153" s="64"/>
      <c r="AJ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4"/>
      <c r="G154" s="64"/>
      <c r="H154" s="64"/>
      <c r="I154" s="64"/>
      <c r="J154" s="64"/>
      <c r="M154" s="64"/>
      <c r="N154" s="64"/>
      <c r="O154" s="64"/>
      <c r="P154" s="64"/>
      <c r="Q154" s="64"/>
      <c r="T154" s="64"/>
      <c r="U154" s="64"/>
      <c r="V154" s="64"/>
      <c r="W154" s="64"/>
      <c r="X154" s="64"/>
      <c r="AA154" s="64"/>
      <c r="AB154" s="64"/>
      <c r="AC154" s="64"/>
      <c r="AD154" s="64"/>
      <c r="AE154" s="64"/>
      <c r="AH154" s="64"/>
      <c r="AI154" s="64"/>
      <c r="AJ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4"/>
      <c r="G155" s="64"/>
      <c r="H155" s="64"/>
      <c r="I155" s="64"/>
      <c r="J155" s="64"/>
      <c r="M155" s="64"/>
      <c r="N155" s="64"/>
      <c r="O155" s="64"/>
      <c r="P155" s="64"/>
      <c r="Q155" s="64"/>
      <c r="T155" s="64"/>
      <c r="U155" s="64"/>
      <c r="V155" s="64"/>
      <c r="W155" s="64"/>
      <c r="X155" s="64"/>
      <c r="AA155" s="64"/>
      <c r="AB155" s="64"/>
      <c r="AC155" s="64"/>
      <c r="AD155" s="64"/>
      <c r="AE155" s="64"/>
      <c r="AH155" s="64"/>
      <c r="AI155" s="64"/>
      <c r="AJ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4"/>
      <c r="G156" s="64"/>
      <c r="H156" s="64"/>
      <c r="I156" s="64"/>
      <c r="J156" s="64"/>
      <c r="M156" s="64"/>
      <c r="N156" s="64"/>
      <c r="O156" s="64"/>
      <c r="P156" s="64"/>
      <c r="Q156" s="64"/>
      <c r="T156" s="64"/>
      <c r="U156" s="64"/>
      <c r="V156" s="64"/>
      <c r="W156" s="64"/>
      <c r="X156" s="64"/>
      <c r="AA156" s="64"/>
      <c r="AB156" s="64"/>
      <c r="AC156" s="64"/>
      <c r="AD156" s="64"/>
      <c r="AE156" s="64"/>
      <c r="AH156" s="64"/>
      <c r="AI156" s="64"/>
      <c r="AJ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4"/>
      <c r="G157" s="64"/>
      <c r="H157" s="64"/>
      <c r="I157" s="64"/>
      <c r="J157" s="64"/>
      <c r="M157" s="64"/>
      <c r="N157" s="64"/>
      <c r="O157" s="64"/>
      <c r="P157" s="64"/>
      <c r="Q157" s="64"/>
      <c r="T157" s="64"/>
      <c r="U157" s="64"/>
      <c r="V157" s="64"/>
      <c r="W157" s="64"/>
      <c r="X157" s="64"/>
      <c r="AA157" s="64"/>
      <c r="AB157" s="64"/>
      <c r="AC157" s="64"/>
      <c r="AD157" s="64"/>
      <c r="AE157" s="64"/>
      <c r="AH157" s="64"/>
      <c r="AI157" s="64"/>
      <c r="AJ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4"/>
      <c r="G158" s="64"/>
      <c r="H158" s="64"/>
      <c r="I158" s="64"/>
      <c r="J158" s="64"/>
      <c r="M158" s="64"/>
      <c r="N158" s="64"/>
      <c r="O158" s="64"/>
      <c r="P158" s="64"/>
      <c r="Q158" s="64"/>
      <c r="T158" s="64"/>
      <c r="U158" s="64"/>
      <c r="V158" s="64"/>
      <c r="W158" s="64"/>
      <c r="X158" s="64"/>
      <c r="AA158" s="64"/>
      <c r="AB158" s="64"/>
      <c r="AC158" s="64"/>
      <c r="AD158" s="64"/>
      <c r="AE158" s="64"/>
      <c r="AH158" s="64"/>
      <c r="AI158" s="64"/>
      <c r="AJ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4"/>
      <c r="G159" s="64"/>
      <c r="H159" s="64"/>
      <c r="I159" s="64"/>
      <c r="J159" s="64"/>
      <c r="M159" s="64"/>
      <c r="N159" s="64"/>
      <c r="O159" s="64"/>
      <c r="P159" s="64"/>
      <c r="Q159" s="64"/>
      <c r="T159" s="64"/>
      <c r="U159" s="64"/>
      <c r="V159" s="64"/>
      <c r="W159" s="64"/>
      <c r="X159" s="64"/>
      <c r="AA159" s="64"/>
      <c r="AB159" s="64"/>
      <c r="AC159" s="64"/>
      <c r="AD159" s="64"/>
      <c r="AE159" s="64"/>
      <c r="AH159" s="64"/>
      <c r="AI159" s="64"/>
      <c r="AJ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4"/>
      <c r="G160" s="64"/>
      <c r="H160" s="64"/>
      <c r="I160" s="64"/>
      <c r="J160" s="64"/>
      <c r="M160" s="64"/>
      <c r="N160" s="64"/>
      <c r="O160" s="64"/>
      <c r="P160" s="64"/>
      <c r="Q160" s="64"/>
      <c r="T160" s="64"/>
      <c r="U160" s="64"/>
      <c r="V160" s="64"/>
      <c r="W160" s="64"/>
      <c r="X160" s="64"/>
      <c r="AA160" s="64"/>
      <c r="AB160" s="64"/>
      <c r="AC160" s="64"/>
      <c r="AD160" s="64"/>
      <c r="AE160" s="64"/>
      <c r="AH160" s="64"/>
      <c r="AI160" s="64"/>
      <c r="AJ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4"/>
      <c r="G161" s="64"/>
      <c r="H161" s="64"/>
      <c r="I161" s="64"/>
      <c r="J161" s="64"/>
      <c r="M161" s="64"/>
      <c r="N161" s="64"/>
      <c r="O161" s="64"/>
      <c r="P161" s="64"/>
      <c r="Q161" s="64"/>
      <c r="T161" s="64"/>
      <c r="U161" s="64"/>
      <c r="V161" s="64"/>
      <c r="W161" s="64"/>
      <c r="X161" s="64"/>
      <c r="AA161" s="64"/>
      <c r="AB161" s="64"/>
      <c r="AC161" s="64"/>
      <c r="AD161" s="64"/>
      <c r="AE161" s="64"/>
      <c r="AH161" s="64"/>
      <c r="AI161" s="64"/>
      <c r="AJ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4"/>
      <c r="G162" s="64"/>
      <c r="H162" s="64"/>
      <c r="I162" s="64"/>
      <c r="J162" s="64"/>
      <c r="M162" s="64"/>
      <c r="N162" s="64"/>
      <c r="O162" s="64"/>
      <c r="P162" s="64"/>
      <c r="Q162" s="64"/>
      <c r="T162" s="64"/>
      <c r="U162" s="64"/>
      <c r="V162" s="64"/>
      <c r="W162" s="64"/>
      <c r="X162" s="64"/>
      <c r="AA162" s="64"/>
      <c r="AB162" s="64"/>
      <c r="AC162" s="64"/>
      <c r="AD162" s="64"/>
      <c r="AE162" s="64"/>
      <c r="AH162" s="64"/>
      <c r="AI162" s="64"/>
      <c r="AJ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4"/>
      <c r="G163" s="64"/>
      <c r="H163" s="64"/>
      <c r="I163" s="64"/>
      <c r="J163" s="64"/>
      <c r="M163" s="64"/>
      <c r="N163" s="64"/>
      <c r="O163" s="64"/>
      <c r="P163" s="64"/>
      <c r="Q163" s="64"/>
      <c r="T163" s="64"/>
      <c r="U163" s="64"/>
      <c r="V163" s="64"/>
      <c r="W163" s="64"/>
      <c r="X163" s="64"/>
      <c r="AA163" s="64"/>
      <c r="AB163" s="64"/>
      <c r="AC163" s="64"/>
      <c r="AD163" s="64"/>
      <c r="AE163" s="64"/>
      <c r="AH163" s="64"/>
      <c r="AI163" s="64"/>
      <c r="AJ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4"/>
      <c r="G164" s="64"/>
      <c r="H164" s="64"/>
      <c r="I164" s="64"/>
      <c r="J164" s="64"/>
      <c r="M164" s="64"/>
      <c r="N164" s="64"/>
      <c r="O164" s="64"/>
      <c r="P164" s="64"/>
      <c r="Q164" s="64"/>
      <c r="T164" s="64"/>
      <c r="U164" s="64"/>
      <c r="V164" s="64"/>
      <c r="W164" s="64"/>
      <c r="X164" s="64"/>
      <c r="AA164" s="64"/>
      <c r="AB164" s="64"/>
      <c r="AC164" s="64"/>
      <c r="AD164" s="64"/>
      <c r="AE164" s="64"/>
      <c r="AH164" s="64"/>
      <c r="AI164" s="64"/>
      <c r="AJ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4"/>
      <c r="G165" s="64"/>
      <c r="H165" s="64"/>
      <c r="I165" s="64"/>
      <c r="J165" s="64"/>
      <c r="M165" s="64"/>
      <c r="N165" s="64"/>
      <c r="O165" s="64"/>
      <c r="P165" s="64"/>
      <c r="Q165" s="64"/>
      <c r="T165" s="64"/>
      <c r="U165" s="64"/>
      <c r="V165" s="64"/>
      <c r="W165" s="64"/>
      <c r="X165" s="64"/>
      <c r="AA165" s="64"/>
      <c r="AB165" s="64"/>
      <c r="AC165" s="64"/>
      <c r="AD165" s="64"/>
      <c r="AE165" s="64"/>
      <c r="AH165" s="64"/>
      <c r="AI165" s="64"/>
      <c r="AJ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4"/>
      <c r="G166" s="64"/>
      <c r="H166" s="64"/>
      <c r="I166" s="64"/>
      <c r="J166" s="64"/>
      <c r="M166" s="64"/>
      <c r="N166" s="64"/>
      <c r="O166" s="64"/>
      <c r="P166" s="64"/>
      <c r="Q166" s="64"/>
      <c r="T166" s="64"/>
      <c r="U166" s="64"/>
      <c r="V166" s="64"/>
      <c r="W166" s="64"/>
      <c r="X166" s="64"/>
      <c r="AA166" s="64"/>
      <c r="AB166" s="64"/>
      <c r="AC166" s="64"/>
      <c r="AD166" s="64"/>
      <c r="AE166" s="64"/>
      <c r="AH166" s="64"/>
      <c r="AI166" s="64"/>
      <c r="AJ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4"/>
      <c r="G167" s="64"/>
      <c r="H167" s="64"/>
      <c r="I167" s="64"/>
      <c r="J167" s="64"/>
      <c r="M167" s="64"/>
      <c r="N167" s="64"/>
      <c r="O167" s="64"/>
      <c r="P167" s="64"/>
      <c r="Q167" s="64"/>
      <c r="T167" s="64"/>
      <c r="U167" s="64"/>
      <c r="V167" s="64"/>
      <c r="W167" s="64"/>
      <c r="X167" s="64"/>
      <c r="AA167" s="64"/>
      <c r="AB167" s="64"/>
      <c r="AC167" s="64"/>
      <c r="AD167" s="64"/>
      <c r="AE167" s="64"/>
      <c r="AH167" s="64"/>
      <c r="AI167" s="64"/>
      <c r="AJ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4"/>
      <c r="G168" s="64"/>
      <c r="H168" s="64"/>
      <c r="I168" s="64"/>
      <c r="J168" s="64"/>
      <c r="M168" s="64"/>
      <c r="N168" s="64"/>
      <c r="O168" s="64"/>
      <c r="P168" s="64"/>
      <c r="Q168" s="64"/>
      <c r="T168" s="64"/>
      <c r="U168" s="64"/>
      <c r="V168" s="64"/>
      <c r="W168" s="64"/>
      <c r="X168" s="64"/>
      <c r="AA168" s="64"/>
      <c r="AB168" s="64"/>
      <c r="AC168" s="64"/>
      <c r="AD168" s="64"/>
      <c r="AE168" s="64"/>
      <c r="AH168" s="64"/>
      <c r="AI168" s="64"/>
      <c r="AJ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4"/>
      <c r="G169" s="64"/>
      <c r="H169" s="64"/>
      <c r="I169" s="64"/>
      <c r="J169" s="64"/>
      <c r="M169" s="64"/>
      <c r="N169" s="64"/>
      <c r="O169" s="64"/>
      <c r="P169" s="64"/>
      <c r="Q169" s="64"/>
      <c r="T169" s="64"/>
      <c r="U169" s="64"/>
      <c r="V169" s="64"/>
      <c r="W169" s="64"/>
      <c r="X169" s="64"/>
      <c r="AA169" s="64"/>
      <c r="AB169" s="64"/>
      <c r="AC169" s="64"/>
      <c r="AD169" s="64"/>
      <c r="AE169" s="64"/>
      <c r="AH169" s="64"/>
      <c r="AI169" s="64"/>
      <c r="AJ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4"/>
      <c r="G170" s="64"/>
      <c r="H170" s="64"/>
      <c r="I170" s="64"/>
      <c r="J170" s="64"/>
      <c r="M170" s="64"/>
      <c r="N170" s="64"/>
      <c r="O170" s="64"/>
      <c r="P170" s="64"/>
      <c r="Q170" s="64"/>
      <c r="T170" s="64"/>
      <c r="U170" s="64"/>
      <c r="V170" s="64"/>
      <c r="W170" s="64"/>
      <c r="X170" s="64"/>
      <c r="AA170" s="64"/>
      <c r="AB170" s="64"/>
      <c r="AC170" s="64"/>
      <c r="AD170" s="64"/>
      <c r="AE170" s="64"/>
      <c r="AH170" s="64"/>
      <c r="AI170" s="64"/>
      <c r="AJ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4"/>
      <c r="G171" s="64"/>
      <c r="H171" s="64"/>
      <c r="I171" s="64"/>
      <c r="J171" s="64"/>
      <c r="M171" s="64"/>
      <c r="N171" s="64"/>
      <c r="O171" s="64"/>
      <c r="P171" s="64"/>
      <c r="Q171" s="64"/>
      <c r="T171" s="64"/>
      <c r="U171" s="64"/>
      <c r="V171" s="64"/>
      <c r="W171" s="64"/>
      <c r="X171" s="64"/>
      <c r="AA171" s="64"/>
      <c r="AB171" s="64"/>
      <c r="AC171" s="64"/>
      <c r="AD171" s="64"/>
      <c r="AE171" s="64"/>
      <c r="AH171" s="64"/>
      <c r="AI171" s="64"/>
      <c r="AJ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4"/>
      <c r="G172" s="64"/>
      <c r="H172" s="64"/>
      <c r="I172" s="64"/>
      <c r="J172" s="64"/>
      <c r="M172" s="64"/>
      <c r="N172" s="64"/>
      <c r="O172" s="64"/>
      <c r="P172" s="64"/>
      <c r="Q172" s="64"/>
      <c r="T172" s="64"/>
      <c r="U172" s="64"/>
      <c r="V172" s="64"/>
      <c r="W172" s="64"/>
      <c r="X172" s="64"/>
      <c r="AA172" s="64"/>
      <c r="AB172" s="64"/>
      <c r="AC172" s="64"/>
      <c r="AD172" s="64"/>
      <c r="AE172" s="64"/>
      <c r="AH172" s="64"/>
      <c r="AI172" s="64"/>
      <c r="AJ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4"/>
      <c r="G173" s="64"/>
      <c r="H173" s="64"/>
      <c r="I173" s="64"/>
      <c r="J173" s="64"/>
      <c r="M173" s="64"/>
      <c r="N173" s="64"/>
      <c r="O173" s="64"/>
      <c r="P173" s="64"/>
      <c r="Q173" s="64"/>
      <c r="T173" s="64"/>
      <c r="U173" s="64"/>
      <c r="V173" s="64"/>
      <c r="W173" s="64"/>
      <c r="X173" s="64"/>
      <c r="AA173" s="64"/>
      <c r="AB173" s="64"/>
      <c r="AC173" s="64"/>
      <c r="AD173" s="64"/>
      <c r="AE173" s="64"/>
      <c r="AH173" s="64"/>
      <c r="AI173" s="64"/>
      <c r="AJ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4"/>
      <c r="G174" s="64"/>
      <c r="H174" s="64"/>
      <c r="I174" s="64"/>
      <c r="J174" s="64"/>
      <c r="M174" s="64"/>
      <c r="N174" s="64"/>
      <c r="O174" s="64"/>
      <c r="P174" s="64"/>
      <c r="Q174" s="64"/>
      <c r="T174" s="64"/>
      <c r="U174" s="64"/>
      <c r="V174" s="64"/>
      <c r="W174" s="64"/>
      <c r="X174" s="64"/>
      <c r="AA174" s="64"/>
      <c r="AB174" s="64"/>
      <c r="AC174" s="64"/>
      <c r="AD174" s="64"/>
      <c r="AE174" s="64"/>
      <c r="AH174" s="64"/>
      <c r="AI174" s="64"/>
      <c r="AJ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4"/>
      <c r="G175" s="64"/>
      <c r="H175" s="64"/>
      <c r="I175" s="64"/>
      <c r="J175" s="64"/>
      <c r="M175" s="64"/>
      <c r="N175" s="64"/>
      <c r="O175" s="64"/>
      <c r="P175" s="64"/>
      <c r="Q175" s="64"/>
      <c r="T175" s="64"/>
      <c r="U175" s="64"/>
      <c r="V175" s="64"/>
      <c r="W175" s="64"/>
      <c r="X175" s="64"/>
      <c r="AA175" s="64"/>
      <c r="AB175" s="64"/>
      <c r="AC175" s="64"/>
      <c r="AD175" s="64"/>
      <c r="AE175" s="64"/>
      <c r="AH175" s="64"/>
      <c r="AI175" s="64"/>
      <c r="AJ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4"/>
      <c r="G176" s="64"/>
      <c r="H176" s="64"/>
      <c r="I176" s="64"/>
      <c r="J176" s="64"/>
      <c r="M176" s="64"/>
      <c r="N176" s="64"/>
      <c r="O176" s="64"/>
      <c r="P176" s="64"/>
      <c r="Q176" s="64"/>
      <c r="T176" s="64"/>
      <c r="U176" s="64"/>
      <c r="V176" s="64"/>
      <c r="W176" s="64"/>
      <c r="X176" s="64"/>
      <c r="AA176" s="64"/>
      <c r="AB176" s="64"/>
      <c r="AC176" s="64"/>
      <c r="AD176" s="64"/>
      <c r="AE176" s="64"/>
      <c r="AH176" s="64"/>
      <c r="AI176" s="64"/>
      <c r="AJ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4"/>
      <c r="G177" s="64"/>
      <c r="H177" s="64"/>
      <c r="I177" s="64"/>
      <c r="J177" s="64"/>
      <c r="M177" s="64"/>
      <c r="N177" s="64"/>
      <c r="O177" s="64"/>
      <c r="P177" s="64"/>
      <c r="Q177" s="64"/>
      <c r="T177" s="64"/>
      <c r="U177" s="64"/>
      <c r="V177" s="64"/>
      <c r="W177" s="64"/>
      <c r="X177" s="64"/>
      <c r="AA177" s="64"/>
      <c r="AB177" s="64"/>
      <c r="AC177" s="64"/>
      <c r="AD177" s="64"/>
      <c r="AE177" s="64"/>
      <c r="AH177" s="64"/>
      <c r="AI177" s="64"/>
      <c r="AJ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4"/>
      <c r="G178" s="64"/>
      <c r="H178" s="64"/>
      <c r="I178" s="64"/>
      <c r="J178" s="64"/>
      <c r="M178" s="64"/>
      <c r="N178" s="64"/>
      <c r="O178" s="64"/>
      <c r="P178" s="64"/>
      <c r="Q178" s="64"/>
      <c r="T178" s="64"/>
      <c r="U178" s="64"/>
      <c r="V178" s="64"/>
      <c r="W178" s="64"/>
      <c r="X178" s="64"/>
      <c r="AA178" s="64"/>
      <c r="AB178" s="64"/>
      <c r="AC178" s="64"/>
      <c r="AD178" s="64"/>
      <c r="AE178" s="64"/>
      <c r="AH178" s="64"/>
      <c r="AI178" s="64"/>
      <c r="AJ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4"/>
      <c r="G179" s="64"/>
      <c r="H179" s="64"/>
      <c r="I179" s="64"/>
      <c r="J179" s="64"/>
      <c r="M179" s="64"/>
      <c r="N179" s="64"/>
      <c r="O179" s="64"/>
      <c r="P179" s="64"/>
      <c r="Q179" s="64"/>
      <c r="T179" s="64"/>
      <c r="U179" s="64"/>
      <c r="V179" s="64"/>
      <c r="W179" s="64"/>
      <c r="X179" s="64"/>
      <c r="AA179" s="64"/>
      <c r="AB179" s="64"/>
      <c r="AC179" s="64"/>
      <c r="AD179" s="64"/>
      <c r="AE179" s="64"/>
      <c r="AH179" s="64"/>
      <c r="AI179" s="64"/>
      <c r="AJ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4"/>
      <c r="G180" s="64"/>
      <c r="H180" s="64"/>
      <c r="I180" s="64"/>
      <c r="J180" s="64"/>
      <c r="M180" s="64"/>
      <c r="N180" s="64"/>
      <c r="O180" s="64"/>
      <c r="P180" s="64"/>
      <c r="Q180" s="64"/>
      <c r="T180" s="64"/>
      <c r="U180" s="64"/>
      <c r="V180" s="64"/>
      <c r="W180" s="64"/>
      <c r="X180" s="64"/>
      <c r="AA180" s="64"/>
      <c r="AB180" s="64"/>
      <c r="AC180" s="64"/>
      <c r="AD180" s="64"/>
      <c r="AE180" s="64"/>
      <c r="AH180" s="64"/>
      <c r="AI180" s="64"/>
      <c r="AJ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4"/>
      <c r="G181" s="64"/>
      <c r="H181" s="64"/>
      <c r="I181" s="64"/>
      <c r="J181" s="64"/>
      <c r="M181" s="64"/>
      <c r="N181" s="64"/>
      <c r="O181" s="64"/>
      <c r="P181" s="64"/>
      <c r="Q181" s="64"/>
      <c r="T181" s="64"/>
      <c r="U181" s="64"/>
      <c r="V181" s="64"/>
      <c r="W181" s="64"/>
      <c r="X181" s="64"/>
      <c r="AA181" s="64"/>
      <c r="AB181" s="64"/>
      <c r="AC181" s="64"/>
      <c r="AD181" s="64"/>
      <c r="AE181" s="64"/>
      <c r="AH181" s="64"/>
      <c r="AI181" s="64"/>
      <c r="AJ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4"/>
      <c r="G182" s="64"/>
      <c r="H182" s="64"/>
      <c r="I182" s="64"/>
      <c r="J182" s="64"/>
      <c r="M182" s="64"/>
      <c r="N182" s="64"/>
      <c r="O182" s="64"/>
      <c r="P182" s="64"/>
      <c r="Q182" s="64"/>
      <c r="T182" s="64"/>
      <c r="U182" s="64"/>
      <c r="V182" s="64"/>
      <c r="W182" s="64"/>
      <c r="X182" s="64"/>
      <c r="AA182" s="64"/>
      <c r="AB182" s="64"/>
      <c r="AC182" s="64"/>
      <c r="AD182" s="64"/>
      <c r="AE182" s="64"/>
      <c r="AH182" s="64"/>
      <c r="AI182" s="64"/>
      <c r="AJ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4"/>
      <c r="G183" s="64"/>
      <c r="H183" s="64"/>
      <c r="I183" s="64"/>
      <c r="J183" s="64"/>
      <c r="M183" s="64"/>
      <c r="N183" s="64"/>
      <c r="O183" s="64"/>
      <c r="P183" s="64"/>
      <c r="Q183" s="64"/>
      <c r="T183" s="64"/>
      <c r="U183" s="64"/>
      <c r="V183" s="64"/>
      <c r="W183" s="64"/>
      <c r="X183" s="64"/>
      <c r="AA183" s="64"/>
      <c r="AB183" s="64"/>
      <c r="AC183" s="64"/>
      <c r="AD183" s="64"/>
      <c r="AE183" s="64"/>
      <c r="AH183" s="64"/>
      <c r="AI183" s="64"/>
      <c r="AJ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4"/>
      <c r="G184" s="64"/>
      <c r="H184" s="64"/>
      <c r="I184" s="64"/>
      <c r="J184" s="64"/>
      <c r="M184" s="64"/>
      <c r="N184" s="64"/>
      <c r="O184" s="64"/>
      <c r="P184" s="64"/>
      <c r="Q184" s="64"/>
      <c r="T184" s="64"/>
      <c r="U184" s="64"/>
      <c r="V184" s="64"/>
      <c r="W184" s="64"/>
      <c r="X184" s="64"/>
      <c r="AA184" s="64"/>
      <c r="AB184" s="64"/>
      <c r="AC184" s="64"/>
      <c r="AD184" s="64"/>
      <c r="AE184" s="64"/>
      <c r="AH184" s="64"/>
      <c r="AI184" s="64"/>
      <c r="AJ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4"/>
      <c r="G185" s="64"/>
      <c r="H185" s="64"/>
      <c r="I185" s="64"/>
      <c r="J185" s="64"/>
      <c r="M185" s="64"/>
      <c r="N185" s="64"/>
      <c r="O185" s="64"/>
      <c r="P185" s="64"/>
      <c r="Q185" s="64"/>
      <c r="T185" s="64"/>
      <c r="U185" s="64"/>
      <c r="V185" s="64"/>
      <c r="W185" s="64"/>
      <c r="X185" s="64"/>
      <c r="AA185" s="64"/>
      <c r="AB185" s="64"/>
      <c r="AC185" s="64"/>
      <c r="AD185" s="64"/>
      <c r="AE185" s="64"/>
      <c r="AH185" s="64"/>
      <c r="AI185" s="64"/>
      <c r="AJ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4"/>
      <c r="G186" s="64"/>
      <c r="H186" s="64"/>
      <c r="I186" s="64"/>
      <c r="J186" s="64"/>
      <c r="M186" s="64"/>
      <c r="N186" s="64"/>
      <c r="O186" s="64"/>
      <c r="P186" s="64"/>
      <c r="Q186" s="64"/>
      <c r="T186" s="64"/>
      <c r="U186" s="64"/>
      <c r="V186" s="64"/>
      <c r="W186" s="64"/>
      <c r="X186" s="64"/>
      <c r="AA186" s="64"/>
      <c r="AB186" s="64"/>
      <c r="AC186" s="64"/>
      <c r="AD186" s="64"/>
      <c r="AE186" s="64"/>
      <c r="AH186" s="64"/>
      <c r="AI186" s="64"/>
      <c r="AJ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4"/>
      <c r="G187" s="64"/>
      <c r="H187" s="64"/>
      <c r="I187" s="64"/>
      <c r="J187" s="64"/>
      <c r="M187" s="64"/>
      <c r="N187" s="64"/>
      <c r="O187" s="64"/>
      <c r="P187" s="64"/>
      <c r="Q187" s="64"/>
      <c r="T187" s="64"/>
      <c r="U187" s="64"/>
      <c r="V187" s="64"/>
      <c r="W187" s="64"/>
      <c r="X187" s="64"/>
      <c r="AA187" s="64"/>
      <c r="AB187" s="64"/>
      <c r="AC187" s="64"/>
      <c r="AD187" s="64"/>
      <c r="AE187" s="64"/>
      <c r="AH187" s="64"/>
      <c r="AI187" s="64"/>
      <c r="AJ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4"/>
      <c r="G188" s="64"/>
      <c r="H188" s="64"/>
      <c r="I188" s="64"/>
      <c r="J188" s="64"/>
      <c r="M188" s="64"/>
      <c r="N188" s="64"/>
      <c r="O188" s="64"/>
      <c r="P188" s="64"/>
      <c r="Q188" s="64"/>
      <c r="T188" s="64"/>
      <c r="U188" s="64"/>
      <c r="V188" s="64"/>
      <c r="W188" s="64"/>
      <c r="X188" s="64"/>
      <c r="AA188" s="64"/>
      <c r="AB188" s="64"/>
      <c r="AC188" s="64"/>
      <c r="AD188" s="64"/>
      <c r="AE188" s="64"/>
      <c r="AH188" s="64"/>
      <c r="AI188" s="64"/>
      <c r="AJ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4"/>
      <c r="G189" s="64"/>
      <c r="H189" s="64"/>
      <c r="I189" s="64"/>
      <c r="J189" s="64"/>
      <c r="M189" s="64"/>
      <c r="N189" s="64"/>
      <c r="O189" s="64"/>
      <c r="P189" s="64"/>
      <c r="Q189" s="64"/>
      <c r="T189" s="64"/>
      <c r="U189" s="64"/>
      <c r="V189" s="64"/>
      <c r="W189" s="64"/>
      <c r="X189" s="64"/>
      <c r="AA189" s="64"/>
      <c r="AB189" s="64"/>
      <c r="AC189" s="64"/>
      <c r="AD189" s="64"/>
      <c r="AE189" s="64"/>
      <c r="AH189" s="64"/>
      <c r="AI189" s="64"/>
      <c r="AJ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4"/>
      <c r="G190" s="64"/>
      <c r="H190" s="64"/>
      <c r="I190" s="64"/>
      <c r="J190" s="64"/>
      <c r="M190" s="64"/>
      <c r="N190" s="64"/>
      <c r="O190" s="64"/>
      <c r="P190" s="64"/>
      <c r="Q190" s="64"/>
      <c r="T190" s="64"/>
      <c r="U190" s="64"/>
      <c r="V190" s="64"/>
      <c r="W190" s="64"/>
      <c r="X190" s="64"/>
      <c r="AA190" s="64"/>
      <c r="AB190" s="64"/>
      <c r="AC190" s="64"/>
      <c r="AD190" s="64"/>
      <c r="AE190" s="64"/>
      <c r="AH190" s="64"/>
      <c r="AI190" s="64"/>
      <c r="AJ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4"/>
      <c r="G191" s="64"/>
      <c r="H191" s="64"/>
      <c r="I191" s="64"/>
      <c r="J191" s="64"/>
      <c r="M191" s="64"/>
      <c r="N191" s="64"/>
      <c r="O191" s="64"/>
      <c r="P191" s="64"/>
      <c r="Q191" s="64"/>
      <c r="T191" s="64"/>
      <c r="U191" s="64"/>
      <c r="V191" s="64"/>
      <c r="W191" s="64"/>
      <c r="X191" s="64"/>
      <c r="AA191" s="64"/>
      <c r="AB191" s="64"/>
      <c r="AC191" s="64"/>
      <c r="AD191" s="64"/>
      <c r="AE191" s="64"/>
      <c r="AH191" s="64"/>
      <c r="AI191" s="64"/>
      <c r="AJ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4"/>
      <c r="G192" s="64"/>
      <c r="H192" s="64"/>
      <c r="I192" s="64"/>
      <c r="J192" s="64"/>
      <c r="M192" s="64"/>
      <c r="N192" s="64"/>
      <c r="O192" s="64"/>
      <c r="P192" s="64"/>
      <c r="Q192" s="64"/>
      <c r="T192" s="64"/>
      <c r="U192" s="64"/>
      <c r="V192" s="64"/>
      <c r="W192" s="64"/>
      <c r="X192" s="64"/>
      <c r="AA192" s="64"/>
      <c r="AB192" s="64"/>
      <c r="AC192" s="64"/>
      <c r="AD192" s="64"/>
      <c r="AE192" s="64"/>
      <c r="AH192" s="64"/>
      <c r="AI192" s="64"/>
      <c r="AJ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4"/>
      <c r="G193" s="64"/>
      <c r="H193" s="64"/>
      <c r="I193" s="64"/>
      <c r="J193" s="64"/>
      <c r="M193" s="64"/>
      <c r="N193" s="64"/>
      <c r="O193" s="64"/>
      <c r="P193" s="64"/>
      <c r="Q193" s="64"/>
      <c r="T193" s="64"/>
      <c r="U193" s="64"/>
      <c r="V193" s="64"/>
      <c r="W193" s="64"/>
      <c r="X193" s="64"/>
      <c r="AA193" s="64"/>
      <c r="AB193" s="64"/>
      <c r="AC193" s="64"/>
      <c r="AD193" s="64"/>
      <c r="AE193" s="64"/>
      <c r="AH193" s="64"/>
      <c r="AI193" s="64"/>
      <c r="AJ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4"/>
      <c r="G194" s="64"/>
      <c r="H194" s="64"/>
      <c r="I194" s="64"/>
      <c r="J194" s="64"/>
      <c r="M194" s="64"/>
      <c r="N194" s="64"/>
      <c r="O194" s="64"/>
      <c r="P194" s="64"/>
      <c r="Q194" s="64"/>
      <c r="T194" s="64"/>
      <c r="U194" s="64"/>
      <c r="V194" s="64"/>
      <c r="W194" s="64"/>
      <c r="X194" s="64"/>
      <c r="AA194" s="64"/>
      <c r="AB194" s="64"/>
      <c r="AC194" s="64"/>
      <c r="AD194" s="64"/>
      <c r="AE194" s="64"/>
      <c r="AH194" s="64"/>
      <c r="AI194" s="64"/>
      <c r="AJ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4"/>
      <c r="G195" s="64"/>
      <c r="H195" s="64"/>
      <c r="I195" s="64"/>
      <c r="J195" s="64"/>
      <c r="M195" s="64"/>
      <c r="N195" s="64"/>
      <c r="O195" s="64"/>
      <c r="P195" s="64"/>
      <c r="Q195" s="64"/>
      <c r="T195" s="64"/>
      <c r="U195" s="64"/>
      <c r="V195" s="64"/>
      <c r="W195" s="64"/>
      <c r="X195" s="64"/>
      <c r="AA195" s="64"/>
      <c r="AB195" s="64"/>
      <c r="AC195" s="64"/>
      <c r="AD195" s="64"/>
      <c r="AE195" s="64"/>
      <c r="AH195" s="64"/>
      <c r="AI195" s="64"/>
      <c r="AJ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4"/>
      <c r="G196" s="64"/>
      <c r="H196" s="64"/>
      <c r="I196" s="64"/>
      <c r="J196" s="64"/>
      <c r="M196" s="64"/>
      <c r="N196" s="64"/>
      <c r="O196" s="64"/>
      <c r="P196" s="64"/>
      <c r="Q196" s="64"/>
      <c r="T196" s="64"/>
      <c r="U196" s="64"/>
      <c r="V196" s="64"/>
      <c r="W196" s="64"/>
      <c r="X196" s="64"/>
      <c r="AA196" s="64"/>
      <c r="AB196" s="64"/>
      <c r="AC196" s="64"/>
      <c r="AD196" s="64"/>
      <c r="AE196" s="64"/>
      <c r="AH196" s="64"/>
      <c r="AI196" s="64"/>
      <c r="AJ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4"/>
      <c r="G197" s="64"/>
      <c r="H197" s="64"/>
      <c r="I197" s="64"/>
      <c r="J197" s="64"/>
      <c r="M197" s="64"/>
      <c r="N197" s="64"/>
      <c r="O197" s="64"/>
      <c r="P197" s="64"/>
      <c r="Q197" s="64"/>
      <c r="T197" s="64"/>
      <c r="U197" s="64"/>
      <c r="V197" s="64"/>
      <c r="W197" s="64"/>
      <c r="X197" s="64"/>
      <c r="AA197" s="64"/>
      <c r="AB197" s="64"/>
      <c r="AC197" s="64"/>
      <c r="AD197" s="64"/>
      <c r="AE197" s="64"/>
      <c r="AH197" s="64"/>
      <c r="AI197" s="64"/>
      <c r="AJ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4"/>
      <c r="G198" s="64"/>
      <c r="H198" s="64"/>
      <c r="I198" s="64"/>
      <c r="J198" s="64"/>
      <c r="M198" s="64"/>
      <c r="N198" s="64"/>
      <c r="O198" s="64"/>
      <c r="P198" s="64"/>
      <c r="Q198" s="64"/>
      <c r="T198" s="64"/>
      <c r="U198" s="64"/>
      <c r="V198" s="64"/>
      <c r="W198" s="64"/>
      <c r="X198" s="64"/>
      <c r="AA198" s="64"/>
      <c r="AB198" s="64"/>
      <c r="AC198" s="64"/>
      <c r="AD198" s="64"/>
      <c r="AE198" s="64"/>
      <c r="AH198" s="64"/>
      <c r="AI198" s="64"/>
      <c r="AJ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4"/>
      <c r="G199" s="64"/>
      <c r="H199" s="64"/>
      <c r="I199" s="64"/>
      <c r="J199" s="64"/>
      <c r="M199" s="64"/>
      <c r="N199" s="64"/>
      <c r="O199" s="64"/>
      <c r="P199" s="64"/>
      <c r="Q199" s="64"/>
      <c r="T199" s="64"/>
      <c r="U199" s="64"/>
      <c r="V199" s="64"/>
      <c r="W199" s="64"/>
      <c r="X199" s="64"/>
      <c r="AA199" s="64"/>
      <c r="AB199" s="64"/>
      <c r="AC199" s="64"/>
      <c r="AD199" s="64"/>
      <c r="AE199" s="64"/>
      <c r="AH199" s="64"/>
      <c r="AI199" s="64"/>
      <c r="AJ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4"/>
      <c r="G200" s="64"/>
      <c r="H200" s="64"/>
      <c r="I200" s="64"/>
      <c r="J200" s="64"/>
      <c r="M200" s="64"/>
      <c r="N200" s="64"/>
      <c r="O200" s="64"/>
      <c r="P200" s="64"/>
      <c r="Q200" s="64"/>
      <c r="T200" s="64"/>
      <c r="U200" s="64"/>
      <c r="V200" s="64"/>
      <c r="W200" s="64"/>
      <c r="X200" s="64"/>
      <c r="AA200" s="64"/>
      <c r="AB200" s="64"/>
      <c r="AC200" s="64"/>
      <c r="AD200" s="64"/>
      <c r="AE200" s="64"/>
      <c r="AH200" s="64"/>
      <c r="AI200" s="64"/>
      <c r="AJ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4"/>
      <c r="G201" s="64"/>
      <c r="H201" s="64"/>
      <c r="I201" s="64"/>
      <c r="J201" s="64"/>
      <c r="M201" s="64"/>
      <c r="N201" s="64"/>
      <c r="O201" s="64"/>
      <c r="P201" s="64"/>
      <c r="Q201" s="64"/>
      <c r="T201" s="64"/>
      <c r="U201" s="64"/>
      <c r="V201" s="64"/>
      <c r="W201" s="64"/>
      <c r="X201" s="64"/>
      <c r="AA201" s="64"/>
      <c r="AB201" s="64"/>
      <c r="AC201" s="64"/>
      <c r="AD201" s="64"/>
      <c r="AE201" s="64"/>
      <c r="AH201" s="64"/>
      <c r="AI201" s="64"/>
      <c r="AJ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4"/>
      <c r="G202" s="64"/>
      <c r="H202" s="64"/>
      <c r="I202" s="64"/>
      <c r="J202" s="64"/>
      <c r="M202" s="64"/>
      <c r="N202" s="64"/>
      <c r="O202" s="64"/>
      <c r="P202" s="64"/>
      <c r="Q202" s="64"/>
      <c r="T202" s="64"/>
      <c r="U202" s="64"/>
      <c r="V202" s="64"/>
      <c r="W202" s="64"/>
      <c r="X202" s="64"/>
      <c r="AA202" s="64"/>
      <c r="AB202" s="64"/>
      <c r="AC202" s="64"/>
      <c r="AD202" s="64"/>
      <c r="AE202" s="64"/>
      <c r="AH202" s="64"/>
      <c r="AI202" s="64"/>
      <c r="AJ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4"/>
      <c r="G203" s="64"/>
      <c r="H203" s="64"/>
      <c r="I203" s="64"/>
      <c r="J203" s="64"/>
      <c r="M203" s="64"/>
      <c r="N203" s="64"/>
      <c r="O203" s="64"/>
      <c r="P203" s="64"/>
      <c r="Q203" s="64"/>
      <c r="T203" s="64"/>
      <c r="U203" s="64"/>
      <c r="V203" s="64"/>
      <c r="W203" s="64"/>
      <c r="X203" s="64"/>
      <c r="AA203" s="64"/>
      <c r="AB203" s="64"/>
      <c r="AC203" s="64"/>
      <c r="AD203" s="64"/>
      <c r="AE203" s="64"/>
      <c r="AH203" s="64"/>
      <c r="AI203" s="64"/>
      <c r="AJ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4"/>
      <c r="G204" s="64"/>
      <c r="H204" s="64"/>
      <c r="I204" s="64"/>
      <c r="J204" s="64"/>
      <c r="M204" s="64"/>
      <c r="N204" s="64"/>
      <c r="O204" s="64"/>
      <c r="P204" s="64"/>
      <c r="Q204" s="64"/>
      <c r="T204" s="64"/>
      <c r="U204" s="64"/>
      <c r="V204" s="64"/>
      <c r="W204" s="64"/>
      <c r="X204" s="64"/>
      <c r="AA204" s="64"/>
      <c r="AB204" s="64"/>
      <c r="AC204" s="64"/>
      <c r="AD204" s="64"/>
      <c r="AE204" s="64"/>
      <c r="AH204" s="64"/>
      <c r="AI204" s="64"/>
      <c r="AJ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4"/>
      <c r="G205" s="64"/>
      <c r="H205" s="64"/>
      <c r="I205" s="64"/>
      <c r="J205" s="64"/>
      <c r="M205" s="64"/>
      <c r="N205" s="64"/>
      <c r="O205" s="64"/>
      <c r="P205" s="64"/>
      <c r="Q205" s="64"/>
      <c r="T205" s="64"/>
      <c r="U205" s="64"/>
      <c r="V205" s="64"/>
      <c r="W205" s="64"/>
      <c r="X205" s="64"/>
      <c r="AA205" s="64"/>
      <c r="AB205" s="64"/>
      <c r="AC205" s="64"/>
      <c r="AD205" s="64"/>
      <c r="AE205" s="64"/>
      <c r="AH205" s="64"/>
      <c r="AI205" s="64"/>
      <c r="AJ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4"/>
      <c r="G206" s="64"/>
      <c r="H206" s="64"/>
      <c r="I206" s="64"/>
      <c r="J206" s="64"/>
      <c r="M206" s="64"/>
      <c r="N206" s="64"/>
      <c r="O206" s="64"/>
      <c r="P206" s="64"/>
      <c r="Q206" s="64"/>
      <c r="T206" s="64"/>
      <c r="U206" s="64"/>
      <c r="V206" s="64"/>
      <c r="W206" s="64"/>
      <c r="X206" s="64"/>
      <c r="AA206" s="64"/>
      <c r="AB206" s="64"/>
      <c r="AC206" s="64"/>
      <c r="AD206" s="64"/>
      <c r="AE206" s="64"/>
      <c r="AH206" s="64"/>
      <c r="AI206" s="64"/>
      <c r="AJ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4"/>
      <c r="G207" s="64"/>
      <c r="H207" s="64"/>
      <c r="I207" s="64"/>
      <c r="J207" s="64"/>
      <c r="M207" s="64"/>
      <c r="N207" s="64"/>
      <c r="O207" s="64"/>
      <c r="P207" s="64"/>
      <c r="Q207" s="64"/>
      <c r="T207" s="64"/>
      <c r="U207" s="64"/>
      <c r="V207" s="64"/>
      <c r="W207" s="64"/>
      <c r="X207" s="64"/>
      <c r="AA207" s="64"/>
      <c r="AB207" s="64"/>
      <c r="AC207" s="64"/>
      <c r="AD207" s="64"/>
      <c r="AE207" s="64"/>
      <c r="AH207" s="64"/>
      <c r="AI207" s="64"/>
      <c r="AJ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4"/>
      <c r="G208" s="64"/>
      <c r="H208" s="64"/>
      <c r="I208" s="64"/>
      <c r="J208" s="64"/>
      <c r="M208" s="64"/>
      <c r="N208" s="64"/>
      <c r="O208" s="64"/>
      <c r="P208" s="64"/>
      <c r="Q208" s="64"/>
      <c r="T208" s="64"/>
      <c r="U208" s="64"/>
      <c r="V208" s="64"/>
      <c r="W208" s="64"/>
      <c r="X208" s="64"/>
      <c r="AA208" s="64"/>
      <c r="AB208" s="64"/>
      <c r="AC208" s="64"/>
      <c r="AD208" s="64"/>
      <c r="AE208" s="64"/>
      <c r="AH208" s="64"/>
      <c r="AI208" s="64"/>
      <c r="AJ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4"/>
      <c r="G209" s="64"/>
      <c r="H209" s="64"/>
      <c r="I209" s="64"/>
      <c r="J209" s="64"/>
      <c r="M209" s="64"/>
      <c r="N209" s="64"/>
      <c r="O209" s="64"/>
      <c r="P209" s="64"/>
      <c r="Q209" s="64"/>
      <c r="T209" s="64"/>
      <c r="U209" s="64"/>
      <c r="V209" s="64"/>
      <c r="W209" s="64"/>
      <c r="X209" s="64"/>
      <c r="AA209" s="64"/>
      <c r="AB209" s="64"/>
      <c r="AC209" s="64"/>
      <c r="AD209" s="64"/>
      <c r="AE209" s="64"/>
      <c r="AH209" s="64"/>
      <c r="AI209" s="64"/>
      <c r="AJ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4"/>
      <c r="G210" s="64"/>
      <c r="H210" s="64"/>
      <c r="I210" s="64"/>
      <c r="J210" s="64"/>
      <c r="M210" s="64"/>
      <c r="N210" s="64"/>
      <c r="O210" s="64"/>
      <c r="P210" s="64"/>
      <c r="Q210" s="64"/>
      <c r="T210" s="64"/>
      <c r="U210" s="64"/>
      <c r="V210" s="64"/>
      <c r="W210" s="64"/>
      <c r="X210" s="64"/>
      <c r="AA210" s="64"/>
      <c r="AB210" s="64"/>
      <c r="AC210" s="64"/>
      <c r="AD210" s="64"/>
      <c r="AE210" s="64"/>
      <c r="AH210" s="64"/>
      <c r="AI210" s="64"/>
      <c r="AJ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4"/>
      <c r="G211" s="64"/>
      <c r="H211" s="64"/>
      <c r="I211" s="64"/>
      <c r="J211" s="64"/>
      <c r="M211" s="64"/>
      <c r="N211" s="64"/>
      <c r="O211" s="64"/>
      <c r="P211" s="64"/>
      <c r="Q211" s="64"/>
      <c r="T211" s="64"/>
      <c r="U211" s="64"/>
      <c r="V211" s="64"/>
      <c r="W211" s="64"/>
      <c r="X211" s="64"/>
      <c r="AA211" s="64"/>
      <c r="AB211" s="64"/>
      <c r="AC211" s="64"/>
      <c r="AD211" s="64"/>
      <c r="AE211" s="64"/>
      <c r="AH211" s="64"/>
      <c r="AI211" s="64"/>
      <c r="AJ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4"/>
      <c r="G212" s="64"/>
      <c r="H212" s="64"/>
      <c r="I212" s="64"/>
      <c r="J212" s="64"/>
      <c r="M212" s="64"/>
      <c r="N212" s="64"/>
      <c r="O212" s="64"/>
      <c r="P212" s="64"/>
      <c r="Q212" s="64"/>
      <c r="T212" s="64"/>
      <c r="U212" s="64"/>
      <c r="V212" s="64"/>
      <c r="W212" s="64"/>
      <c r="X212" s="64"/>
      <c r="AA212" s="64"/>
      <c r="AB212" s="64"/>
      <c r="AC212" s="64"/>
      <c r="AD212" s="64"/>
      <c r="AE212" s="64"/>
      <c r="AH212" s="64"/>
      <c r="AI212" s="64"/>
      <c r="AJ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4"/>
      <c r="G213" s="64"/>
      <c r="H213" s="64"/>
      <c r="I213" s="64"/>
      <c r="J213" s="64"/>
      <c r="M213" s="64"/>
      <c r="N213" s="64"/>
      <c r="O213" s="64"/>
      <c r="P213" s="64"/>
      <c r="Q213" s="64"/>
      <c r="T213" s="64"/>
      <c r="U213" s="64"/>
      <c r="V213" s="64"/>
      <c r="W213" s="64"/>
      <c r="X213" s="64"/>
      <c r="AA213" s="64"/>
      <c r="AB213" s="64"/>
      <c r="AC213" s="64"/>
      <c r="AD213" s="64"/>
      <c r="AE213" s="64"/>
      <c r="AH213" s="64"/>
      <c r="AI213" s="64"/>
      <c r="AJ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4"/>
      <c r="G214" s="64"/>
      <c r="H214" s="64"/>
      <c r="I214" s="64"/>
      <c r="J214" s="64"/>
      <c r="M214" s="64"/>
      <c r="N214" s="64"/>
      <c r="O214" s="64"/>
      <c r="P214" s="64"/>
      <c r="Q214" s="64"/>
      <c r="T214" s="64"/>
      <c r="U214" s="64"/>
      <c r="V214" s="64"/>
      <c r="W214" s="64"/>
      <c r="X214" s="64"/>
      <c r="AA214" s="64"/>
      <c r="AB214" s="64"/>
      <c r="AC214" s="64"/>
      <c r="AD214" s="64"/>
      <c r="AE214" s="64"/>
      <c r="AH214" s="64"/>
      <c r="AI214" s="64"/>
      <c r="AJ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4"/>
      <c r="G215" s="64"/>
      <c r="H215" s="64"/>
      <c r="I215" s="64"/>
      <c r="J215" s="64"/>
      <c r="M215" s="64"/>
      <c r="N215" s="64"/>
      <c r="O215" s="64"/>
      <c r="P215" s="64"/>
      <c r="Q215" s="64"/>
      <c r="T215" s="64"/>
      <c r="U215" s="64"/>
      <c r="V215" s="64"/>
      <c r="W215" s="64"/>
      <c r="X215" s="64"/>
      <c r="AA215" s="64"/>
      <c r="AB215" s="64"/>
      <c r="AC215" s="64"/>
      <c r="AD215" s="64"/>
      <c r="AE215" s="64"/>
      <c r="AH215" s="64"/>
      <c r="AI215" s="64"/>
      <c r="AJ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4"/>
      <c r="G216" s="64"/>
      <c r="H216" s="64"/>
      <c r="I216" s="64"/>
      <c r="J216" s="64"/>
      <c r="M216" s="64"/>
      <c r="N216" s="64"/>
      <c r="O216" s="64"/>
      <c r="P216" s="64"/>
      <c r="Q216" s="64"/>
      <c r="T216" s="64"/>
      <c r="U216" s="64"/>
      <c r="V216" s="64"/>
      <c r="W216" s="64"/>
      <c r="X216" s="64"/>
      <c r="AA216" s="64"/>
      <c r="AB216" s="64"/>
      <c r="AC216" s="64"/>
      <c r="AD216" s="64"/>
      <c r="AE216" s="64"/>
      <c r="AH216" s="64"/>
      <c r="AI216" s="64"/>
      <c r="AJ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4"/>
      <c r="G217" s="64"/>
      <c r="H217" s="64"/>
      <c r="I217" s="64"/>
      <c r="J217" s="64"/>
      <c r="M217" s="64"/>
      <c r="N217" s="64"/>
      <c r="O217" s="64"/>
      <c r="P217" s="64"/>
      <c r="Q217" s="64"/>
      <c r="T217" s="64"/>
      <c r="U217" s="64"/>
      <c r="V217" s="64"/>
      <c r="W217" s="64"/>
      <c r="X217" s="64"/>
      <c r="AA217" s="64"/>
      <c r="AB217" s="64"/>
      <c r="AC217" s="64"/>
      <c r="AD217" s="64"/>
      <c r="AE217" s="64"/>
      <c r="AH217" s="64"/>
      <c r="AI217" s="64"/>
      <c r="AJ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4"/>
      <c r="G218" s="64"/>
      <c r="H218" s="64"/>
      <c r="I218" s="64"/>
      <c r="J218" s="64"/>
      <c r="M218" s="64"/>
      <c r="N218" s="64"/>
      <c r="O218" s="64"/>
      <c r="P218" s="64"/>
      <c r="Q218" s="64"/>
      <c r="T218" s="64"/>
      <c r="U218" s="64"/>
      <c r="V218" s="64"/>
      <c r="W218" s="64"/>
      <c r="X218" s="64"/>
      <c r="AA218" s="64"/>
      <c r="AB218" s="64"/>
      <c r="AC218" s="64"/>
      <c r="AD218" s="64"/>
      <c r="AE218" s="64"/>
      <c r="AH218" s="64"/>
      <c r="AI218" s="64"/>
      <c r="AJ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4"/>
      <c r="G219" s="64"/>
      <c r="H219" s="64"/>
      <c r="I219" s="64"/>
      <c r="J219" s="64"/>
      <c r="M219" s="64"/>
      <c r="N219" s="64"/>
      <c r="O219" s="64"/>
      <c r="P219" s="64"/>
      <c r="Q219" s="64"/>
      <c r="T219" s="64"/>
      <c r="U219" s="64"/>
      <c r="V219" s="64"/>
      <c r="W219" s="64"/>
      <c r="X219" s="64"/>
      <c r="AA219" s="64"/>
      <c r="AB219" s="64"/>
      <c r="AC219" s="64"/>
      <c r="AD219" s="64"/>
      <c r="AE219" s="64"/>
      <c r="AH219" s="64"/>
      <c r="AI219" s="64"/>
      <c r="AJ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4"/>
      <c r="G220" s="64"/>
      <c r="H220" s="64"/>
      <c r="I220" s="64"/>
      <c r="J220" s="64"/>
      <c r="M220" s="64"/>
      <c r="N220" s="64"/>
      <c r="O220" s="64"/>
      <c r="P220" s="64"/>
      <c r="Q220" s="64"/>
      <c r="T220" s="64"/>
      <c r="U220" s="64"/>
      <c r="V220" s="64"/>
      <c r="W220" s="64"/>
      <c r="X220" s="64"/>
      <c r="AA220" s="64"/>
      <c r="AB220" s="64"/>
      <c r="AC220" s="64"/>
      <c r="AD220" s="64"/>
      <c r="AE220" s="64"/>
      <c r="AH220" s="64"/>
      <c r="AI220" s="64"/>
      <c r="AJ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4"/>
      <c r="G221" s="64"/>
      <c r="H221" s="64"/>
      <c r="I221" s="64"/>
      <c r="J221" s="64"/>
      <c r="M221" s="64"/>
      <c r="N221" s="64"/>
      <c r="O221" s="64"/>
      <c r="P221" s="64"/>
      <c r="Q221" s="64"/>
      <c r="T221" s="64"/>
      <c r="U221" s="64"/>
      <c r="V221" s="64"/>
      <c r="W221" s="64"/>
      <c r="X221" s="64"/>
      <c r="AA221" s="64"/>
      <c r="AB221" s="64"/>
      <c r="AC221" s="64"/>
      <c r="AD221" s="64"/>
      <c r="AE221" s="64"/>
      <c r="AH221" s="64"/>
      <c r="AI221" s="64"/>
      <c r="AJ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4"/>
      <c r="G222" s="64"/>
      <c r="H222" s="64"/>
      <c r="I222" s="64"/>
      <c r="J222" s="64"/>
      <c r="M222" s="64"/>
      <c r="N222" s="64"/>
      <c r="O222" s="64"/>
      <c r="P222" s="64"/>
      <c r="Q222" s="64"/>
      <c r="T222" s="64"/>
      <c r="U222" s="64"/>
      <c r="V222" s="64"/>
      <c r="W222" s="64"/>
      <c r="X222" s="64"/>
      <c r="AA222" s="64"/>
      <c r="AB222" s="64"/>
      <c r="AC222" s="64"/>
      <c r="AD222" s="64"/>
      <c r="AE222" s="64"/>
      <c r="AH222" s="64"/>
      <c r="AI222" s="64"/>
      <c r="AJ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4"/>
      <c r="G223" s="64"/>
      <c r="H223" s="64"/>
      <c r="I223" s="64"/>
      <c r="J223" s="64"/>
      <c r="M223" s="64"/>
      <c r="N223" s="64"/>
      <c r="O223" s="64"/>
      <c r="P223" s="64"/>
      <c r="Q223" s="64"/>
      <c r="T223" s="64"/>
      <c r="U223" s="64"/>
      <c r="V223" s="64"/>
      <c r="W223" s="64"/>
      <c r="X223" s="64"/>
      <c r="AA223" s="64"/>
      <c r="AB223" s="64"/>
      <c r="AC223" s="64"/>
      <c r="AD223" s="64"/>
      <c r="AE223" s="64"/>
      <c r="AH223" s="64"/>
      <c r="AI223" s="64"/>
      <c r="AJ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4"/>
      <c r="G224" s="64"/>
      <c r="H224" s="64"/>
      <c r="I224" s="64"/>
      <c r="J224" s="64"/>
      <c r="M224" s="64"/>
      <c r="N224" s="64"/>
      <c r="O224" s="64"/>
      <c r="P224" s="64"/>
      <c r="Q224" s="64"/>
      <c r="T224" s="64"/>
      <c r="U224" s="64"/>
      <c r="V224" s="64"/>
      <c r="W224" s="64"/>
      <c r="X224" s="64"/>
      <c r="AA224" s="64"/>
      <c r="AB224" s="64"/>
      <c r="AC224" s="64"/>
      <c r="AD224" s="64"/>
      <c r="AE224" s="64"/>
      <c r="AH224" s="64"/>
      <c r="AI224" s="64"/>
      <c r="AJ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4"/>
      <c r="G225" s="64"/>
      <c r="H225" s="64"/>
      <c r="I225" s="64"/>
      <c r="J225" s="64"/>
      <c r="M225" s="64"/>
      <c r="N225" s="64"/>
      <c r="O225" s="64"/>
      <c r="P225" s="64"/>
      <c r="Q225" s="64"/>
      <c r="T225" s="64"/>
      <c r="U225" s="64"/>
      <c r="V225" s="64"/>
      <c r="W225" s="64"/>
      <c r="X225" s="64"/>
      <c r="AA225" s="64"/>
      <c r="AB225" s="64"/>
      <c r="AC225" s="64"/>
      <c r="AD225" s="64"/>
      <c r="AE225" s="64"/>
      <c r="AH225" s="64"/>
      <c r="AI225" s="64"/>
      <c r="AJ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4"/>
      <c r="G226" s="64"/>
      <c r="H226" s="64"/>
      <c r="I226" s="64"/>
      <c r="J226" s="64"/>
      <c r="M226" s="64"/>
      <c r="N226" s="64"/>
      <c r="O226" s="64"/>
      <c r="P226" s="64"/>
      <c r="Q226" s="64"/>
      <c r="T226" s="64"/>
      <c r="U226" s="64"/>
      <c r="V226" s="64"/>
      <c r="W226" s="64"/>
      <c r="X226" s="64"/>
      <c r="AA226" s="64"/>
      <c r="AB226" s="64"/>
      <c r="AC226" s="64"/>
      <c r="AD226" s="64"/>
      <c r="AE226" s="64"/>
      <c r="AH226" s="64"/>
      <c r="AI226" s="64"/>
      <c r="AJ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4"/>
      <c r="G227" s="64"/>
      <c r="H227" s="64"/>
      <c r="I227" s="64"/>
      <c r="J227" s="64"/>
      <c r="M227" s="64"/>
      <c r="N227" s="64"/>
      <c r="O227" s="64"/>
      <c r="P227" s="64"/>
      <c r="Q227" s="64"/>
      <c r="T227" s="64"/>
      <c r="U227" s="64"/>
      <c r="V227" s="64"/>
      <c r="W227" s="64"/>
      <c r="X227" s="64"/>
      <c r="AA227" s="64"/>
      <c r="AB227" s="64"/>
      <c r="AC227" s="64"/>
      <c r="AD227" s="64"/>
      <c r="AE227" s="64"/>
      <c r="AH227" s="64"/>
      <c r="AI227" s="64"/>
      <c r="AJ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4"/>
      <c r="G228" s="64"/>
      <c r="H228" s="64"/>
      <c r="I228" s="64"/>
      <c r="J228" s="64"/>
      <c r="M228" s="64"/>
      <c r="N228" s="64"/>
      <c r="O228" s="64"/>
      <c r="P228" s="64"/>
      <c r="Q228" s="64"/>
      <c r="T228" s="64"/>
      <c r="U228" s="64"/>
      <c r="V228" s="64"/>
      <c r="W228" s="64"/>
      <c r="X228" s="64"/>
      <c r="AA228" s="64"/>
      <c r="AB228" s="64"/>
      <c r="AC228" s="64"/>
      <c r="AD228" s="64"/>
      <c r="AE228" s="64"/>
      <c r="AH228" s="64"/>
      <c r="AI228" s="64"/>
      <c r="AJ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4"/>
      <c r="G229" s="64"/>
      <c r="H229" s="64"/>
      <c r="I229" s="64"/>
      <c r="J229" s="64"/>
      <c r="M229" s="64"/>
      <c r="N229" s="64"/>
      <c r="O229" s="64"/>
      <c r="P229" s="64"/>
      <c r="Q229" s="64"/>
      <c r="T229" s="64"/>
      <c r="U229" s="64"/>
      <c r="V229" s="64"/>
      <c r="W229" s="64"/>
      <c r="X229" s="64"/>
      <c r="AA229" s="64"/>
      <c r="AB229" s="64"/>
      <c r="AC229" s="64"/>
      <c r="AD229" s="64"/>
      <c r="AE229" s="64"/>
      <c r="AH229" s="64"/>
      <c r="AI229" s="64"/>
      <c r="AJ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4"/>
      <c r="G230" s="64"/>
      <c r="H230" s="64"/>
      <c r="I230" s="64"/>
      <c r="J230" s="64"/>
      <c r="M230" s="64"/>
      <c r="N230" s="64"/>
      <c r="O230" s="64"/>
      <c r="P230" s="64"/>
      <c r="Q230" s="64"/>
      <c r="T230" s="64"/>
      <c r="U230" s="64"/>
      <c r="V230" s="64"/>
      <c r="W230" s="64"/>
      <c r="X230" s="64"/>
      <c r="AA230" s="64"/>
      <c r="AB230" s="64"/>
      <c r="AC230" s="64"/>
      <c r="AD230" s="64"/>
      <c r="AE230" s="64"/>
      <c r="AH230" s="64"/>
      <c r="AI230" s="64"/>
      <c r="AJ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4"/>
      <c r="G231" s="64"/>
      <c r="H231" s="64"/>
      <c r="I231" s="64"/>
      <c r="J231" s="64"/>
      <c r="M231" s="64"/>
      <c r="N231" s="64"/>
      <c r="O231" s="64"/>
      <c r="P231" s="64"/>
      <c r="Q231" s="64"/>
      <c r="T231" s="64"/>
      <c r="U231" s="64"/>
      <c r="V231" s="64"/>
      <c r="W231" s="64"/>
      <c r="X231" s="64"/>
      <c r="AA231" s="64"/>
      <c r="AB231" s="64"/>
      <c r="AC231" s="64"/>
      <c r="AD231" s="64"/>
      <c r="AE231" s="64"/>
      <c r="AH231" s="64"/>
      <c r="AI231" s="64"/>
      <c r="AJ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4"/>
      <c r="G232" s="64"/>
      <c r="H232" s="64"/>
      <c r="I232" s="64"/>
      <c r="J232" s="64"/>
      <c r="M232" s="64"/>
      <c r="N232" s="64"/>
      <c r="O232" s="64"/>
      <c r="P232" s="64"/>
      <c r="Q232" s="64"/>
      <c r="T232" s="64"/>
      <c r="U232" s="64"/>
      <c r="V232" s="64"/>
      <c r="W232" s="64"/>
      <c r="X232" s="64"/>
      <c r="AA232" s="64"/>
      <c r="AB232" s="64"/>
      <c r="AC232" s="64"/>
      <c r="AD232" s="64"/>
      <c r="AE232" s="64"/>
      <c r="AH232" s="64"/>
      <c r="AI232" s="64"/>
      <c r="AJ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4"/>
      <c r="G233" s="64"/>
      <c r="H233" s="64"/>
      <c r="I233" s="64"/>
      <c r="J233" s="64"/>
      <c r="M233" s="64"/>
      <c r="N233" s="64"/>
      <c r="O233" s="64"/>
      <c r="P233" s="64"/>
      <c r="Q233" s="64"/>
      <c r="T233" s="64"/>
      <c r="U233" s="64"/>
      <c r="V233" s="64"/>
      <c r="W233" s="64"/>
      <c r="X233" s="64"/>
      <c r="AA233" s="64"/>
      <c r="AB233" s="64"/>
      <c r="AC233" s="64"/>
      <c r="AD233" s="64"/>
      <c r="AE233" s="64"/>
      <c r="AH233" s="64"/>
      <c r="AI233" s="64"/>
      <c r="AJ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4"/>
      <c r="G234" s="64"/>
      <c r="H234" s="64"/>
      <c r="I234" s="64"/>
      <c r="J234" s="64"/>
      <c r="M234" s="64"/>
      <c r="N234" s="64"/>
      <c r="O234" s="64"/>
      <c r="P234" s="64"/>
      <c r="Q234" s="64"/>
      <c r="T234" s="64"/>
      <c r="U234" s="64"/>
      <c r="V234" s="64"/>
      <c r="W234" s="64"/>
      <c r="X234" s="64"/>
      <c r="AA234" s="64"/>
      <c r="AB234" s="64"/>
      <c r="AC234" s="64"/>
      <c r="AD234" s="64"/>
      <c r="AE234" s="64"/>
      <c r="AH234" s="64"/>
      <c r="AI234" s="64"/>
      <c r="AJ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4"/>
      <c r="G235" s="64"/>
      <c r="H235" s="64"/>
      <c r="I235" s="64"/>
      <c r="J235" s="64"/>
      <c r="M235" s="64"/>
      <c r="N235" s="64"/>
      <c r="O235" s="64"/>
      <c r="P235" s="64"/>
      <c r="Q235" s="64"/>
      <c r="T235" s="64"/>
      <c r="U235" s="64"/>
      <c r="V235" s="64"/>
      <c r="W235" s="64"/>
      <c r="X235" s="64"/>
      <c r="AA235" s="64"/>
      <c r="AB235" s="64"/>
      <c r="AC235" s="64"/>
      <c r="AD235" s="64"/>
      <c r="AE235" s="64"/>
      <c r="AH235" s="64"/>
      <c r="AI235" s="64"/>
      <c r="AJ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4"/>
      <c r="G236" s="64"/>
      <c r="H236" s="64"/>
      <c r="I236" s="64"/>
      <c r="J236" s="64"/>
      <c r="M236" s="64"/>
      <c r="N236" s="64"/>
      <c r="O236" s="64"/>
      <c r="P236" s="64"/>
      <c r="Q236" s="64"/>
      <c r="T236" s="64"/>
      <c r="U236" s="64"/>
      <c r="V236" s="64"/>
      <c r="W236" s="64"/>
      <c r="X236" s="64"/>
      <c r="AA236" s="64"/>
      <c r="AB236" s="64"/>
      <c r="AC236" s="64"/>
      <c r="AD236" s="64"/>
      <c r="AE236" s="64"/>
      <c r="AH236" s="64"/>
      <c r="AI236" s="64"/>
      <c r="AJ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4"/>
      <c r="G237" s="64"/>
      <c r="H237" s="64"/>
      <c r="I237" s="64"/>
      <c r="J237" s="64"/>
      <c r="M237" s="64"/>
      <c r="N237" s="64"/>
      <c r="O237" s="64"/>
      <c r="P237" s="64"/>
      <c r="Q237" s="64"/>
      <c r="T237" s="64"/>
      <c r="U237" s="64"/>
      <c r="V237" s="64"/>
      <c r="W237" s="64"/>
      <c r="X237" s="64"/>
      <c r="AA237" s="64"/>
      <c r="AB237" s="64"/>
      <c r="AC237" s="64"/>
      <c r="AD237" s="64"/>
      <c r="AE237" s="64"/>
      <c r="AH237" s="64"/>
      <c r="AI237" s="64"/>
      <c r="AJ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4"/>
      <c r="G238" s="64"/>
      <c r="H238" s="64"/>
      <c r="I238" s="64"/>
      <c r="J238" s="64"/>
      <c r="M238" s="64"/>
      <c r="N238" s="64"/>
      <c r="O238" s="64"/>
      <c r="P238" s="64"/>
      <c r="Q238" s="64"/>
      <c r="T238" s="64"/>
      <c r="U238" s="64"/>
      <c r="V238" s="64"/>
      <c r="W238" s="64"/>
      <c r="X238" s="64"/>
      <c r="AA238" s="64"/>
      <c r="AB238" s="64"/>
      <c r="AC238" s="64"/>
      <c r="AD238" s="64"/>
      <c r="AE238" s="64"/>
      <c r="AH238" s="64"/>
      <c r="AI238" s="64"/>
      <c r="AJ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4"/>
      <c r="G239" s="64"/>
      <c r="H239" s="64"/>
      <c r="I239" s="64"/>
      <c r="J239" s="64"/>
      <c r="M239" s="64"/>
      <c r="N239" s="64"/>
      <c r="O239" s="64"/>
      <c r="P239" s="64"/>
      <c r="Q239" s="64"/>
      <c r="T239" s="64"/>
      <c r="U239" s="64"/>
      <c r="V239" s="64"/>
      <c r="W239" s="64"/>
      <c r="X239" s="64"/>
      <c r="AA239" s="64"/>
      <c r="AB239" s="64"/>
      <c r="AC239" s="64"/>
      <c r="AD239" s="64"/>
      <c r="AE239" s="64"/>
      <c r="AH239" s="64"/>
      <c r="AI239" s="64"/>
      <c r="AJ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4"/>
      <c r="G240" s="64"/>
      <c r="H240" s="64"/>
      <c r="I240" s="64"/>
      <c r="J240" s="64"/>
      <c r="M240" s="64"/>
      <c r="N240" s="64"/>
      <c r="O240" s="64"/>
      <c r="P240" s="64"/>
      <c r="Q240" s="64"/>
      <c r="T240" s="64"/>
      <c r="U240" s="64"/>
      <c r="V240" s="64"/>
      <c r="W240" s="64"/>
      <c r="X240" s="64"/>
      <c r="AA240" s="64"/>
      <c r="AB240" s="64"/>
      <c r="AC240" s="64"/>
      <c r="AD240" s="64"/>
      <c r="AE240" s="64"/>
      <c r="AH240" s="64"/>
      <c r="AI240" s="64"/>
      <c r="AJ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4"/>
      <c r="G241" s="64"/>
      <c r="H241" s="64"/>
      <c r="I241" s="64"/>
      <c r="J241" s="64"/>
      <c r="M241" s="64"/>
      <c r="N241" s="64"/>
      <c r="O241" s="64"/>
      <c r="P241" s="64"/>
      <c r="Q241" s="64"/>
      <c r="T241" s="64"/>
      <c r="U241" s="64"/>
      <c r="V241" s="64"/>
      <c r="W241" s="64"/>
      <c r="X241" s="64"/>
      <c r="AA241" s="64"/>
      <c r="AB241" s="64"/>
      <c r="AC241" s="64"/>
      <c r="AD241" s="64"/>
      <c r="AE241" s="64"/>
      <c r="AH241" s="64"/>
      <c r="AI241" s="64"/>
      <c r="AJ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4"/>
      <c r="G242" s="64"/>
      <c r="H242" s="64"/>
      <c r="I242" s="64"/>
      <c r="J242" s="64"/>
      <c r="M242" s="64"/>
      <c r="N242" s="64"/>
      <c r="O242" s="64"/>
      <c r="P242" s="64"/>
      <c r="Q242" s="64"/>
      <c r="T242" s="64"/>
      <c r="U242" s="64"/>
      <c r="V242" s="64"/>
      <c r="W242" s="64"/>
      <c r="X242" s="64"/>
      <c r="AA242" s="64"/>
      <c r="AB242" s="64"/>
      <c r="AC242" s="64"/>
      <c r="AD242" s="64"/>
      <c r="AE242" s="64"/>
      <c r="AH242" s="64"/>
      <c r="AI242" s="64"/>
      <c r="AJ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4"/>
      <c r="G243" s="64"/>
      <c r="H243" s="64"/>
      <c r="I243" s="64"/>
      <c r="J243" s="64"/>
      <c r="M243" s="64"/>
      <c r="N243" s="64"/>
      <c r="O243" s="64"/>
      <c r="P243" s="64"/>
      <c r="Q243" s="64"/>
      <c r="T243" s="64"/>
      <c r="U243" s="64"/>
      <c r="V243" s="64"/>
      <c r="W243" s="64"/>
      <c r="X243" s="64"/>
      <c r="AA243" s="64"/>
      <c r="AB243" s="64"/>
      <c r="AC243" s="64"/>
      <c r="AD243" s="64"/>
      <c r="AE243" s="64"/>
      <c r="AH243" s="64"/>
      <c r="AI243" s="64"/>
      <c r="AJ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4"/>
      <c r="G244" s="64"/>
      <c r="H244" s="64"/>
      <c r="I244" s="64"/>
      <c r="J244" s="64"/>
      <c r="M244" s="64"/>
      <c r="N244" s="64"/>
      <c r="O244" s="64"/>
      <c r="P244" s="64"/>
      <c r="Q244" s="64"/>
      <c r="T244" s="64"/>
      <c r="U244" s="64"/>
      <c r="V244" s="64"/>
      <c r="W244" s="64"/>
      <c r="X244" s="64"/>
      <c r="AA244" s="64"/>
      <c r="AB244" s="64"/>
      <c r="AC244" s="64"/>
      <c r="AD244" s="64"/>
      <c r="AE244" s="64"/>
      <c r="AH244" s="64"/>
      <c r="AI244" s="64"/>
      <c r="AJ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4"/>
      <c r="G245" s="64"/>
      <c r="H245" s="64"/>
      <c r="I245" s="64"/>
      <c r="J245" s="64"/>
      <c r="M245" s="64"/>
      <c r="N245" s="64"/>
      <c r="O245" s="64"/>
      <c r="P245" s="64"/>
      <c r="Q245" s="64"/>
      <c r="T245" s="64"/>
      <c r="U245" s="64"/>
      <c r="V245" s="64"/>
      <c r="W245" s="64"/>
      <c r="X245" s="64"/>
      <c r="AA245" s="64"/>
      <c r="AB245" s="64"/>
      <c r="AC245" s="64"/>
      <c r="AD245" s="64"/>
      <c r="AE245" s="64"/>
      <c r="AH245" s="64"/>
      <c r="AI245" s="64"/>
      <c r="AJ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4"/>
      <c r="G246" s="64"/>
      <c r="H246" s="64"/>
      <c r="I246" s="64"/>
      <c r="J246" s="64"/>
      <c r="M246" s="64"/>
      <c r="N246" s="64"/>
      <c r="O246" s="64"/>
      <c r="P246" s="64"/>
      <c r="Q246" s="64"/>
      <c r="T246" s="64"/>
      <c r="U246" s="64"/>
      <c r="V246" s="64"/>
      <c r="W246" s="64"/>
      <c r="X246" s="64"/>
      <c r="AA246" s="64"/>
      <c r="AB246" s="64"/>
      <c r="AC246" s="64"/>
      <c r="AD246" s="64"/>
      <c r="AE246" s="64"/>
      <c r="AH246" s="64"/>
      <c r="AI246" s="64"/>
      <c r="AJ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4"/>
      <c r="G247" s="64"/>
      <c r="H247" s="64"/>
      <c r="I247" s="64"/>
      <c r="J247" s="64"/>
      <c r="M247" s="64"/>
      <c r="N247" s="64"/>
      <c r="O247" s="64"/>
      <c r="P247" s="64"/>
      <c r="Q247" s="64"/>
      <c r="T247" s="64"/>
      <c r="U247" s="64"/>
      <c r="V247" s="64"/>
      <c r="W247" s="64"/>
      <c r="X247" s="64"/>
      <c r="AA247" s="64"/>
      <c r="AB247" s="64"/>
      <c r="AC247" s="64"/>
      <c r="AD247" s="64"/>
      <c r="AE247" s="64"/>
      <c r="AH247" s="64"/>
      <c r="AI247" s="64"/>
      <c r="AJ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4"/>
      <c r="G248" s="64"/>
      <c r="H248" s="64"/>
      <c r="I248" s="64"/>
      <c r="J248" s="64"/>
      <c r="M248" s="64"/>
      <c r="N248" s="64"/>
      <c r="O248" s="64"/>
      <c r="P248" s="64"/>
      <c r="Q248" s="64"/>
      <c r="T248" s="64"/>
      <c r="U248" s="64"/>
      <c r="V248" s="64"/>
      <c r="W248" s="64"/>
      <c r="X248" s="64"/>
      <c r="AA248" s="64"/>
      <c r="AB248" s="64"/>
      <c r="AC248" s="64"/>
      <c r="AD248" s="64"/>
      <c r="AE248" s="64"/>
      <c r="AH248" s="64"/>
      <c r="AI248" s="64"/>
      <c r="AJ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4"/>
      <c r="G249" s="64"/>
      <c r="H249" s="64"/>
      <c r="I249" s="64"/>
      <c r="J249" s="64"/>
      <c r="M249" s="64"/>
      <c r="N249" s="64"/>
      <c r="O249" s="64"/>
      <c r="P249" s="64"/>
      <c r="Q249" s="64"/>
      <c r="T249" s="64"/>
      <c r="U249" s="64"/>
      <c r="V249" s="64"/>
      <c r="W249" s="64"/>
      <c r="X249" s="64"/>
      <c r="AA249" s="64"/>
      <c r="AB249" s="64"/>
      <c r="AC249" s="64"/>
      <c r="AD249" s="64"/>
      <c r="AE249" s="64"/>
      <c r="AH249" s="64"/>
      <c r="AI249" s="64"/>
      <c r="AJ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4"/>
      <c r="G250" s="64"/>
      <c r="H250" s="64"/>
      <c r="I250" s="64"/>
      <c r="J250" s="64"/>
      <c r="M250" s="64"/>
      <c r="N250" s="64"/>
      <c r="O250" s="64"/>
      <c r="P250" s="64"/>
      <c r="Q250" s="64"/>
      <c r="T250" s="64"/>
      <c r="U250" s="64"/>
      <c r="V250" s="64"/>
      <c r="W250" s="64"/>
      <c r="X250" s="64"/>
      <c r="AA250" s="64"/>
      <c r="AB250" s="64"/>
      <c r="AC250" s="64"/>
      <c r="AD250" s="64"/>
      <c r="AE250" s="64"/>
      <c r="AH250" s="64"/>
      <c r="AI250" s="64"/>
      <c r="AJ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4"/>
      <c r="G251" s="64"/>
      <c r="H251" s="64"/>
      <c r="I251" s="64"/>
      <c r="J251" s="64"/>
      <c r="M251" s="64"/>
      <c r="N251" s="64"/>
      <c r="O251" s="64"/>
      <c r="P251" s="64"/>
      <c r="Q251" s="64"/>
      <c r="T251" s="64"/>
      <c r="U251" s="64"/>
      <c r="V251" s="64"/>
      <c r="W251" s="64"/>
      <c r="X251" s="64"/>
      <c r="AA251" s="64"/>
      <c r="AB251" s="64"/>
      <c r="AC251" s="64"/>
      <c r="AD251" s="64"/>
      <c r="AE251" s="64"/>
      <c r="AH251" s="64"/>
      <c r="AI251" s="64"/>
      <c r="AJ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4"/>
      <c r="G252" s="64"/>
      <c r="H252" s="64"/>
      <c r="I252" s="64"/>
      <c r="J252" s="64"/>
      <c r="M252" s="64"/>
      <c r="N252" s="64"/>
      <c r="O252" s="64"/>
      <c r="P252" s="64"/>
      <c r="Q252" s="64"/>
      <c r="T252" s="64"/>
      <c r="U252" s="64"/>
      <c r="V252" s="64"/>
      <c r="W252" s="64"/>
      <c r="X252" s="64"/>
      <c r="AA252" s="64"/>
      <c r="AB252" s="64"/>
      <c r="AC252" s="64"/>
      <c r="AD252" s="64"/>
      <c r="AE252" s="64"/>
      <c r="AH252" s="64"/>
      <c r="AI252" s="64"/>
      <c r="AJ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4"/>
      <c r="G253" s="64"/>
      <c r="H253" s="64"/>
      <c r="I253" s="64"/>
      <c r="J253" s="64"/>
      <c r="M253" s="64"/>
      <c r="N253" s="64"/>
      <c r="O253" s="64"/>
      <c r="P253" s="64"/>
      <c r="Q253" s="64"/>
      <c r="T253" s="64"/>
      <c r="U253" s="64"/>
      <c r="V253" s="64"/>
      <c r="W253" s="64"/>
      <c r="X253" s="64"/>
      <c r="AA253" s="64"/>
      <c r="AB253" s="64"/>
      <c r="AC253" s="64"/>
      <c r="AD253" s="64"/>
      <c r="AE253" s="64"/>
      <c r="AH253" s="64"/>
      <c r="AI253" s="64"/>
      <c r="AJ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4"/>
      <c r="G254" s="64"/>
      <c r="H254" s="64"/>
      <c r="I254" s="64"/>
      <c r="J254" s="64"/>
      <c r="M254" s="64"/>
      <c r="N254" s="64"/>
      <c r="O254" s="64"/>
      <c r="P254" s="64"/>
      <c r="Q254" s="64"/>
      <c r="T254" s="64"/>
      <c r="U254" s="64"/>
      <c r="V254" s="64"/>
      <c r="W254" s="64"/>
      <c r="X254" s="64"/>
      <c r="AA254" s="64"/>
      <c r="AB254" s="64"/>
      <c r="AC254" s="64"/>
      <c r="AD254" s="64"/>
      <c r="AE254" s="64"/>
      <c r="AH254" s="64"/>
      <c r="AI254" s="64"/>
      <c r="AJ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4"/>
      <c r="G255" s="64"/>
      <c r="H255" s="64"/>
      <c r="I255" s="64"/>
      <c r="J255" s="64"/>
      <c r="M255" s="64"/>
      <c r="N255" s="64"/>
      <c r="O255" s="64"/>
      <c r="P255" s="64"/>
      <c r="Q255" s="64"/>
      <c r="T255" s="64"/>
      <c r="U255" s="64"/>
      <c r="V255" s="64"/>
      <c r="W255" s="64"/>
      <c r="X255" s="64"/>
      <c r="AA255" s="64"/>
      <c r="AB255" s="64"/>
      <c r="AC255" s="64"/>
      <c r="AD255" s="64"/>
      <c r="AE255" s="64"/>
      <c r="AH255" s="64"/>
      <c r="AI255" s="64"/>
      <c r="AJ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4"/>
      <c r="G256" s="64"/>
      <c r="H256" s="64"/>
      <c r="I256" s="64"/>
      <c r="J256" s="64"/>
      <c r="M256" s="64"/>
      <c r="N256" s="64"/>
      <c r="O256" s="64"/>
      <c r="P256" s="64"/>
      <c r="Q256" s="64"/>
      <c r="T256" s="64"/>
      <c r="U256" s="64"/>
      <c r="V256" s="64"/>
      <c r="W256" s="64"/>
      <c r="X256" s="64"/>
      <c r="AA256" s="64"/>
      <c r="AB256" s="64"/>
      <c r="AC256" s="64"/>
      <c r="AD256" s="64"/>
      <c r="AE256" s="64"/>
      <c r="AH256" s="64"/>
      <c r="AI256" s="64"/>
      <c r="AJ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4"/>
      <c r="G257" s="64"/>
      <c r="H257" s="64"/>
      <c r="I257" s="64"/>
      <c r="J257" s="64"/>
      <c r="M257" s="64"/>
      <c r="N257" s="64"/>
      <c r="O257" s="64"/>
      <c r="P257" s="64"/>
      <c r="Q257" s="64"/>
      <c r="T257" s="64"/>
      <c r="U257" s="64"/>
      <c r="V257" s="64"/>
      <c r="W257" s="64"/>
      <c r="X257" s="64"/>
      <c r="AA257" s="64"/>
      <c r="AB257" s="64"/>
      <c r="AC257" s="64"/>
      <c r="AD257" s="64"/>
      <c r="AE257" s="64"/>
      <c r="AH257" s="64"/>
      <c r="AI257" s="64"/>
      <c r="AJ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4"/>
      <c r="G258" s="64"/>
      <c r="H258" s="64"/>
      <c r="I258" s="64"/>
      <c r="J258" s="64"/>
      <c r="M258" s="64"/>
      <c r="N258" s="64"/>
      <c r="O258" s="64"/>
      <c r="P258" s="64"/>
      <c r="Q258" s="64"/>
      <c r="T258" s="64"/>
      <c r="U258" s="64"/>
      <c r="V258" s="64"/>
      <c r="W258" s="64"/>
      <c r="X258" s="64"/>
      <c r="AA258" s="64"/>
      <c r="AB258" s="64"/>
      <c r="AC258" s="64"/>
      <c r="AD258" s="64"/>
      <c r="AE258" s="64"/>
      <c r="AH258" s="64"/>
      <c r="AI258" s="64"/>
      <c r="AJ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4"/>
      <c r="G259" s="64"/>
      <c r="H259" s="64"/>
      <c r="I259" s="64"/>
      <c r="J259" s="64"/>
      <c r="M259" s="64"/>
      <c r="N259" s="64"/>
      <c r="O259" s="64"/>
      <c r="P259" s="64"/>
      <c r="Q259" s="64"/>
      <c r="T259" s="64"/>
      <c r="U259" s="64"/>
      <c r="V259" s="64"/>
      <c r="W259" s="64"/>
      <c r="X259" s="64"/>
      <c r="AA259" s="64"/>
      <c r="AB259" s="64"/>
      <c r="AC259" s="64"/>
      <c r="AD259" s="64"/>
      <c r="AE259" s="64"/>
      <c r="AH259" s="64"/>
      <c r="AI259" s="64"/>
      <c r="AJ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4"/>
      <c r="G260" s="64"/>
      <c r="H260" s="64"/>
      <c r="I260" s="64"/>
      <c r="J260" s="64"/>
      <c r="M260" s="64"/>
      <c r="N260" s="64"/>
      <c r="O260" s="64"/>
      <c r="P260" s="64"/>
      <c r="Q260" s="64"/>
      <c r="T260" s="64"/>
      <c r="U260" s="64"/>
      <c r="V260" s="64"/>
      <c r="W260" s="64"/>
      <c r="X260" s="64"/>
      <c r="AA260" s="64"/>
      <c r="AB260" s="64"/>
      <c r="AC260" s="64"/>
      <c r="AD260" s="64"/>
      <c r="AE260" s="64"/>
      <c r="AH260" s="64"/>
      <c r="AI260" s="64"/>
      <c r="AJ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4"/>
      <c r="G261" s="64"/>
      <c r="H261" s="64"/>
      <c r="I261" s="64"/>
      <c r="J261" s="64"/>
      <c r="M261" s="64"/>
      <c r="N261" s="64"/>
      <c r="O261" s="64"/>
      <c r="P261" s="64"/>
      <c r="Q261" s="64"/>
      <c r="T261" s="64"/>
      <c r="U261" s="64"/>
      <c r="V261" s="64"/>
      <c r="W261" s="64"/>
      <c r="X261" s="64"/>
      <c r="AA261" s="64"/>
      <c r="AB261" s="64"/>
      <c r="AC261" s="64"/>
      <c r="AD261" s="64"/>
      <c r="AE261" s="64"/>
      <c r="AH261" s="64"/>
      <c r="AI261" s="64"/>
      <c r="AJ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4"/>
      <c r="G262" s="64"/>
      <c r="H262" s="64"/>
      <c r="I262" s="64"/>
      <c r="J262" s="64"/>
      <c r="M262" s="64"/>
      <c r="N262" s="64"/>
      <c r="O262" s="64"/>
      <c r="P262" s="64"/>
      <c r="Q262" s="64"/>
      <c r="T262" s="64"/>
      <c r="U262" s="64"/>
      <c r="V262" s="64"/>
      <c r="W262" s="64"/>
      <c r="X262" s="64"/>
      <c r="AA262" s="64"/>
      <c r="AB262" s="64"/>
      <c r="AC262" s="64"/>
      <c r="AD262" s="64"/>
      <c r="AE262" s="64"/>
      <c r="AH262" s="64"/>
      <c r="AI262" s="64"/>
      <c r="AJ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4"/>
      <c r="G263" s="64"/>
      <c r="H263" s="64"/>
      <c r="I263" s="64"/>
      <c r="J263" s="64"/>
      <c r="M263" s="64"/>
      <c r="N263" s="64"/>
      <c r="O263" s="64"/>
      <c r="P263" s="64"/>
      <c r="Q263" s="64"/>
      <c r="T263" s="64"/>
      <c r="U263" s="64"/>
      <c r="V263" s="64"/>
      <c r="W263" s="64"/>
      <c r="X263" s="64"/>
      <c r="AA263" s="64"/>
      <c r="AB263" s="64"/>
      <c r="AC263" s="64"/>
      <c r="AD263" s="64"/>
      <c r="AE263" s="64"/>
      <c r="AH263" s="64"/>
      <c r="AI263" s="64"/>
      <c r="AJ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4"/>
      <c r="G264" s="64"/>
      <c r="H264" s="64"/>
      <c r="I264" s="64"/>
      <c r="J264" s="64"/>
      <c r="M264" s="64"/>
      <c r="N264" s="64"/>
      <c r="O264" s="64"/>
      <c r="P264" s="64"/>
      <c r="Q264" s="64"/>
      <c r="T264" s="64"/>
      <c r="U264" s="64"/>
      <c r="V264" s="64"/>
      <c r="W264" s="64"/>
      <c r="X264" s="64"/>
      <c r="AA264" s="64"/>
      <c r="AB264" s="64"/>
      <c r="AC264" s="64"/>
      <c r="AD264" s="64"/>
      <c r="AE264" s="64"/>
      <c r="AH264" s="64"/>
      <c r="AI264" s="64"/>
      <c r="AJ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4"/>
      <c r="G265" s="64"/>
      <c r="H265" s="64"/>
      <c r="I265" s="64"/>
      <c r="J265" s="64"/>
      <c r="M265" s="64"/>
      <c r="N265" s="64"/>
      <c r="O265" s="64"/>
      <c r="P265" s="64"/>
      <c r="Q265" s="64"/>
      <c r="T265" s="64"/>
      <c r="U265" s="64"/>
      <c r="V265" s="64"/>
      <c r="W265" s="64"/>
      <c r="X265" s="64"/>
      <c r="AA265" s="64"/>
      <c r="AB265" s="64"/>
      <c r="AC265" s="64"/>
      <c r="AD265" s="64"/>
      <c r="AE265" s="64"/>
      <c r="AH265" s="64"/>
      <c r="AI265" s="64"/>
      <c r="AJ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4"/>
      <c r="G266" s="64"/>
      <c r="H266" s="64"/>
      <c r="I266" s="64"/>
      <c r="J266" s="64"/>
      <c r="M266" s="64"/>
      <c r="N266" s="64"/>
      <c r="O266" s="64"/>
      <c r="P266" s="64"/>
      <c r="Q266" s="64"/>
      <c r="T266" s="64"/>
      <c r="U266" s="64"/>
      <c r="V266" s="64"/>
      <c r="W266" s="64"/>
      <c r="X266" s="64"/>
      <c r="AA266" s="64"/>
      <c r="AB266" s="64"/>
      <c r="AC266" s="64"/>
      <c r="AD266" s="64"/>
      <c r="AE266" s="64"/>
      <c r="AH266" s="64"/>
      <c r="AI266" s="64"/>
      <c r="AJ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4"/>
      <c r="G267" s="64"/>
      <c r="H267" s="64"/>
      <c r="I267" s="64"/>
      <c r="J267" s="64"/>
      <c r="M267" s="64"/>
      <c r="N267" s="64"/>
      <c r="O267" s="64"/>
      <c r="P267" s="64"/>
      <c r="Q267" s="64"/>
      <c r="T267" s="64"/>
      <c r="U267" s="64"/>
      <c r="V267" s="64"/>
      <c r="W267" s="64"/>
      <c r="X267" s="64"/>
      <c r="AA267" s="64"/>
      <c r="AB267" s="64"/>
      <c r="AC267" s="64"/>
      <c r="AD267" s="64"/>
      <c r="AE267" s="64"/>
      <c r="AH267" s="64"/>
      <c r="AI267" s="64"/>
      <c r="AJ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4"/>
      <c r="G268" s="64"/>
      <c r="H268" s="64"/>
      <c r="I268" s="64"/>
      <c r="J268" s="64"/>
      <c r="M268" s="64"/>
      <c r="N268" s="64"/>
      <c r="O268" s="64"/>
      <c r="P268" s="64"/>
      <c r="Q268" s="64"/>
      <c r="T268" s="64"/>
      <c r="U268" s="64"/>
      <c r="V268" s="64"/>
      <c r="W268" s="64"/>
      <c r="X268" s="64"/>
      <c r="AA268" s="64"/>
      <c r="AB268" s="64"/>
      <c r="AC268" s="64"/>
      <c r="AD268" s="64"/>
      <c r="AE268" s="64"/>
      <c r="AH268" s="64"/>
      <c r="AI268" s="64"/>
      <c r="AJ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4"/>
      <c r="G269" s="64"/>
      <c r="H269" s="64"/>
      <c r="I269" s="64"/>
      <c r="J269" s="64"/>
      <c r="M269" s="64"/>
      <c r="N269" s="64"/>
      <c r="O269" s="64"/>
      <c r="P269" s="64"/>
      <c r="Q269" s="64"/>
      <c r="T269" s="64"/>
      <c r="U269" s="64"/>
      <c r="V269" s="64"/>
      <c r="W269" s="64"/>
      <c r="X269" s="64"/>
      <c r="AA269" s="64"/>
      <c r="AB269" s="64"/>
      <c r="AC269" s="64"/>
      <c r="AD269" s="64"/>
      <c r="AE269" s="64"/>
      <c r="AH269" s="64"/>
      <c r="AI269" s="64"/>
      <c r="AJ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4"/>
      <c r="G270" s="64"/>
      <c r="H270" s="64"/>
      <c r="I270" s="64"/>
      <c r="J270" s="64"/>
      <c r="M270" s="64"/>
      <c r="N270" s="64"/>
      <c r="O270" s="64"/>
      <c r="P270" s="64"/>
      <c r="Q270" s="64"/>
      <c r="T270" s="64"/>
      <c r="U270" s="64"/>
      <c r="V270" s="64"/>
      <c r="W270" s="64"/>
      <c r="X270" s="64"/>
      <c r="AA270" s="64"/>
      <c r="AB270" s="64"/>
      <c r="AC270" s="64"/>
      <c r="AD270" s="64"/>
      <c r="AE270" s="64"/>
      <c r="AH270" s="64"/>
      <c r="AI270" s="64"/>
      <c r="AJ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4"/>
      <c r="G271" s="64"/>
      <c r="H271" s="64"/>
      <c r="I271" s="64"/>
      <c r="J271" s="64"/>
      <c r="M271" s="64"/>
      <c r="N271" s="64"/>
      <c r="O271" s="64"/>
      <c r="P271" s="64"/>
      <c r="Q271" s="64"/>
      <c r="T271" s="64"/>
      <c r="U271" s="64"/>
      <c r="V271" s="64"/>
      <c r="W271" s="64"/>
      <c r="X271" s="64"/>
      <c r="AA271" s="64"/>
      <c r="AB271" s="64"/>
      <c r="AC271" s="64"/>
      <c r="AD271" s="64"/>
      <c r="AE271" s="64"/>
      <c r="AH271" s="64"/>
      <c r="AI271" s="64"/>
      <c r="AJ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4"/>
      <c r="G272" s="64"/>
      <c r="H272" s="64"/>
      <c r="I272" s="64"/>
      <c r="J272" s="64"/>
      <c r="M272" s="64"/>
      <c r="N272" s="64"/>
      <c r="O272" s="64"/>
      <c r="P272" s="64"/>
      <c r="Q272" s="64"/>
      <c r="T272" s="64"/>
      <c r="U272" s="64"/>
      <c r="V272" s="64"/>
      <c r="W272" s="64"/>
      <c r="X272" s="64"/>
      <c r="AA272" s="64"/>
      <c r="AB272" s="64"/>
      <c r="AC272" s="64"/>
      <c r="AD272" s="64"/>
      <c r="AE272" s="64"/>
      <c r="AH272" s="64"/>
      <c r="AI272" s="64"/>
      <c r="AJ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4"/>
      <c r="G273" s="64"/>
      <c r="H273" s="64"/>
      <c r="I273" s="64"/>
      <c r="J273" s="64"/>
      <c r="M273" s="64"/>
      <c r="N273" s="64"/>
      <c r="O273" s="64"/>
      <c r="P273" s="64"/>
      <c r="Q273" s="64"/>
      <c r="T273" s="64"/>
      <c r="U273" s="64"/>
      <c r="V273" s="64"/>
      <c r="W273" s="64"/>
      <c r="X273" s="64"/>
      <c r="AA273" s="64"/>
      <c r="AB273" s="64"/>
      <c r="AC273" s="64"/>
      <c r="AD273" s="64"/>
      <c r="AE273" s="64"/>
      <c r="AH273" s="64"/>
      <c r="AI273" s="64"/>
      <c r="AJ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4"/>
      <c r="G274" s="64"/>
      <c r="H274" s="64"/>
      <c r="I274" s="64"/>
      <c r="J274" s="64"/>
      <c r="M274" s="64"/>
      <c r="N274" s="64"/>
      <c r="O274" s="64"/>
      <c r="P274" s="64"/>
      <c r="Q274" s="64"/>
      <c r="T274" s="64"/>
      <c r="U274" s="64"/>
      <c r="V274" s="64"/>
      <c r="W274" s="64"/>
      <c r="X274" s="64"/>
      <c r="AA274" s="64"/>
      <c r="AB274" s="64"/>
      <c r="AC274" s="64"/>
      <c r="AD274" s="64"/>
      <c r="AE274" s="64"/>
      <c r="AH274" s="64"/>
      <c r="AI274" s="64"/>
      <c r="AJ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4"/>
      <c r="G275" s="64"/>
      <c r="H275" s="64"/>
      <c r="I275" s="64"/>
      <c r="J275" s="64"/>
      <c r="M275" s="64"/>
      <c r="N275" s="64"/>
      <c r="O275" s="64"/>
      <c r="P275" s="64"/>
      <c r="Q275" s="64"/>
      <c r="T275" s="64"/>
      <c r="U275" s="64"/>
      <c r="V275" s="64"/>
      <c r="W275" s="64"/>
      <c r="X275" s="64"/>
      <c r="AA275" s="64"/>
      <c r="AB275" s="64"/>
      <c r="AC275" s="64"/>
      <c r="AD275" s="64"/>
      <c r="AE275" s="64"/>
      <c r="AH275" s="64"/>
      <c r="AI275" s="64"/>
      <c r="AJ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4"/>
      <c r="G276" s="64"/>
      <c r="H276" s="64"/>
      <c r="I276" s="64"/>
      <c r="J276" s="64"/>
      <c r="M276" s="64"/>
      <c r="N276" s="64"/>
      <c r="O276" s="64"/>
      <c r="P276" s="64"/>
      <c r="Q276" s="64"/>
      <c r="T276" s="64"/>
      <c r="U276" s="64"/>
      <c r="V276" s="64"/>
      <c r="W276" s="64"/>
      <c r="X276" s="64"/>
      <c r="AA276" s="64"/>
      <c r="AB276" s="64"/>
      <c r="AC276" s="64"/>
      <c r="AD276" s="64"/>
      <c r="AE276" s="64"/>
      <c r="AH276" s="64"/>
      <c r="AI276" s="64"/>
      <c r="AJ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4"/>
      <c r="G277" s="64"/>
      <c r="H277" s="64"/>
      <c r="I277" s="64"/>
      <c r="J277" s="64"/>
      <c r="M277" s="64"/>
      <c r="N277" s="64"/>
      <c r="O277" s="64"/>
      <c r="P277" s="64"/>
      <c r="Q277" s="64"/>
      <c r="T277" s="64"/>
      <c r="U277" s="64"/>
      <c r="V277" s="64"/>
      <c r="W277" s="64"/>
      <c r="X277" s="64"/>
      <c r="AA277" s="64"/>
      <c r="AB277" s="64"/>
      <c r="AC277" s="64"/>
      <c r="AD277" s="64"/>
      <c r="AE277" s="64"/>
      <c r="AH277" s="64"/>
      <c r="AI277" s="64"/>
      <c r="AJ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4"/>
      <c r="G278" s="64"/>
      <c r="H278" s="64"/>
      <c r="I278" s="64"/>
      <c r="J278" s="64"/>
      <c r="M278" s="64"/>
      <c r="N278" s="64"/>
      <c r="O278" s="64"/>
      <c r="P278" s="64"/>
      <c r="Q278" s="64"/>
      <c r="T278" s="64"/>
      <c r="U278" s="64"/>
      <c r="V278" s="64"/>
      <c r="W278" s="64"/>
      <c r="X278" s="64"/>
      <c r="AA278" s="64"/>
      <c r="AB278" s="64"/>
      <c r="AC278" s="64"/>
      <c r="AD278" s="64"/>
      <c r="AE278" s="64"/>
      <c r="AH278" s="64"/>
      <c r="AI278" s="64"/>
      <c r="AJ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4"/>
      <c r="G279" s="64"/>
      <c r="H279" s="64"/>
      <c r="I279" s="64"/>
      <c r="J279" s="64"/>
      <c r="M279" s="64"/>
      <c r="N279" s="64"/>
      <c r="O279" s="64"/>
      <c r="P279" s="64"/>
      <c r="Q279" s="64"/>
      <c r="T279" s="64"/>
      <c r="U279" s="64"/>
      <c r="V279" s="64"/>
      <c r="W279" s="64"/>
      <c r="X279" s="64"/>
      <c r="AA279" s="64"/>
      <c r="AB279" s="64"/>
      <c r="AC279" s="64"/>
      <c r="AD279" s="64"/>
      <c r="AE279" s="64"/>
      <c r="AH279" s="64"/>
      <c r="AI279" s="64"/>
      <c r="AJ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4"/>
      <c r="G280" s="64"/>
      <c r="H280" s="64"/>
      <c r="I280" s="64"/>
      <c r="J280" s="64"/>
      <c r="M280" s="64"/>
      <c r="N280" s="64"/>
      <c r="O280" s="64"/>
      <c r="P280" s="64"/>
      <c r="Q280" s="64"/>
      <c r="T280" s="64"/>
      <c r="U280" s="64"/>
      <c r="V280" s="64"/>
      <c r="W280" s="64"/>
      <c r="X280" s="64"/>
      <c r="AA280" s="64"/>
      <c r="AB280" s="64"/>
      <c r="AC280" s="64"/>
      <c r="AD280" s="64"/>
      <c r="AE280" s="64"/>
      <c r="AH280" s="64"/>
      <c r="AI280" s="64"/>
      <c r="AJ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4"/>
      <c r="G281" s="64"/>
      <c r="H281" s="64"/>
      <c r="I281" s="64"/>
      <c r="J281" s="64"/>
      <c r="M281" s="64"/>
      <c r="N281" s="64"/>
      <c r="O281" s="64"/>
      <c r="P281" s="64"/>
      <c r="Q281" s="64"/>
      <c r="T281" s="64"/>
      <c r="U281" s="64"/>
      <c r="V281" s="64"/>
      <c r="W281" s="64"/>
      <c r="X281" s="64"/>
      <c r="AA281" s="64"/>
      <c r="AB281" s="64"/>
      <c r="AC281" s="64"/>
      <c r="AD281" s="64"/>
      <c r="AE281" s="64"/>
      <c r="AH281" s="64"/>
      <c r="AI281" s="64"/>
      <c r="AJ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4"/>
      <c r="G282" s="64"/>
      <c r="H282" s="64"/>
      <c r="I282" s="64"/>
      <c r="J282" s="64"/>
      <c r="M282" s="64"/>
      <c r="N282" s="64"/>
      <c r="O282" s="64"/>
      <c r="P282" s="64"/>
      <c r="Q282" s="64"/>
      <c r="T282" s="64"/>
      <c r="U282" s="64"/>
      <c r="V282" s="64"/>
      <c r="W282" s="64"/>
      <c r="X282" s="64"/>
      <c r="AA282" s="64"/>
      <c r="AB282" s="64"/>
      <c r="AC282" s="64"/>
      <c r="AD282" s="64"/>
      <c r="AE282" s="64"/>
      <c r="AH282" s="64"/>
      <c r="AI282" s="64"/>
      <c r="AJ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4"/>
      <c r="G283" s="64"/>
      <c r="H283" s="64"/>
      <c r="I283" s="64"/>
      <c r="J283" s="64"/>
      <c r="M283" s="64"/>
      <c r="N283" s="64"/>
      <c r="O283" s="64"/>
      <c r="P283" s="64"/>
      <c r="Q283" s="64"/>
      <c r="T283" s="64"/>
      <c r="U283" s="64"/>
      <c r="V283" s="64"/>
      <c r="W283" s="64"/>
      <c r="X283" s="64"/>
      <c r="AA283" s="64"/>
      <c r="AB283" s="64"/>
      <c r="AC283" s="64"/>
      <c r="AD283" s="64"/>
      <c r="AE283" s="64"/>
      <c r="AH283" s="64"/>
      <c r="AI283" s="64"/>
      <c r="AJ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4"/>
      <c r="G284" s="64"/>
      <c r="H284" s="64"/>
      <c r="I284" s="64"/>
      <c r="J284" s="64"/>
      <c r="M284" s="64"/>
      <c r="N284" s="64"/>
      <c r="O284" s="64"/>
      <c r="P284" s="64"/>
      <c r="Q284" s="64"/>
      <c r="T284" s="64"/>
      <c r="U284" s="64"/>
      <c r="V284" s="64"/>
      <c r="W284" s="64"/>
      <c r="X284" s="64"/>
      <c r="AA284" s="64"/>
      <c r="AB284" s="64"/>
      <c r="AC284" s="64"/>
      <c r="AD284" s="64"/>
      <c r="AE284" s="64"/>
      <c r="AH284" s="64"/>
      <c r="AI284" s="64"/>
      <c r="AJ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4"/>
      <c r="G285" s="64"/>
      <c r="H285" s="64"/>
      <c r="I285" s="64"/>
      <c r="J285" s="64"/>
      <c r="M285" s="64"/>
      <c r="N285" s="64"/>
      <c r="O285" s="64"/>
      <c r="P285" s="64"/>
      <c r="Q285" s="64"/>
      <c r="T285" s="64"/>
      <c r="U285" s="64"/>
      <c r="V285" s="64"/>
      <c r="W285" s="64"/>
      <c r="X285" s="64"/>
      <c r="AA285" s="64"/>
      <c r="AB285" s="64"/>
      <c r="AC285" s="64"/>
      <c r="AD285" s="64"/>
      <c r="AE285" s="64"/>
      <c r="AH285" s="64"/>
      <c r="AI285" s="64"/>
      <c r="AJ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4"/>
      <c r="G286" s="64"/>
      <c r="H286" s="64"/>
      <c r="I286" s="64"/>
      <c r="J286" s="64"/>
      <c r="M286" s="64"/>
      <c r="N286" s="64"/>
      <c r="O286" s="64"/>
      <c r="P286" s="64"/>
      <c r="Q286" s="64"/>
      <c r="T286" s="64"/>
      <c r="U286" s="64"/>
      <c r="V286" s="64"/>
      <c r="W286" s="64"/>
      <c r="X286" s="64"/>
      <c r="AA286" s="64"/>
      <c r="AB286" s="64"/>
      <c r="AC286" s="64"/>
      <c r="AD286" s="64"/>
      <c r="AE286" s="64"/>
      <c r="AH286" s="64"/>
      <c r="AI286" s="64"/>
      <c r="AJ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4"/>
      <c r="G287" s="64"/>
      <c r="H287" s="64"/>
      <c r="I287" s="64"/>
      <c r="J287" s="64"/>
      <c r="M287" s="64"/>
      <c r="N287" s="64"/>
      <c r="O287" s="64"/>
      <c r="P287" s="64"/>
      <c r="Q287" s="64"/>
      <c r="T287" s="64"/>
      <c r="U287" s="64"/>
      <c r="V287" s="64"/>
      <c r="W287" s="64"/>
      <c r="X287" s="64"/>
      <c r="AA287" s="64"/>
      <c r="AB287" s="64"/>
      <c r="AC287" s="64"/>
      <c r="AD287" s="64"/>
      <c r="AE287" s="64"/>
      <c r="AH287" s="64"/>
      <c r="AI287" s="64"/>
      <c r="AJ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4"/>
      <c r="G288" s="64"/>
      <c r="H288" s="64"/>
      <c r="I288" s="64"/>
      <c r="J288" s="64"/>
      <c r="M288" s="64"/>
      <c r="N288" s="64"/>
      <c r="O288" s="64"/>
      <c r="P288" s="64"/>
      <c r="Q288" s="64"/>
      <c r="T288" s="64"/>
      <c r="U288" s="64"/>
      <c r="V288" s="64"/>
      <c r="W288" s="64"/>
      <c r="X288" s="64"/>
      <c r="AA288" s="64"/>
      <c r="AB288" s="64"/>
      <c r="AC288" s="64"/>
      <c r="AD288" s="64"/>
      <c r="AE288" s="64"/>
      <c r="AH288" s="64"/>
      <c r="AI288" s="64"/>
      <c r="AJ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4"/>
      <c r="G289" s="64"/>
      <c r="H289" s="64"/>
      <c r="I289" s="64"/>
      <c r="J289" s="64"/>
      <c r="M289" s="64"/>
      <c r="N289" s="64"/>
      <c r="O289" s="64"/>
      <c r="P289" s="64"/>
      <c r="Q289" s="64"/>
      <c r="T289" s="64"/>
      <c r="U289" s="64"/>
      <c r="V289" s="64"/>
      <c r="W289" s="64"/>
      <c r="X289" s="64"/>
      <c r="AA289" s="64"/>
      <c r="AB289" s="64"/>
      <c r="AC289" s="64"/>
      <c r="AD289" s="64"/>
      <c r="AE289" s="64"/>
      <c r="AH289" s="64"/>
      <c r="AI289" s="64"/>
      <c r="AJ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4"/>
      <c r="G290" s="64"/>
      <c r="H290" s="64"/>
      <c r="I290" s="64"/>
      <c r="J290" s="64"/>
      <c r="M290" s="64"/>
      <c r="N290" s="64"/>
      <c r="O290" s="64"/>
      <c r="P290" s="64"/>
      <c r="Q290" s="64"/>
      <c r="T290" s="64"/>
      <c r="U290" s="64"/>
      <c r="V290" s="64"/>
      <c r="W290" s="64"/>
      <c r="X290" s="64"/>
      <c r="AA290" s="64"/>
      <c r="AB290" s="64"/>
      <c r="AC290" s="64"/>
      <c r="AD290" s="64"/>
      <c r="AE290" s="64"/>
      <c r="AH290" s="64"/>
      <c r="AI290" s="64"/>
      <c r="AJ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4"/>
      <c r="G291" s="64"/>
      <c r="H291" s="64"/>
      <c r="I291" s="64"/>
      <c r="J291" s="64"/>
      <c r="M291" s="64"/>
      <c r="N291" s="64"/>
      <c r="O291" s="64"/>
      <c r="P291" s="64"/>
      <c r="Q291" s="64"/>
      <c r="T291" s="64"/>
      <c r="U291" s="64"/>
      <c r="V291" s="64"/>
      <c r="W291" s="64"/>
      <c r="X291" s="64"/>
      <c r="AA291" s="64"/>
      <c r="AB291" s="64"/>
      <c r="AC291" s="64"/>
      <c r="AD291" s="64"/>
      <c r="AE291" s="64"/>
      <c r="AH291" s="64"/>
      <c r="AI291" s="64"/>
      <c r="AJ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4"/>
      <c r="G292" s="64"/>
      <c r="H292" s="64"/>
      <c r="I292" s="64"/>
      <c r="J292" s="64"/>
      <c r="M292" s="64"/>
      <c r="N292" s="64"/>
      <c r="O292" s="64"/>
      <c r="P292" s="64"/>
      <c r="Q292" s="64"/>
      <c r="T292" s="64"/>
      <c r="U292" s="64"/>
      <c r="V292" s="64"/>
      <c r="W292" s="64"/>
      <c r="X292" s="64"/>
      <c r="AA292" s="64"/>
      <c r="AB292" s="64"/>
      <c r="AC292" s="64"/>
      <c r="AD292" s="64"/>
      <c r="AE292" s="64"/>
      <c r="AH292" s="64"/>
      <c r="AI292" s="64"/>
      <c r="AJ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4"/>
      <c r="G293" s="64"/>
      <c r="H293" s="64"/>
      <c r="I293" s="64"/>
      <c r="J293" s="64"/>
      <c r="M293" s="64"/>
      <c r="N293" s="64"/>
      <c r="O293" s="64"/>
      <c r="P293" s="64"/>
      <c r="Q293" s="64"/>
      <c r="T293" s="64"/>
      <c r="U293" s="64"/>
      <c r="V293" s="64"/>
      <c r="W293" s="64"/>
      <c r="X293" s="64"/>
      <c r="AA293" s="64"/>
      <c r="AB293" s="64"/>
      <c r="AC293" s="64"/>
      <c r="AD293" s="64"/>
      <c r="AE293" s="64"/>
      <c r="AH293" s="64"/>
      <c r="AI293" s="64"/>
      <c r="AJ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4"/>
      <c r="G294" s="64"/>
      <c r="H294" s="64"/>
      <c r="I294" s="64"/>
      <c r="J294" s="64"/>
      <c r="M294" s="64"/>
      <c r="N294" s="64"/>
      <c r="O294" s="64"/>
      <c r="P294" s="64"/>
      <c r="Q294" s="64"/>
      <c r="T294" s="64"/>
      <c r="U294" s="64"/>
      <c r="V294" s="64"/>
      <c r="W294" s="64"/>
      <c r="X294" s="64"/>
      <c r="AA294" s="64"/>
      <c r="AB294" s="64"/>
      <c r="AC294" s="64"/>
      <c r="AD294" s="64"/>
      <c r="AE294" s="64"/>
      <c r="AH294" s="64"/>
      <c r="AI294" s="64"/>
      <c r="AJ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4"/>
      <c r="G295" s="64"/>
      <c r="H295" s="64"/>
      <c r="I295" s="64"/>
      <c r="J295" s="64"/>
      <c r="M295" s="64"/>
      <c r="N295" s="64"/>
      <c r="O295" s="64"/>
      <c r="P295" s="64"/>
      <c r="Q295" s="64"/>
      <c r="T295" s="64"/>
      <c r="U295" s="64"/>
      <c r="V295" s="64"/>
      <c r="W295" s="64"/>
      <c r="X295" s="64"/>
      <c r="AA295" s="64"/>
      <c r="AB295" s="64"/>
      <c r="AC295" s="64"/>
      <c r="AD295" s="64"/>
      <c r="AE295" s="64"/>
      <c r="AH295" s="64"/>
      <c r="AI295" s="64"/>
      <c r="AJ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4"/>
      <c r="G296" s="64"/>
      <c r="H296" s="64"/>
      <c r="I296" s="64"/>
      <c r="J296" s="64"/>
      <c r="M296" s="64"/>
      <c r="N296" s="64"/>
      <c r="O296" s="64"/>
      <c r="P296" s="64"/>
      <c r="Q296" s="64"/>
      <c r="T296" s="64"/>
      <c r="U296" s="64"/>
      <c r="V296" s="64"/>
      <c r="W296" s="64"/>
      <c r="X296" s="64"/>
      <c r="AA296" s="64"/>
      <c r="AB296" s="64"/>
      <c r="AC296" s="64"/>
      <c r="AD296" s="64"/>
      <c r="AE296" s="64"/>
      <c r="AH296" s="64"/>
      <c r="AI296" s="64"/>
      <c r="AJ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4"/>
      <c r="G297" s="64"/>
      <c r="H297" s="64"/>
      <c r="I297" s="64"/>
      <c r="J297" s="64"/>
      <c r="M297" s="64"/>
      <c r="N297" s="64"/>
      <c r="O297" s="64"/>
      <c r="P297" s="64"/>
      <c r="Q297" s="64"/>
      <c r="T297" s="64"/>
      <c r="U297" s="64"/>
      <c r="V297" s="64"/>
      <c r="W297" s="64"/>
      <c r="X297" s="64"/>
      <c r="AA297" s="64"/>
      <c r="AB297" s="64"/>
      <c r="AC297" s="64"/>
      <c r="AD297" s="64"/>
      <c r="AE297" s="64"/>
      <c r="AH297" s="64"/>
      <c r="AI297" s="64"/>
      <c r="AJ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4"/>
      <c r="G298" s="64"/>
      <c r="H298" s="64"/>
      <c r="I298" s="64"/>
      <c r="J298" s="64"/>
      <c r="M298" s="64"/>
      <c r="N298" s="64"/>
      <c r="O298" s="64"/>
      <c r="P298" s="64"/>
      <c r="Q298" s="64"/>
      <c r="T298" s="64"/>
      <c r="U298" s="64"/>
      <c r="V298" s="64"/>
      <c r="W298" s="64"/>
      <c r="X298" s="64"/>
      <c r="AA298" s="64"/>
      <c r="AB298" s="64"/>
      <c r="AC298" s="64"/>
      <c r="AD298" s="64"/>
      <c r="AE298" s="64"/>
      <c r="AH298" s="64"/>
      <c r="AI298" s="64"/>
      <c r="AJ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4"/>
      <c r="G299" s="64"/>
      <c r="H299" s="64"/>
      <c r="I299" s="64"/>
      <c r="J299" s="64"/>
      <c r="M299" s="64"/>
      <c r="N299" s="64"/>
      <c r="O299" s="64"/>
      <c r="P299" s="64"/>
      <c r="Q299" s="64"/>
      <c r="T299" s="64"/>
      <c r="U299" s="64"/>
      <c r="V299" s="64"/>
      <c r="W299" s="64"/>
      <c r="X299" s="64"/>
      <c r="AA299" s="64"/>
      <c r="AB299" s="64"/>
      <c r="AC299" s="64"/>
      <c r="AD299" s="64"/>
      <c r="AE299" s="64"/>
      <c r="AH299" s="64"/>
      <c r="AI299" s="64"/>
      <c r="AJ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4"/>
      <c r="G300" s="64"/>
      <c r="H300" s="64"/>
      <c r="I300" s="64"/>
      <c r="J300" s="64"/>
      <c r="M300" s="64"/>
      <c r="N300" s="64"/>
      <c r="O300" s="64"/>
      <c r="P300" s="64"/>
      <c r="Q300" s="64"/>
      <c r="T300" s="64"/>
      <c r="U300" s="64"/>
      <c r="V300" s="64"/>
      <c r="W300" s="64"/>
      <c r="X300" s="64"/>
      <c r="AA300" s="64"/>
      <c r="AB300" s="64"/>
      <c r="AC300" s="64"/>
      <c r="AD300" s="64"/>
      <c r="AE300" s="64"/>
      <c r="AH300" s="64"/>
      <c r="AI300" s="64"/>
      <c r="AJ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4"/>
      <c r="G301" s="64"/>
      <c r="H301" s="64"/>
      <c r="I301" s="64"/>
      <c r="J301" s="64"/>
      <c r="M301" s="64"/>
      <c r="N301" s="64"/>
      <c r="O301" s="64"/>
      <c r="P301" s="64"/>
      <c r="Q301" s="64"/>
      <c r="T301" s="64"/>
      <c r="U301" s="64"/>
      <c r="V301" s="64"/>
      <c r="W301" s="64"/>
      <c r="X301" s="64"/>
      <c r="AA301" s="64"/>
      <c r="AB301" s="64"/>
      <c r="AC301" s="64"/>
      <c r="AD301" s="64"/>
      <c r="AE301" s="64"/>
      <c r="AH301" s="64"/>
      <c r="AI301" s="64"/>
      <c r="AJ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4"/>
      <c r="G302" s="64"/>
      <c r="H302" s="64"/>
      <c r="I302" s="64"/>
      <c r="J302" s="64"/>
      <c r="M302" s="64"/>
      <c r="N302" s="64"/>
      <c r="O302" s="64"/>
      <c r="P302" s="64"/>
      <c r="Q302" s="64"/>
      <c r="T302" s="64"/>
      <c r="U302" s="64"/>
      <c r="V302" s="64"/>
      <c r="W302" s="64"/>
      <c r="X302" s="64"/>
      <c r="AA302" s="64"/>
      <c r="AB302" s="64"/>
      <c r="AC302" s="64"/>
      <c r="AD302" s="64"/>
      <c r="AE302" s="64"/>
      <c r="AH302" s="64"/>
      <c r="AI302" s="64"/>
      <c r="AJ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4"/>
      <c r="G303" s="64"/>
      <c r="H303" s="64"/>
      <c r="I303" s="64"/>
      <c r="J303" s="64"/>
      <c r="M303" s="64"/>
      <c r="N303" s="64"/>
      <c r="O303" s="64"/>
      <c r="P303" s="64"/>
      <c r="Q303" s="64"/>
      <c r="T303" s="64"/>
      <c r="U303" s="64"/>
      <c r="V303" s="64"/>
      <c r="W303" s="64"/>
      <c r="X303" s="64"/>
      <c r="AA303" s="64"/>
      <c r="AB303" s="64"/>
      <c r="AC303" s="64"/>
      <c r="AD303" s="64"/>
      <c r="AE303" s="64"/>
      <c r="AH303" s="64"/>
      <c r="AI303" s="64"/>
      <c r="AJ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4"/>
      <c r="G304" s="64"/>
      <c r="H304" s="64"/>
      <c r="I304" s="64"/>
      <c r="J304" s="64"/>
      <c r="M304" s="64"/>
      <c r="N304" s="64"/>
      <c r="O304" s="64"/>
      <c r="P304" s="64"/>
      <c r="Q304" s="64"/>
      <c r="T304" s="64"/>
      <c r="U304" s="64"/>
      <c r="V304" s="64"/>
      <c r="W304" s="64"/>
      <c r="X304" s="64"/>
      <c r="AA304" s="64"/>
      <c r="AB304" s="64"/>
      <c r="AC304" s="64"/>
      <c r="AD304" s="64"/>
      <c r="AE304" s="64"/>
      <c r="AH304" s="64"/>
      <c r="AI304" s="64"/>
      <c r="AJ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4"/>
      <c r="G305" s="64"/>
      <c r="H305" s="64"/>
      <c r="I305" s="64"/>
      <c r="J305" s="64"/>
      <c r="M305" s="64"/>
      <c r="N305" s="64"/>
      <c r="O305" s="64"/>
      <c r="P305" s="64"/>
      <c r="Q305" s="64"/>
      <c r="T305" s="64"/>
      <c r="U305" s="64"/>
      <c r="V305" s="64"/>
      <c r="W305" s="64"/>
      <c r="X305" s="64"/>
      <c r="AA305" s="64"/>
      <c r="AB305" s="64"/>
      <c r="AC305" s="64"/>
      <c r="AD305" s="64"/>
      <c r="AE305" s="64"/>
      <c r="AH305" s="64"/>
      <c r="AI305" s="64"/>
      <c r="AJ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4"/>
      <c r="G306" s="64"/>
      <c r="H306" s="64"/>
      <c r="I306" s="64"/>
      <c r="J306" s="64"/>
      <c r="M306" s="64"/>
      <c r="N306" s="64"/>
      <c r="O306" s="64"/>
      <c r="P306" s="64"/>
      <c r="Q306" s="64"/>
      <c r="T306" s="64"/>
      <c r="U306" s="64"/>
      <c r="V306" s="64"/>
      <c r="W306" s="64"/>
      <c r="X306" s="64"/>
      <c r="AA306" s="64"/>
      <c r="AB306" s="64"/>
      <c r="AC306" s="64"/>
      <c r="AD306" s="64"/>
      <c r="AE306" s="64"/>
      <c r="AH306" s="64"/>
      <c r="AI306" s="64"/>
      <c r="AJ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4"/>
      <c r="G307" s="64"/>
      <c r="H307" s="64"/>
      <c r="I307" s="64"/>
      <c r="J307" s="64"/>
      <c r="M307" s="64"/>
      <c r="N307" s="64"/>
      <c r="O307" s="64"/>
      <c r="P307" s="64"/>
      <c r="Q307" s="64"/>
      <c r="T307" s="64"/>
      <c r="U307" s="64"/>
      <c r="V307" s="64"/>
      <c r="W307" s="64"/>
      <c r="X307" s="64"/>
      <c r="AA307" s="64"/>
      <c r="AB307" s="64"/>
      <c r="AC307" s="64"/>
      <c r="AD307" s="64"/>
      <c r="AE307" s="64"/>
      <c r="AH307" s="64"/>
      <c r="AI307" s="64"/>
      <c r="AJ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4"/>
      <c r="G308" s="64"/>
      <c r="H308" s="64"/>
      <c r="I308" s="64"/>
      <c r="J308" s="64"/>
      <c r="M308" s="64"/>
      <c r="N308" s="64"/>
      <c r="O308" s="64"/>
      <c r="P308" s="64"/>
      <c r="Q308" s="64"/>
      <c r="T308" s="64"/>
      <c r="U308" s="64"/>
      <c r="V308" s="64"/>
      <c r="W308" s="64"/>
      <c r="X308" s="64"/>
      <c r="AA308" s="64"/>
      <c r="AB308" s="64"/>
      <c r="AC308" s="64"/>
      <c r="AD308" s="64"/>
      <c r="AE308" s="64"/>
      <c r="AH308" s="64"/>
      <c r="AI308" s="64"/>
      <c r="AJ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4"/>
      <c r="G309" s="64"/>
      <c r="H309" s="64"/>
      <c r="I309" s="64"/>
      <c r="J309" s="64"/>
      <c r="M309" s="64"/>
      <c r="N309" s="64"/>
      <c r="O309" s="64"/>
      <c r="P309" s="64"/>
      <c r="Q309" s="64"/>
      <c r="T309" s="64"/>
      <c r="U309" s="64"/>
      <c r="V309" s="64"/>
      <c r="W309" s="64"/>
      <c r="X309" s="64"/>
      <c r="AA309" s="64"/>
      <c r="AB309" s="64"/>
      <c r="AC309" s="64"/>
      <c r="AD309" s="64"/>
      <c r="AE309" s="64"/>
      <c r="AH309" s="64"/>
      <c r="AI309" s="64"/>
      <c r="AJ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4"/>
      <c r="G310" s="64"/>
      <c r="H310" s="64"/>
      <c r="I310" s="64"/>
      <c r="J310" s="64"/>
      <c r="M310" s="64"/>
      <c r="N310" s="64"/>
      <c r="O310" s="64"/>
      <c r="P310" s="64"/>
      <c r="Q310" s="64"/>
      <c r="T310" s="64"/>
      <c r="U310" s="64"/>
      <c r="V310" s="64"/>
      <c r="W310" s="64"/>
      <c r="X310" s="64"/>
      <c r="AA310" s="64"/>
      <c r="AB310" s="64"/>
      <c r="AC310" s="64"/>
      <c r="AD310" s="64"/>
      <c r="AE310" s="64"/>
      <c r="AH310" s="64"/>
      <c r="AI310" s="64"/>
      <c r="AJ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4"/>
      <c r="G311" s="64"/>
      <c r="H311" s="64"/>
      <c r="I311" s="64"/>
      <c r="J311" s="64"/>
      <c r="M311" s="64"/>
      <c r="N311" s="64"/>
      <c r="O311" s="64"/>
      <c r="P311" s="64"/>
      <c r="Q311" s="64"/>
      <c r="T311" s="64"/>
      <c r="U311" s="64"/>
      <c r="V311" s="64"/>
      <c r="W311" s="64"/>
      <c r="X311" s="64"/>
      <c r="AA311" s="64"/>
      <c r="AB311" s="64"/>
      <c r="AC311" s="64"/>
      <c r="AD311" s="64"/>
      <c r="AE311" s="64"/>
      <c r="AH311" s="64"/>
      <c r="AI311" s="64"/>
      <c r="AJ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4"/>
      <c r="G312" s="64"/>
      <c r="H312" s="64"/>
      <c r="I312" s="64"/>
      <c r="J312" s="64"/>
      <c r="M312" s="64"/>
      <c r="N312" s="64"/>
      <c r="O312" s="64"/>
      <c r="P312" s="64"/>
      <c r="Q312" s="64"/>
      <c r="T312" s="64"/>
      <c r="U312" s="64"/>
      <c r="V312" s="64"/>
      <c r="W312" s="64"/>
      <c r="X312" s="64"/>
      <c r="AA312" s="64"/>
      <c r="AB312" s="64"/>
      <c r="AC312" s="64"/>
      <c r="AD312" s="64"/>
      <c r="AE312" s="64"/>
      <c r="AH312" s="64"/>
      <c r="AI312" s="64"/>
      <c r="AJ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4"/>
      <c r="G313" s="64"/>
      <c r="H313" s="64"/>
      <c r="I313" s="64"/>
      <c r="J313" s="64"/>
      <c r="M313" s="64"/>
      <c r="N313" s="64"/>
      <c r="O313" s="64"/>
      <c r="P313" s="64"/>
      <c r="Q313" s="64"/>
      <c r="T313" s="64"/>
      <c r="U313" s="64"/>
      <c r="V313" s="64"/>
      <c r="W313" s="64"/>
      <c r="X313" s="64"/>
      <c r="AA313" s="64"/>
      <c r="AB313" s="64"/>
      <c r="AC313" s="64"/>
      <c r="AD313" s="64"/>
      <c r="AE313" s="64"/>
      <c r="AH313" s="64"/>
      <c r="AI313" s="64"/>
      <c r="AJ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4"/>
      <c r="G314" s="64"/>
      <c r="H314" s="64"/>
      <c r="I314" s="64"/>
      <c r="J314" s="64"/>
      <c r="M314" s="64"/>
      <c r="N314" s="64"/>
      <c r="O314" s="64"/>
      <c r="P314" s="64"/>
      <c r="Q314" s="64"/>
      <c r="T314" s="64"/>
      <c r="U314" s="64"/>
      <c r="V314" s="64"/>
      <c r="W314" s="64"/>
      <c r="X314" s="64"/>
      <c r="AA314" s="64"/>
      <c r="AB314" s="64"/>
      <c r="AC314" s="64"/>
      <c r="AD314" s="64"/>
      <c r="AE314" s="64"/>
      <c r="AH314" s="64"/>
      <c r="AI314" s="64"/>
      <c r="AJ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4"/>
      <c r="G315" s="64"/>
      <c r="H315" s="64"/>
      <c r="I315" s="64"/>
      <c r="J315" s="64"/>
      <c r="M315" s="64"/>
      <c r="N315" s="64"/>
      <c r="O315" s="64"/>
      <c r="P315" s="64"/>
      <c r="Q315" s="64"/>
      <c r="T315" s="64"/>
      <c r="U315" s="64"/>
      <c r="V315" s="64"/>
      <c r="W315" s="64"/>
      <c r="X315" s="64"/>
      <c r="AA315" s="64"/>
      <c r="AB315" s="64"/>
      <c r="AC315" s="64"/>
      <c r="AD315" s="64"/>
      <c r="AE315" s="64"/>
      <c r="AH315" s="64"/>
      <c r="AI315" s="64"/>
      <c r="AJ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4"/>
      <c r="G316" s="64"/>
      <c r="H316" s="64"/>
      <c r="I316" s="64"/>
      <c r="J316" s="64"/>
      <c r="M316" s="64"/>
      <c r="N316" s="64"/>
      <c r="O316" s="64"/>
      <c r="P316" s="64"/>
      <c r="Q316" s="64"/>
      <c r="T316" s="64"/>
      <c r="U316" s="64"/>
      <c r="V316" s="64"/>
      <c r="W316" s="64"/>
      <c r="X316" s="64"/>
      <c r="AA316" s="64"/>
      <c r="AB316" s="64"/>
      <c r="AC316" s="64"/>
      <c r="AD316" s="64"/>
      <c r="AE316" s="64"/>
      <c r="AH316" s="64"/>
      <c r="AI316" s="64"/>
      <c r="AJ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4"/>
      <c r="G317" s="64"/>
      <c r="H317" s="64"/>
      <c r="I317" s="64"/>
      <c r="J317" s="64"/>
      <c r="M317" s="64"/>
      <c r="N317" s="64"/>
      <c r="O317" s="64"/>
      <c r="P317" s="64"/>
      <c r="Q317" s="64"/>
      <c r="T317" s="64"/>
      <c r="U317" s="64"/>
      <c r="V317" s="64"/>
      <c r="W317" s="64"/>
      <c r="X317" s="64"/>
      <c r="AA317" s="64"/>
      <c r="AB317" s="64"/>
      <c r="AC317" s="64"/>
      <c r="AD317" s="64"/>
      <c r="AE317" s="64"/>
      <c r="AH317" s="64"/>
      <c r="AI317" s="64"/>
      <c r="AJ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4"/>
      <c r="G318" s="64"/>
      <c r="H318" s="64"/>
      <c r="I318" s="64"/>
      <c r="J318" s="64"/>
      <c r="M318" s="64"/>
      <c r="N318" s="64"/>
      <c r="O318" s="64"/>
      <c r="P318" s="64"/>
      <c r="Q318" s="64"/>
      <c r="T318" s="64"/>
      <c r="U318" s="64"/>
      <c r="V318" s="64"/>
      <c r="W318" s="64"/>
      <c r="X318" s="64"/>
      <c r="AA318" s="64"/>
      <c r="AB318" s="64"/>
      <c r="AC318" s="64"/>
      <c r="AD318" s="64"/>
      <c r="AE318" s="64"/>
      <c r="AH318" s="64"/>
      <c r="AI318" s="64"/>
      <c r="AJ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4"/>
      <c r="G319" s="64"/>
      <c r="H319" s="64"/>
      <c r="I319" s="64"/>
      <c r="J319" s="64"/>
      <c r="M319" s="64"/>
      <c r="N319" s="64"/>
      <c r="O319" s="64"/>
      <c r="P319" s="64"/>
      <c r="Q319" s="64"/>
      <c r="T319" s="64"/>
      <c r="U319" s="64"/>
      <c r="V319" s="64"/>
      <c r="W319" s="64"/>
      <c r="X319" s="64"/>
      <c r="AA319" s="64"/>
      <c r="AB319" s="64"/>
      <c r="AC319" s="64"/>
      <c r="AD319" s="64"/>
      <c r="AE319" s="64"/>
      <c r="AH319" s="64"/>
      <c r="AI319" s="64"/>
      <c r="AJ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4"/>
      <c r="G320" s="64"/>
      <c r="H320" s="64"/>
      <c r="I320" s="64"/>
      <c r="J320" s="64"/>
      <c r="M320" s="64"/>
      <c r="N320" s="64"/>
      <c r="O320" s="64"/>
      <c r="P320" s="64"/>
      <c r="Q320" s="64"/>
      <c r="T320" s="64"/>
      <c r="U320" s="64"/>
      <c r="V320" s="64"/>
      <c r="W320" s="64"/>
      <c r="X320" s="64"/>
      <c r="AA320" s="64"/>
      <c r="AB320" s="64"/>
      <c r="AC320" s="64"/>
      <c r="AD320" s="64"/>
      <c r="AE320" s="64"/>
      <c r="AH320" s="64"/>
      <c r="AI320" s="64"/>
      <c r="AJ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4"/>
      <c r="G321" s="64"/>
      <c r="H321" s="64"/>
      <c r="I321" s="64"/>
      <c r="J321" s="64"/>
      <c r="M321" s="64"/>
      <c r="N321" s="64"/>
      <c r="O321" s="64"/>
      <c r="P321" s="64"/>
      <c r="Q321" s="64"/>
      <c r="T321" s="64"/>
      <c r="U321" s="64"/>
      <c r="V321" s="64"/>
      <c r="W321" s="64"/>
      <c r="X321" s="64"/>
      <c r="AA321" s="64"/>
      <c r="AB321" s="64"/>
      <c r="AC321" s="64"/>
      <c r="AD321" s="64"/>
      <c r="AE321" s="64"/>
      <c r="AH321" s="64"/>
      <c r="AI321" s="64"/>
      <c r="AJ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4"/>
      <c r="G322" s="64"/>
      <c r="H322" s="64"/>
      <c r="I322" s="64"/>
      <c r="J322" s="64"/>
      <c r="M322" s="64"/>
      <c r="N322" s="64"/>
      <c r="O322" s="64"/>
      <c r="P322" s="64"/>
      <c r="Q322" s="64"/>
      <c r="T322" s="64"/>
      <c r="U322" s="64"/>
      <c r="V322" s="64"/>
      <c r="W322" s="64"/>
      <c r="X322" s="64"/>
      <c r="AA322" s="64"/>
      <c r="AB322" s="64"/>
      <c r="AC322" s="64"/>
      <c r="AD322" s="64"/>
      <c r="AE322" s="64"/>
      <c r="AH322" s="64"/>
      <c r="AI322" s="64"/>
      <c r="AJ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4"/>
      <c r="G323" s="64"/>
      <c r="H323" s="64"/>
      <c r="I323" s="64"/>
      <c r="J323" s="64"/>
      <c r="M323" s="64"/>
      <c r="N323" s="64"/>
      <c r="O323" s="64"/>
      <c r="P323" s="64"/>
      <c r="Q323" s="64"/>
      <c r="T323" s="64"/>
      <c r="U323" s="64"/>
      <c r="V323" s="64"/>
      <c r="W323" s="64"/>
      <c r="X323" s="64"/>
      <c r="AA323" s="64"/>
      <c r="AB323" s="64"/>
      <c r="AC323" s="64"/>
      <c r="AD323" s="64"/>
      <c r="AE323" s="64"/>
      <c r="AH323" s="64"/>
      <c r="AI323" s="64"/>
      <c r="AJ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4"/>
      <c r="G324" s="64"/>
      <c r="H324" s="64"/>
      <c r="I324" s="64"/>
      <c r="J324" s="64"/>
      <c r="M324" s="64"/>
      <c r="N324" s="64"/>
      <c r="O324" s="64"/>
      <c r="P324" s="64"/>
      <c r="Q324" s="64"/>
      <c r="T324" s="64"/>
      <c r="U324" s="64"/>
      <c r="V324" s="64"/>
      <c r="W324" s="64"/>
      <c r="X324" s="64"/>
      <c r="AA324" s="64"/>
      <c r="AB324" s="64"/>
      <c r="AC324" s="64"/>
      <c r="AD324" s="64"/>
      <c r="AE324" s="64"/>
      <c r="AH324" s="64"/>
      <c r="AI324" s="64"/>
      <c r="AJ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4"/>
      <c r="G325" s="64"/>
      <c r="H325" s="64"/>
      <c r="I325" s="64"/>
      <c r="J325" s="64"/>
      <c r="M325" s="64"/>
      <c r="N325" s="64"/>
      <c r="O325" s="64"/>
      <c r="P325" s="64"/>
      <c r="Q325" s="64"/>
      <c r="T325" s="64"/>
      <c r="U325" s="64"/>
      <c r="V325" s="64"/>
      <c r="W325" s="64"/>
      <c r="X325" s="64"/>
      <c r="AA325" s="64"/>
      <c r="AB325" s="64"/>
      <c r="AC325" s="64"/>
      <c r="AD325" s="64"/>
      <c r="AE325" s="64"/>
      <c r="AH325" s="64"/>
      <c r="AI325" s="64"/>
      <c r="AJ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4"/>
      <c r="G326" s="64"/>
      <c r="H326" s="64"/>
      <c r="I326" s="64"/>
      <c r="J326" s="64"/>
      <c r="M326" s="64"/>
      <c r="N326" s="64"/>
      <c r="O326" s="64"/>
      <c r="P326" s="64"/>
      <c r="Q326" s="64"/>
      <c r="T326" s="64"/>
      <c r="U326" s="64"/>
      <c r="V326" s="64"/>
      <c r="W326" s="64"/>
      <c r="X326" s="64"/>
      <c r="AA326" s="64"/>
      <c r="AB326" s="64"/>
      <c r="AC326" s="64"/>
      <c r="AD326" s="64"/>
      <c r="AE326" s="64"/>
      <c r="AH326" s="64"/>
      <c r="AI326" s="64"/>
      <c r="AJ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4"/>
      <c r="G327" s="64"/>
      <c r="H327" s="64"/>
      <c r="I327" s="64"/>
      <c r="J327" s="64"/>
      <c r="M327" s="64"/>
      <c r="N327" s="64"/>
      <c r="O327" s="64"/>
      <c r="P327" s="64"/>
      <c r="Q327" s="64"/>
      <c r="T327" s="64"/>
      <c r="U327" s="64"/>
      <c r="V327" s="64"/>
      <c r="W327" s="64"/>
      <c r="X327" s="64"/>
      <c r="AA327" s="64"/>
      <c r="AB327" s="64"/>
      <c r="AC327" s="64"/>
      <c r="AD327" s="64"/>
      <c r="AE327" s="64"/>
      <c r="AH327" s="64"/>
      <c r="AI327" s="64"/>
      <c r="AJ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4"/>
      <c r="G328" s="64"/>
      <c r="H328" s="64"/>
      <c r="I328" s="64"/>
      <c r="J328" s="64"/>
      <c r="M328" s="64"/>
      <c r="N328" s="64"/>
      <c r="O328" s="64"/>
      <c r="P328" s="64"/>
      <c r="Q328" s="64"/>
      <c r="T328" s="64"/>
      <c r="U328" s="64"/>
      <c r="V328" s="64"/>
      <c r="W328" s="64"/>
      <c r="X328" s="64"/>
      <c r="AA328" s="64"/>
      <c r="AB328" s="64"/>
      <c r="AC328" s="64"/>
      <c r="AD328" s="64"/>
      <c r="AE328" s="64"/>
      <c r="AH328" s="64"/>
      <c r="AI328" s="64"/>
      <c r="AJ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4"/>
      <c r="G329" s="64"/>
      <c r="H329" s="64"/>
      <c r="I329" s="64"/>
      <c r="J329" s="64"/>
      <c r="M329" s="64"/>
      <c r="N329" s="64"/>
      <c r="O329" s="64"/>
      <c r="P329" s="64"/>
      <c r="Q329" s="64"/>
      <c r="T329" s="64"/>
      <c r="U329" s="64"/>
      <c r="V329" s="64"/>
      <c r="W329" s="64"/>
      <c r="X329" s="64"/>
      <c r="AA329" s="64"/>
      <c r="AB329" s="64"/>
      <c r="AC329" s="64"/>
      <c r="AD329" s="64"/>
      <c r="AE329" s="64"/>
      <c r="AH329" s="64"/>
      <c r="AI329" s="64"/>
      <c r="AJ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4"/>
      <c r="G330" s="64"/>
      <c r="H330" s="64"/>
      <c r="I330" s="64"/>
      <c r="J330" s="64"/>
      <c r="M330" s="64"/>
      <c r="N330" s="64"/>
      <c r="O330" s="64"/>
      <c r="P330" s="64"/>
      <c r="Q330" s="64"/>
      <c r="T330" s="64"/>
      <c r="U330" s="64"/>
      <c r="V330" s="64"/>
      <c r="W330" s="64"/>
      <c r="X330" s="64"/>
      <c r="AA330" s="64"/>
      <c r="AB330" s="64"/>
      <c r="AC330" s="64"/>
      <c r="AD330" s="64"/>
      <c r="AE330" s="64"/>
      <c r="AH330" s="64"/>
      <c r="AI330" s="64"/>
      <c r="AJ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4"/>
      <c r="G331" s="64"/>
      <c r="H331" s="64"/>
      <c r="I331" s="64"/>
      <c r="J331" s="64"/>
      <c r="M331" s="64"/>
      <c r="N331" s="64"/>
      <c r="O331" s="64"/>
      <c r="P331" s="64"/>
      <c r="Q331" s="64"/>
      <c r="T331" s="64"/>
      <c r="U331" s="64"/>
      <c r="V331" s="64"/>
      <c r="W331" s="64"/>
      <c r="X331" s="64"/>
      <c r="AA331" s="64"/>
      <c r="AB331" s="64"/>
      <c r="AC331" s="64"/>
      <c r="AD331" s="64"/>
      <c r="AE331" s="64"/>
      <c r="AH331" s="64"/>
      <c r="AI331" s="64"/>
      <c r="AJ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4"/>
      <c r="G332" s="64"/>
      <c r="H332" s="64"/>
      <c r="I332" s="64"/>
      <c r="J332" s="64"/>
      <c r="M332" s="64"/>
      <c r="N332" s="64"/>
      <c r="O332" s="64"/>
      <c r="P332" s="64"/>
      <c r="Q332" s="64"/>
      <c r="T332" s="64"/>
      <c r="U332" s="64"/>
      <c r="V332" s="64"/>
      <c r="W332" s="64"/>
      <c r="X332" s="64"/>
      <c r="AA332" s="64"/>
      <c r="AB332" s="64"/>
      <c r="AC332" s="64"/>
      <c r="AD332" s="64"/>
      <c r="AE332" s="64"/>
      <c r="AH332" s="64"/>
      <c r="AI332" s="64"/>
      <c r="AJ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4"/>
      <c r="G333" s="64"/>
      <c r="H333" s="64"/>
      <c r="I333" s="64"/>
      <c r="J333" s="64"/>
      <c r="M333" s="64"/>
      <c r="N333" s="64"/>
      <c r="O333" s="64"/>
      <c r="P333" s="64"/>
      <c r="Q333" s="64"/>
      <c r="T333" s="64"/>
      <c r="U333" s="64"/>
      <c r="V333" s="64"/>
      <c r="W333" s="64"/>
      <c r="X333" s="64"/>
      <c r="AA333" s="64"/>
      <c r="AB333" s="64"/>
      <c r="AC333" s="64"/>
      <c r="AD333" s="64"/>
      <c r="AE333" s="64"/>
      <c r="AH333" s="64"/>
      <c r="AI333" s="64"/>
      <c r="AJ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4"/>
      <c r="G334" s="64"/>
      <c r="H334" s="64"/>
      <c r="I334" s="64"/>
      <c r="J334" s="64"/>
      <c r="M334" s="64"/>
      <c r="N334" s="64"/>
      <c r="O334" s="64"/>
      <c r="P334" s="64"/>
      <c r="Q334" s="64"/>
      <c r="T334" s="64"/>
      <c r="U334" s="64"/>
      <c r="V334" s="64"/>
      <c r="W334" s="64"/>
      <c r="X334" s="64"/>
      <c r="AA334" s="64"/>
      <c r="AB334" s="64"/>
      <c r="AC334" s="64"/>
      <c r="AD334" s="64"/>
      <c r="AE334" s="64"/>
      <c r="AH334" s="64"/>
      <c r="AI334" s="64"/>
      <c r="AJ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4"/>
      <c r="G335" s="64"/>
      <c r="H335" s="64"/>
      <c r="I335" s="64"/>
      <c r="J335" s="64"/>
      <c r="M335" s="64"/>
      <c r="N335" s="64"/>
      <c r="O335" s="64"/>
      <c r="P335" s="64"/>
      <c r="Q335" s="64"/>
      <c r="T335" s="64"/>
      <c r="U335" s="64"/>
      <c r="V335" s="64"/>
      <c r="W335" s="64"/>
      <c r="X335" s="64"/>
      <c r="AA335" s="64"/>
      <c r="AB335" s="64"/>
      <c r="AC335" s="64"/>
      <c r="AD335" s="64"/>
      <c r="AE335" s="64"/>
      <c r="AH335" s="64"/>
      <c r="AI335" s="64"/>
      <c r="AJ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4"/>
      <c r="G336" s="64"/>
      <c r="H336" s="64"/>
      <c r="I336" s="64"/>
      <c r="J336" s="64"/>
      <c r="M336" s="64"/>
      <c r="N336" s="64"/>
      <c r="O336" s="64"/>
      <c r="P336" s="64"/>
      <c r="Q336" s="64"/>
      <c r="T336" s="64"/>
      <c r="U336" s="64"/>
      <c r="V336" s="64"/>
      <c r="W336" s="64"/>
      <c r="X336" s="64"/>
      <c r="AA336" s="64"/>
      <c r="AB336" s="64"/>
      <c r="AC336" s="64"/>
      <c r="AD336" s="64"/>
      <c r="AE336" s="64"/>
      <c r="AH336" s="64"/>
      <c r="AI336" s="64"/>
      <c r="AJ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4"/>
      <c r="G337" s="64"/>
      <c r="H337" s="64"/>
      <c r="I337" s="64"/>
      <c r="J337" s="64"/>
      <c r="M337" s="64"/>
      <c r="N337" s="64"/>
      <c r="O337" s="64"/>
      <c r="P337" s="64"/>
      <c r="Q337" s="64"/>
      <c r="T337" s="64"/>
      <c r="U337" s="64"/>
      <c r="V337" s="64"/>
      <c r="W337" s="64"/>
      <c r="X337" s="64"/>
      <c r="AA337" s="64"/>
      <c r="AB337" s="64"/>
      <c r="AC337" s="64"/>
      <c r="AD337" s="64"/>
      <c r="AE337" s="64"/>
      <c r="AH337" s="64"/>
      <c r="AI337" s="64"/>
      <c r="AJ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4"/>
      <c r="G338" s="64"/>
      <c r="H338" s="64"/>
      <c r="I338" s="64"/>
      <c r="J338" s="64"/>
      <c r="M338" s="64"/>
      <c r="N338" s="64"/>
      <c r="O338" s="64"/>
      <c r="P338" s="64"/>
      <c r="Q338" s="64"/>
      <c r="T338" s="64"/>
      <c r="U338" s="64"/>
      <c r="V338" s="64"/>
      <c r="W338" s="64"/>
      <c r="X338" s="64"/>
      <c r="AA338" s="64"/>
      <c r="AB338" s="64"/>
      <c r="AC338" s="64"/>
      <c r="AD338" s="64"/>
      <c r="AE338" s="64"/>
      <c r="AH338" s="64"/>
      <c r="AI338" s="64"/>
      <c r="AJ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4"/>
      <c r="G339" s="64"/>
      <c r="H339" s="64"/>
      <c r="I339" s="64"/>
      <c r="J339" s="64"/>
      <c r="M339" s="64"/>
      <c r="N339" s="64"/>
      <c r="O339" s="64"/>
      <c r="P339" s="64"/>
      <c r="Q339" s="64"/>
      <c r="T339" s="64"/>
      <c r="U339" s="64"/>
      <c r="V339" s="64"/>
      <c r="W339" s="64"/>
      <c r="X339" s="64"/>
      <c r="AA339" s="64"/>
      <c r="AB339" s="64"/>
      <c r="AC339" s="64"/>
      <c r="AD339" s="64"/>
      <c r="AE339" s="64"/>
      <c r="AH339" s="64"/>
      <c r="AI339" s="64"/>
      <c r="AJ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t+wFsi6FzSFost6MxhpxAHCEl5xfQjq1ocLzIjQFZocZBLY43T3NZu1uIlySCTQ8wTxhvOSdPzplCH7cN7UH2Q==" saltValue="q/r2PvIEQrkk2lCkxRSLbA==" spinCount="100000" sqref="E59:AJ59 E4:AJ28 E31:AJ39 F29:AJ30" name="BR and PK" securityDescriptor="O:WDG:WDD:(A;;CC;;;S-1-5-21-4266775999-1434241158-117269649-15173)(A;;CC;;;S-1-5-21-4266775999-1434241158-117269649-21590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Sp7V98EImvjwa+ihhpB3Cm11TodCVkFP6ovPzBIhkZWHgVcwAtC6qR2uyfPuBYx9R9vfscWILhCJQ+c+LbYnJw==" saltValue="ljkIuuLKRFx/vBZilDplFA==" spinCount="100000" sqref="A1:XFD28 A31:XFD1048576 F29:AJ30" name="Payroll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29:E30 AK29:XFD30" name="Payroll_1" securityDescriptor="O:WDG:WDD:(A;;CC;;;S-1-5-21-4266775999-1434241158-117269649-15173)"/>
    <protectedRange algorithmName="SHA-512" hashValue="t+wFsi6FzSFost6MxhpxAHCEl5xfQjq1ocLzIjQFZocZBLY43T3NZu1uIlySCTQ8wTxhvOSdPzplCH7cN7UH2Q==" saltValue="q/r2PvIEQrkk2lCkxRSLbA==" spinCount="100000" sqref="E29:E30" name="BR and PK_1" securityDescriptor="O:WDG:WDD:(A;;CC;;;S-1-5-21-4266775999-1434241158-117269649-15173)(A;;CC;;;S-1-5-21-4266775999-1434241158-117269649-21590)"/>
  </protectedRanges>
  <mergeCells count="4">
    <mergeCell ref="A1:A2"/>
    <mergeCell ref="C1:C2"/>
    <mergeCell ref="D1:D2"/>
    <mergeCell ref="E1:E2"/>
  </mergeCells>
  <conditionalFormatting sqref="F3:AK25 F40:AJ76 AK40:AK87 K133:X133 F31:AK39 F27:AK28 F26:Z26 AD26 AF26:AK26">
    <cfRule type="cellIs" dxfId="18" priority="7" operator="lessThan">
      <formula>0</formula>
    </cfRule>
  </conditionalFormatting>
  <conditionalFormatting sqref="M80 P80 R80:AJ80 F131:H131 J131">
    <cfRule type="cellIs" dxfId="17" priority="10" operator="lessThan">
      <formula>0</formula>
    </cfRule>
  </conditionalFormatting>
  <conditionalFormatting sqref="M120:X123">
    <cfRule type="cellIs" dxfId="16" priority="8" operator="lessThan">
      <formula>0</formula>
    </cfRule>
  </conditionalFormatting>
  <conditionalFormatting sqref="M128:X132">
    <cfRule type="cellIs" dxfId="15" priority="5" operator="lessThan">
      <formula>0</formula>
    </cfRule>
  </conditionalFormatting>
  <conditionalFormatting sqref="M77:AJ79 F77:L87 M81:AJ87 F88:AK117 M118:AJ119 F118:J130 K118:L132 AK118:AK135 F132:J135 K134:AJ135">
    <cfRule type="cellIs" dxfId="14" priority="6" operator="lessThan">
      <formula>0</formula>
    </cfRule>
  </conditionalFormatting>
  <conditionalFormatting sqref="M124:AJ124 M125:X126 M127:Q127 S127:X127">
    <cfRule type="cellIs" dxfId="13" priority="9" operator="lessThan">
      <formula>0</formula>
    </cfRule>
  </conditionalFormatting>
  <conditionalFormatting sqref="Z120:AJ123">
    <cfRule type="cellIs" dxfId="12" priority="4" operator="lessThan">
      <formula>0</formula>
    </cfRule>
  </conditionalFormatting>
  <conditionalFormatting sqref="Z125:AJ133">
    <cfRule type="cellIs" dxfId="11" priority="3" operator="lessThan">
      <formula>0</formula>
    </cfRule>
  </conditionalFormatting>
  <conditionalFormatting sqref="AK29:AK30">
    <cfRule type="cellIs" dxfId="10" priority="2" operator="lessThan">
      <formula>0</formula>
    </cfRule>
  </conditionalFormatting>
  <conditionalFormatting sqref="F29:AJ30">
    <cfRule type="cellIs" dxfId="9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190C-1344-495B-88E7-8D33EF2058B1}">
  <dimension ref="A1:AS339"/>
  <sheetViews>
    <sheetView zoomScale="80" zoomScaleNormal="80" workbookViewId="0">
      <pane xSplit="1" ySplit="2" topLeftCell="B12" activePane="bottomRight" state="frozen"/>
      <selection pane="bottomRight" activeCell="A26" sqref="A26:XFD26"/>
      <selection pane="bottomLeft" activeCell="F11" sqref="F11"/>
      <selection pane="topRight" activeCell="F11" sqref="F11"/>
    </sheetView>
  </sheetViews>
  <sheetFormatPr defaultColWidth="9.140625" defaultRowHeight="16.149999999999999"/>
  <cols>
    <col min="1" max="1" width="26.28515625" style="67" customWidth="1"/>
    <col min="2" max="2" width="7.7109375" style="66" bestFit="1" customWidth="1"/>
    <col min="3" max="3" width="7.5703125" style="66" customWidth="1"/>
    <col min="4" max="4" width="7.28515625" style="66" customWidth="1"/>
    <col min="5" max="5" width="6.7109375" style="66" customWidth="1"/>
    <col min="6" max="6" width="5.5703125" style="65" bestFit="1" customWidth="1"/>
    <col min="7" max="7" width="6.140625" style="68" customWidth="1"/>
    <col min="8" max="8" width="4.5703125" style="68" bestFit="1" customWidth="1"/>
    <col min="9" max="11" width="5.5703125" style="64" bestFit="1" customWidth="1"/>
    <col min="12" max="12" width="5.5703125" style="64" customWidth="1"/>
    <col min="13" max="13" width="5.5703125" style="64" bestFit="1" customWidth="1"/>
    <col min="14" max="15" width="5.5703125" style="68" bestFit="1" customWidth="1"/>
    <col min="16" max="16" width="5.5703125" style="64" bestFit="1" customWidth="1"/>
    <col min="17" max="17" width="6.140625" style="64" customWidth="1"/>
    <col min="18" max="18" width="5.5703125" style="64" customWidth="1"/>
    <col min="19" max="19" width="6.7109375" style="64" bestFit="1" customWidth="1"/>
    <col min="20" max="20" width="4.5703125" style="64" bestFit="1" customWidth="1"/>
    <col min="21" max="21" width="5.140625" style="68" bestFit="1" customWidth="1"/>
    <col min="22" max="22" width="5.5703125" style="68" bestFit="1" customWidth="1"/>
    <col min="23" max="23" width="4.5703125" style="65" bestFit="1" customWidth="1"/>
    <col min="24" max="24" width="5.7109375" style="64" bestFit="1" customWidth="1"/>
    <col min="25" max="26" width="5.5703125" style="64" bestFit="1" customWidth="1"/>
    <col min="27" max="27" width="6.7109375" style="64" bestFit="1" customWidth="1"/>
    <col min="28" max="28" width="5.140625" style="68" bestFit="1" customWidth="1"/>
    <col min="29" max="29" width="5" style="68" bestFit="1" customWidth="1"/>
    <col min="30" max="30" width="6.7109375" style="64" bestFit="1" customWidth="1"/>
    <col min="31" max="31" width="5.5703125" style="64" bestFit="1" customWidth="1"/>
    <col min="32" max="33" width="4.5703125" style="64" bestFit="1" customWidth="1"/>
    <col min="34" max="34" width="5.7109375" style="64" bestFit="1" customWidth="1"/>
    <col min="35" max="35" width="6.28515625" style="68" customWidth="1"/>
    <col min="36" max="36" width="5.140625" style="68" customWidth="1"/>
    <col min="37" max="37" width="9" style="62" bestFit="1" customWidth="1"/>
    <col min="38" max="38" width="17.140625" style="63" bestFit="1" customWidth="1"/>
    <col min="39" max="39" width="25.85546875" style="62" bestFit="1" customWidth="1"/>
    <col min="40" max="16384" width="9.140625" style="62"/>
  </cols>
  <sheetData>
    <row r="1" spans="1:45" ht="22.15" customHeight="1">
      <c r="A1" s="164" t="s">
        <v>329</v>
      </c>
      <c r="B1" s="117" t="s">
        <v>330</v>
      </c>
      <c r="C1" s="166" t="s">
        <v>18</v>
      </c>
      <c r="D1" s="166" t="s">
        <v>331</v>
      </c>
      <c r="E1" s="167" t="s">
        <v>332</v>
      </c>
      <c r="F1" s="79" t="s">
        <v>335</v>
      </c>
      <c r="G1" s="120" t="s">
        <v>336</v>
      </c>
      <c r="H1" s="120" t="s">
        <v>337</v>
      </c>
      <c r="I1" s="116" t="s">
        <v>338</v>
      </c>
      <c r="J1" s="116" t="s">
        <v>339</v>
      </c>
      <c r="K1" s="116" t="s">
        <v>333</v>
      </c>
      <c r="L1" s="116" t="s">
        <v>334</v>
      </c>
      <c r="M1" s="116" t="s">
        <v>335</v>
      </c>
      <c r="N1" s="120" t="s">
        <v>336</v>
      </c>
      <c r="O1" s="120" t="s">
        <v>337</v>
      </c>
      <c r="P1" s="116" t="s">
        <v>338</v>
      </c>
      <c r="Q1" s="116" t="s">
        <v>339</v>
      </c>
      <c r="R1" s="116" t="s">
        <v>333</v>
      </c>
      <c r="S1" s="116" t="s">
        <v>334</v>
      </c>
      <c r="T1" s="116" t="s">
        <v>335</v>
      </c>
      <c r="U1" s="120" t="s">
        <v>336</v>
      </c>
      <c r="V1" s="120" t="s">
        <v>337</v>
      </c>
      <c r="W1" s="79" t="s">
        <v>338</v>
      </c>
      <c r="X1" s="116" t="s">
        <v>339</v>
      </c>
      <c r="Y1" s="116" t="s">
        <v>333</v>
      </c>
      <c r="Z1" s="116" t="s">
        <v>334</v>
      </c>
      <c r="AA1" s="116" t="s">
        <v>335</v>
      </c>
      <c r="AB1" s="120" t="s">
        <v>336</v>
      </c>
      <c r="AC1" s="120" t="s">
        <v>337</v>
      </c>
      <c r="AD1" s="116" t="s">
        <v>338</v>
      </c>
      <c r="AE1" s="116" t="s">
        <v>339</v>
      </c>
      <c r="AF1" s="116" t="s">
        <v>333</v>
      </c>
      <c r="AG1" s="116" t="s">
        <v>334</v>
      </c>
      <c r="AH1" s="116" t="s">
        <v>335</v>
      </c>
      <c r="AI1" s="120" t="s">
        <v>336</v>
      </c>
      <c r="AJ1" s="120" t="s">
        <v>337</v>
      </c>
      <c r="AK1" s="116"/>
      <c r="AM1" s="115"/>
    </row>
    <row r="2" spans="1:45" ht="67.150000000000006" customHeight="1" thickBot="1">
      <c r="A2" s="165"/>
      <c r="B2" s="114" t="s">
        <v>340</v>
      </c>
      <c r="C2" s="166"/>
      <c r="D2" s="166"/>
      <c r="E2" s="167"/>
      <c r="F2" s="113">
        <v>46388</v>
      </c>
      <c r="G2" s="129">
        <v>46389</v>
      </c>
      <c r="H2" s="129">
        <v>46390</v>
      </c>
      <c r="I2" s="112">
        <v>46391</v>
      </c>
      <c r="J2" s="112">
        <v>46392</v>
      </c>
      <c r="K2" s="112">
        <v>46393</v>
      </c>
      <c r="L2" s="112">
        <v>46394</v>
      </c>
      <c r="M2" s="112">
        <v>46395</v>
      </c>
      <c r="N2" s="129">
        <v>46396</v>
      </c>
      <c r="O2" s="129">
        <v>46397</v>
      </c>
      <c r="P2" s="112">
        <v>46398</v>
      </c>
      <c r="Q2" s="112">
        <v>46399</v>
      </c>
      <c r="R2" s="112">
        <v>46400</v>
      </c>
      <c r="S2" s="112">
        <v>46401</v>
      </c>
      <c r="T2" s="112">
        <v>46402</v>
      </c>
      <c r="U2" s="129">
        <v>46403</v>
      </c>
      <c r="V2" s="129">
        <v>46404</v>
      </c>
      <c r="W2" s="113">
        <v>46405</v>
      </c>
      <c r="X2" s="112">
        <v>46406</v>
      </c>
      <c r="Y2" s="112">
        <v>46407</v>
      </c>
      <c r="Z2" s="112">
        <v>46408</v>
      </c>
      <c r="AA2" s="112">
        <v>46409</v>
      </c>
      <c r="AB2" s="129">
        <v>46410</v>
      </c>
      <c r="AC2" s="129">
        <v>46411</v>
      </c>
      <c r="AD2" s="112">
        <v>46412</v>
      </c>
      <c r="AE2" s="112">
        <v>46413</v>
      </c>
      <c r="AF2" s="112">
        <v>46414</v>
      </c>
      <c r="AG2" s="112">
        <v>46415</v>
      </c>
      <c r="AH2" s="112">
        <v>46416</v>
      </c>
      <c r="AI2" s="129">
        <v>46417</v>
      </c>
      <c r="AJ2" s="129">
        <v>46418</v>
      </c>
      <c r="AK2" s="111" t="s">
        <v>341</v>
      </c>
      <c r="AL2" s="63" t="s">
        <v>342</v>
      </c>
    </row>
    <row r="3" spans="1:45" ht="16.7" thickBot="1">
      <c r="A3" s="89" t="s">
        <v>343</v>
      </c>
      <c r="D3" s="86"/>
      <c r="AK3" s="78"/>
    </row>
    <row r="4" spans="1:45">
      <c r="A4" s="67" t="s">
        <v>88</v>
      </c>
      <c r="B4" s="84" t="s">
        <v>89</v>
      </c>
      <c r="C4" s="66" t="s">
        <v>64</v>
      </c>
      <c r="D4" s="81" t="s">
        <v>90</v>
      </c>
      <c r="E4" s="66">
        <v>10.7</v>
      </c>
      <c r="F4" s="79"/>
      <c r="G4" s="120"/>
      <c r="H4" s="120"/>
      <c r="I4" s="70"/>
      <c r="J4" s="70"/>
      <c r="K4" s="70"/>
      <c r="L4" s="70"/>
      <c r="M4" s="70"/>
      <c r="N4" s="120"/>
      <c r="O4" s="120"/>
      <c r="P4" s="70"/>
      <c r="Q4" s="70"/>
      <c r="R4" s="70"/>
      <c r="S4" s="70"/>
      <c r="T4" s="70"/>
      <c r="U4" s="120"/>
      <c r="V4" s="120"/>
      <c r="W4" s="79"/>
      <c r="X4" s="70"/>
      <c r="Y4" s="70"/>
      <c r="Z4" s="70"/>
      <c r="AA4" s="70"/>
      <c r="AB4" s="120"/>
      <c r="AC4" s="120"/>
      <c r="AD4" s="70"/>
      <c r="AE4" s="70"/>
      <c r="AF4" s="70"/>
      <c r="AG4" s="70"/>
      <c r="AH4" s="70"/>
      <c r="AI4" s="120"/>
      <c r="AJ4" s="120"/>
      <c r="AK4" s="78">
        <f t="shared" ref="AK4:AK12" si="0">SUM(F4:AJ4)</f>
        <v>0</v>
      </c>
      <c r="AL4" s="83"/>
    </row>
    <row r="5" spans="1:45">
      <c r="A5" s="67" t="s">
        <v>122</v>
      </c>
      <c r="B5" s="84" t="s">
        <v>123</v>
      </c>
      <c r="C5" s="66" t="s">
        <v>64</v>
      </c>
      <c r="D5" s="81" t="s">
        <v>90</v>
      </c>
      <c r="E5" s="66">
        <v>10.7</v>
      </c>
      <c r="F5" s="79"/>
      <c r="G5" s="120"/>
      <c r="H5" s="120"/>
      <c r="I5" s="70"/>
      <c r="J5" s="70"/>
      <c r="K5" s="70"/>
      <c r="L5" s="70"/>
      <c r="M5" s="70"/>
      <c r="N5" s="120"/>
      <c r="O5" s="120"/>
      <c r="P5" s="70"/>
      <c r="Q5" s="70"/>
      <c r="R5" s="70"/>
      <c r="S5" s="70"/>
      <c r="T5" s="70"/>
      <c r="U5" s="120"/>
      <c r="V5" s="120"/>
      <c r="W5" s="79"/>
      <c r="X5" s="70"/>
      <c r="Y5" s="70"/>
      <c r="Z5" s="70"/>
      <c r="AA5" s="70"/>
      <c r="AB5" s="120"/>
      <c r="AC5" s="120"/>
      <c r="AD5" s="70"/>
      <c r="AE5" s="70"/>
      <c r="AF5" s="70"/>
      <c r="AG5" s="70"/>
      <c r="AH5" s="70"/>
      <c r="AI5" s="120"/>
      <c r="AJ5" s="120"/>
      <c r="AK5" s="78">
        <f t="shared" si="0"/>
        <v>0</v>
      </c>
      <c r="AL5" s="83"/>
    </row>
    <row r="6" spans="1:45">
      <c r="A6" s="82" t="s">
        <v>126</v>
      </c>
      <c r="B6" s="41" t="s">
        <v>127</v>
      </c>
      <c r="C6" s="66" t="s">
        <v>64</v>
      </c>
      <c r="D6" s="81" t="s">
        <v>90</v>
      </c>
      <c r="E6" s="66">
        <v>8</v>
      </c>
      <c r="F6" s="79"/>
      <c r="G6" s="120"/>
      <c r="H6" s="120"/>
      <c r="I6" s="70"/>
      <c r="J6" s="70"/>
      <c r="K6" s="70"/>
      <c r="L6" s="70"/>
      <c r="M6" s="70"/>
      <c r="N6" s="120"/>
      <c r="O6" s="120"/>
      <c r="P6" s="70"/>
      <c r="Q6" s="70"/>
      <c r="R6" s="70"/>
      <c r="S6" s="70"/>
      <c r="T6" s="70"/>
      <c r="U6" s="120"/>
      <c r="V6" s="120"/>
      <c r="W6" s="79"/>
      <c r="X6" s="70"/>
      <c r="Y6" s="70"/>
      <c r="Z6" s="70"/>
      <c r="AA6" s="70"/>
      <c r="AB6" s="120"/>
      <c r="AC6" s="120"/>
      <c r="AD6" s="70"/>
      <c r="AE6" s="70"/>
      <c r="AF6" s="70"/>
      <c r="AG6" s="70"/>
      <c r="AH6" s="70"/>
      <c r="AI6" s="120"/>
      <c r="AJ6" s="120"/>
      <c r="AK6" s="78">
        <f t="shared" si="0"/>
        <v>0</v>
      </c>
    </row>
    <row r="7" spans="1:45">
      <c r="A7" s="82" t="s">
        <v>147</v>
      </c>
      <c r="B7" s="41" t="s">
        <v>148</v>
      </c>
      <c r="C7" s="66" t="s">
        <v>64</v>
      </c>
      <c r="D7" s="81" t="s">
        <v>90</v>
      </c>
      <c r="E7" s="66">
        <v>8</v>
      </c>
      <c r="F7" s="79"/>
      <c r="G7" s="120"/>
      <c r="H7" s="120"/>
      <c r="I7" s="70"/>
      <c r="J7" s="70"/>
      <c r="K7" s="70"/>
      <c r="L7" s="70"/>
      <c r="M7" s="70"/>
      <c r="N7" s="120"/>
      <c r="O7" s="120"/>
      <c r="P7" s="70"/>
      <c r="Q7" s="70"/>
      <c r="R7" s="70"/>
      <c r="S7" s="70"/>
      <c r="T7" s="70"/>
      <c r="U7" s="120"/>
      <c r="V7" s="120"/>
      <c r="W7" s="79"/>
      <c r="X7" s="70"/>
      <c r="Y7" s="70"/>
      <c r="Z7" s="70"/>
      <c r="AA7" s="70"/>
      <c r="AB7" s="120"/>
      <c r="AC7" s="120"/>
      <c r="AD7" s="70"/>
      <c r="AE7" s="70"/>
      <c r="AF7" s="70"/>
      <c r="AG7" s="70"/>
      <c r="AH7" s="70">
        <v>8</v>
      </c>
      <c r="AI7" s="120"/>
      <c r="AJ7" s="120"/>
      <c r="AK7" s="78">
        <f t="shared" si="0"/>
        <v>8</v>
      </c>
      <c r="AL7" s="83"/>
    </row>
    <row r="8" spans="1:45">
      <c r="A8" s="82" t="s">
        <v>227</v>
      </c>
      <c r="B8" s="41" t="s">
        <v>228</v>
      </c>
      <c r="C8" s="66" t="s">
        <v>64</v>
      </c>
      <c r="D8" s="81" t="s">
        <v>90</v>
      </c>
      <c r="E8" s="66">
        <v>10.7</v>
      </c>
      <c r="F8" s="109"/>
      <c r="G8" s="128"/>
      <c r="I8" s="108"/>
      <c r="J8" s="108"/>
      <c r="K8" s="108"/>
      <c r="L8" s="108"/>
      <c r="M8" s="108"/>
      <c r="N8" s="128"/>
      <c r="O8" s="128"/>
      <c r="P8" s="108"/>
      <c r="Q8" s="108"/>
      <c r="R8" s="108"/>
      <c r="S8" s="108"/>
      <c r="T8" s="108"/>
      <c r="U8" s="120"/>
      <c r="V8" s="128"/>
      <c r="W8" s="79"/>
      <c r="X8" s="70"/>
      <c r="Y8" s="108"/>
      <c r="Z8" s="108"/>
      <c r="AA8" s="108"/>
      <c r="AB8" s="128"/>
      <c r="AC8" s="128"/>
      <c r="AD8" s="70"/>
      <c r="AE8" s="70"/>
      <c r="AF8" s="70"/>
      <c r="AG8" s="70"/>
      <c r="AH8" s="70"/>
      <c r="AI8" s="120"/>
      <c r="AJ8" s="120"/>
      <c r="AK8" s="78">
        <f t="shared" si="0"/>
        <v>0</v>
      </c>
      <c r="AL8" s="83"/>
    </row>
    <row r="9" spans="1:45">
      <c r="A9" s="82" t="s">
        <v>275</v>
      </c>
      <c r="B9" s="41" t="s">
        <v>276</v>
      </c>
      <c r="C9" s="66" t="s">
        <v>64</v>
      </c>
      <c r="D9" s="81" t="s">
        <v>90</v>
      </c>
      <c r="E9" s="66">
        <v>10.7</v>
      </c>
      <c r="F9" s="79"/>
      <c r="G9" s="120"/>
      <c r="H9" s="120"/>
      <c r="I9" s="70"/>
      <c r="J9" s="70"/>
      <c r="K9" s="70"/>
      <c r="L9" s="70"/>
      <c r="M9" s="70"/>
      <c r="N9" s="120"/>
      <c r="O9" s="120"/>
      <c r="P9" s="70"/>
      <c r="Q9" s="70"/>
      <c r="R9" s="70"/>
      <c r="S9" s="70"/>
      <c r="T9" s="70"/>
      <c r="U9" s="120"/>
      <c r="V9" s="120"/>
      <c r="W9" s="79"/>
      <c r="X9" s="70">
        <v>10.7</v>
      </c>
      <c r="Y9" s="70"/>
      <c r="Z9" s="70">
        <v>10.7</v>
      </c>
      <c r="AA9" s="70"/>
      <c r="AB9" s="120"/>
      <c r="AC9" s="120"/>
      <c r="AD9" s="70"/>
      <c r="AE9" s="70">
        <v>10.7</v>
      </c>
      <c r="AF9" s="70"/>
      <c r="AG9" s="70"/>
      <c r="AH9" s="70"/>
      <c r="AI9" s="120"/>
      <c r="AJ9" s="120"/>
      <c r="AK9" s="78">
        <f t="shared" si="0"/>
        <v>32.099999999999994</v>
      </c>
      <c r="AL9" s="83"/>
    </row>
    <row r="10" spans="1:45">
      <c r="A10" s="67" t="s">
        <v>68</v>
      </c>
      <c r="B10" s="84" t="s">
        <v>69</v>
      </c>
      <c r="C10" s="66" t="s">
        <v>64</v>
      </c>
      <c r="D10" s="85" t="s">
        <v>72</v>
      </c>
      <c r="E10" s="66">
        <v>8</v>
      </c>
      <c r="F10" s="79"/>
      <c r="G10" s="120"/>
      <c r="H10" s="120"/>
      <c r="I10" s="70"/>
      <c r="J10" s="70"/>
      <c r="K10" s="70"/>
      <c r="L10" s="70"/>
      <c r="M10" s="70"/>
      <c r="N10" s="120"/>
      <c r="O10" s="120"/>
      <c r="P10" s="70"/>
      <c r="Q10" s="70"/>
      <c r="R10" s="70"/>
      <c r="S10" s="70"/>
      <c r="T10" s="70"/>
      <c r="U10" s="120"/>
      <c r="V10" s="120"/>
      <c r="W10" s="79"/>
      <c r="X10" s="70"/>
      <c r="Y10" s="70"/>
      <c r="Z10" s="70"/>
      <c r="AA10" s="70"/>
      <c r="AB10" s="120"/>
      <c r="AC10" s="120"/>
      <c r="AD10" s="70"/>
      <c r="AE10" s="70"/>
      <c r="AF10" s="70"/>
      <c r="AG10" s="70"/>
      <c r="AH10" s="70"/>
      <c r="AI10" s="120"/>
      <c r="AJ10" s="120"/>
      <c r="AK10" s="78">
        <f t="shared" si="0"/>
        <v>0</v>
      </c>
    </row>
    <row r="11" spans="1:45">
      <c r="A11" s="67" t="s">
        <v>344</v>
      </c>
      <c r="B11" s="84" t="s">
        <v>85</v>
      </c>
      <c r="C11" s="66" t="s">
        <v>75</v>
      </c>
      <c r="D11" s="85" t="s">
        <v>72</v>
      </c>
      <c r="E11" s="66">
        <v>9</v>
      </c>
      <c r="F11" s="79"/>
      <c r="G11" s="120"/>
      <c r="H11" s="120"/>
      <c r="I11" s="70"/>
      <c r="J11" s="70"/>
      <c r="K11" s="70"/>
      <c r="L11" s="70"/>
      <c r="M11" s="70"/>
      <c r="N11" s="120"/>
      <c r="O11" s="120"/>
      <c r="P11" s="70"/>
      <c r="Q11" s="70"/>
      <c r="R11" s="70"/>
      <c r="S11" s="70"/>
      <c r="T11" s="70"/>
      <c r="U11" s="120"/>
      <c r="V11" s="120"/>
      <c r="W11" s="79"/>
      <c r="X11" s="70"/>
      <c r="Y11" s="70"/>
      <c r="Z11" s="70"/>
      <c r="AA11" s="70"/>
      <c r="AB11" s="120"/>
      <c r="AC11" s="120"/>
      <c r="AD11" s="70"/>
      <c r="AE11" s="70"/>
      <c r="AF11" s="70"/>
      <c r="AG11" s="70"/>
      <c r="AH11" s="70"/>
      <c r="AI11" s="120"/>
      <c r="AJ11" s="120"/>
      <c r="AK11" s="78">
        <f t="shared" si="0"/>
        <v>0</v>
      </c>
    </row>
    <row r="12" spans="1:45">
      <c r="A12" s="67" t="s">
        <v>91</v>
      </c>
      <c r="B12" s="84" t="s">
        <v>92</v>
      </c>
      <c r="C12" s="66" t="s">
        <v>75</v>
      </c>
      <c r="D12" s="85" t="s">
        <v>72</v>
      </c>
      <c r="E12" s="66">
        <v>8</v>
      </c>
      <c r="F12" s="79"/>
      <c r="G12" s="120"/>
      <c r="H12" s="120"/>
      <c r="I12" s="70"/>
      <c r="J12" s="70"/>
      <c r="K12" s="70"/>
      <c r="L12" s="70"/>
      <c r="M12" s="70"/>
      <c r="N12" s="120"/>
      <c r="O12" s="120"/>
      <c r="P12" s="70"/>
      <c r="Q12" s="70"/>
      <c r="R12" s="70"/>
      <c r="S12" s="70"/>
      <c r="T12" s="70"/>
      <c r="U12" s="120"/>
      <c r="V12" s="120"/>
      <c r="W12" s="79"/>
      <c r="X12" s="70"/>
      <c r="Y12" s="70"/>
      <c r="Z12" s="70"/>
      <c r="AA12" s="70"/>
      <c r="AB12" s="120"/>
      <c r="AC12" s="120"/>
      <c r="AD12" s="70"/>
      <c r="AE12" s="70"/>
      <c r="AF12" s="70"/>
      <c r="AG12" s="70"/>
      <c r="AH12" s="70"/>
      <c r="AI12" s="120"/>
      <c r="AJ12" s="120"/>
      <c r="AK12" s="78">
        <f t="shared" si="0"/>
        <v>0</v>
      </c>
    </row>
    <row r="13" spans="1:45" s="100" customFormat="1">
      <c r="A13" s="67" t="s">
        <v>100</v>
      </c>
      <c r="B13" s="41" t="s">
        <v>101</v>
      </c>
      <c r="C13" s="66" t="s">
        <v>64</v>
      </c>
      <c r="D13" s="85" t="s">
        <v>72</v>
      </c>
      <c r="E13" s="66">
        <v>8</v>
      </c>
      <c r="F13" s="79"/>
      <c r="G13" s="120"/>
      <c r="H13" s="120"/>
      <c r="I13" s="70"/>
      <c r="J13" s="70"/>
      <c r="K13" s="70"/>
      <c r="L13" s="70"/>
      <c r="M13" s="70"/>
      <c r="N13" s="120"/>
      <c r="O13" s="120"/>
      <c r="P13" s="70"/>
      <c r="Q13" s="70"/>
      <c r="R13" s="70"/>
      <c r="S13" s="70"/>
      <c r="T13" s="70"/>
      <c r="U13" s="120"/>
      <c r="V13" s="120"/>
      <c r="W13" s="79"/>
      <c r="X13" s="70"/>
      <c r="Y13" s="70"/>
      <c r="Z13" s="70"/>
      <c r="AA13" s="70"/>
      <c r="AB13" s="120"/>
      <c r="AC13" s="120"/>
      <c r="AD13" s="70"/>
      <c r="AE13" s="70"/>
      <c r="AF13" s="70"/>
      <c r="AG13" s="70"/>
      <c r="AH13" s="70"/>
      <c r="AI13" s="120"/>
      <c r="AJ13" s="120"/>
      <c r="AK13" s="78">
        <f>SUM(F13:AI13)</f>
        <v>0</v>
      </c>
      <c r="AL13" s="63"/>
      <c r="AM13" s="62"/>
      <c r="AN13" s="62"/>
      <c r="AO13" s="62"/>
      <c r="AP13" s="62"/>
      <c r="AQ13" s="62"/>
      <c r="AR13" s="62"/>
      <c r="AS13" s="62"/>
    </row>
    <row r="14" spans="1:45">
      <c r="A14" s="82" t="s">
        <v>104</v>
      </c>
      <c r="B14" s="41" t="s">
        <v>105</v>
      </c>
      <c r="C14" s="66" t="s">
        <v>64</v>
      </c>
      <c r="D14" s="85" t="s">
        <v>72</v>
      </c>
      <c r="E14" s="66">
        <v>8</v>
      </c>
      <c r="F14" s="79"/>
      <c r="G14" s="120"/>
      <c r="H14" s="120"/>
      <c r="I14" s="70"/>
      <c r="J14" s="70"/>
      <c r="K14" s="70"/>
      <c r="L14" s="70"/>
      <c r="M14" s="70"/>
      <c r="N14" s="120"/>
      <c r="O14" s="120"/>
      <c r="P14" s="70"/>
      <c r="Q14" s="70"/>
      <c r="R14" s="70"/>
      <c r="S14" s="70"/>
      <c r="T14" s="70"/>
      <c r="U14" s="120"/>
      <c r="V14" s="120"/>
      <c r="W14" s="79"/>
      <c r="X14" s="70"/>
      <c r="Y14" s="70"/>
      <c r="Z14" s="70"/>
      <c r="AA14" s="70"/>
      <c r="AB14" s="120"/>
      <c r="AC14" s="120"/>
      <c r="AD14" s="70"/>
      <c r="AE14" s="70"/>
      <c r="AF14" s="70"/>
      <c r="AG14" s="70"/>
      <c r="AH14" s="70"/>
      <c r="AI14" s="120"/>
      <c r="AJ14" s="120"/>
      <c r="AK14" s="78">
        <f t="shared" ref="AK14:AK58" si="1">SUM(F14:AJ14)</f>
        <v>0</v>
      </c>
    </row>
    <row r="15" spans="1:45">
      <c r="A15" s="82" t="s">
        <v>113</v>
      </c>
      <c r="B15" s="107" t="s">
        <v>114</v>
      </c>
      <c r="C15" s="66" t="s">
        <v>64</v>
      </c>
      <c r="D15" s="85" t="s">
        <v>72</v>
      </c>
      <c r="E15" s="66">
        <v>8</v>
      </c>
      <c r="F15" s="79"/>
      <c r="G15" s="120"/>
      <c r="H15" s="120"/>
      <c r="I15" s="70"/>
      <c r="J15" s="70"/>
      <c r="K15" s="70"/>
      <c r="L15" s="70"/>
      <c r="M15" s="70"/>
      <c r="N15" s="120"/>
      <c r="O15" s="120"/>
      <c r="P15" s="70"/>
      <c r="Q15" s="70"/>
      <c r="R15" s="70"/>
      <c r="S15" s="70"/>
      <c r="T15" s="70"/>
      <c r="U15" s="120"/>
      <c r="V15" s="120"/>
      <c r="W15" s="79"/>
      <c r="X15" s="70"/>
      <c r="Y15" s="70"/>
      <c r="Z15" s="70"/>
      <c r="AA15" s="70"/>
      <c r="AB15" s="120"/>
      <c r="AC15" s="120"/>
      <c r="AD15" s="70"/>
      <c r="AE15" s="70"/>
      <c r="AF15" s="70"/>
      <c r="AG15" s="70"/>
      <c r="AH15" s="70"/>
      <c r="AI15" s="120"/>
      <c r="AJ15" s="120"/>
      <c r="AK15" s="78">
        <f t="shared" si="1"/>
        <v>0</v>
      </c>
    </row>
    <row r="16" spans="1:45">
      <c r="A16" s="67" t="s">
        <v>139</v>
      </c>
      <c r="B16" s="84" t="s">
        <v>140</v>
      </c>
      <c r="C16" s="66" t="s">
        <v>75</v>
      </c>
      <c r="D16" s="86" t="s">
        <v>72</v>
      </c>
      <c r="E16" s="66">
        <v>8</v>
      </c>
      <c r="F16" s="79"/>
      <c r="G16" s="120"/>
      <c r="H16" s="120"/>
      <c r="I16" s="70"/>
      <c r="J16" s="70"/>
      <c r="K16" s="70"/>
      <c r="L16" s="70"/>
      <c r="M16" s="70"/>
      <c r="N16" s="120"/>
      <c r="O16" s="120"/>
      <c r="P16" s="70"/>
      <c r="Q16" s="70"/>
      <c r="R16" s="70"/>
      <c r="S16" s="70"/>
      <c r="T16" s="70"/>
      <c r="U16" s="120"/>
      <c r="V16" s="120"/>
      <c r="W16" s="79"/>
      <c r="X16" s="70"/>
      <c r="Y16" s="70"/>
      <c r="Z16" s="70"/>
      <c r="AA16" s="70"/>
      <c r="AB16" s="120"/>
      <c r="AC16" s="120"/>
      <c r="AD16" s="70"/>
      <c r="AE16" s="70"/>
      <c r="AF16" s="70"/>
      <c r="AG16" s="70"/>
      <c r="AH16" s="70"/>
      <c r="AI16" s="120"/>
      <c r="AJ16" s="120"/>
      <c r="AK16" s="78">
        <f t="shared" si="1"/>
        <v>0</v>
      </c>
    </row>
    <row r="17" spans="1:45">
      <c r="A17" s="67" t="s">
        <v>157</v>
      </c>
      <c r="B17" s="84" t="s">
        <v>158</v>
      </c>
      <c r="C17" s="66" t="s">
        <v>64</v>
      </c>
      <c r="D17" s="86" t="s">
        <v>72</v>
      </c>
      <c r="E17" s="66">
        <v>8</v>
      </c>
      <c r="F17" s="79"/>
      <c r="G17" s="120"/>
      <c r="H17" s="120"/>
      <c r="I17" s="70"/>
      <c r="J17" s="70"/>
      <c r="K17" s="70"/>
      <c r="L17" s="70"/>
      <c r="M17" s="70"/>
      <c r="N17" s="120"/>
      <c r="O17" s="120"/>
      <c r="P17" s="70"/>
      <c r="Q17" s="70"/>
      <c r="R17" s="70"/>
      <c r="S17" s="70"/>
      <c r="T17" s="70"/>
      <c r="U17" s="120"/>
      <c r="V17" s="120"/>
      <c r="W17" s="79"/>
      <c r="X17" s="70"/>
      <c r="Y17" s="70"/>
      <c r="Z17" s="70"/>
      <c r="AA17" s="70"/>
      <c r="AB17" s="120"/>
      <c r="AC17" s="120"/>
      <c r="AD17" s="70"/>
      <c r="AE17" s="70"/>
      <c r="AF17" s="70"/>
      <c r="AG17" s="70"/>
      <c r="AH17" s="70"/>
      <c r="AI17" s="120"/>
      <c r="AJ17" s="120"/>
      <c r="AK17" s="78">
        <f t="shared" si="1"/>
        <v>0</v>
      </c>
    </row>
    <row r="18" spans="1:45">
      <c r="A18" s="67" t="s">
        <v>345</v>
      </c>
      <c r="B18" s="84" t="s">
        <v>346</v>
      </c>
      <c r="C18" s="66" t="s">
        <v>75</v>
      </c>
      <c r="D18" s="110" t="s">
        <v>72</v>
      </c>
      <c r="E18" s="66">
        <v>8.5</v>
      </c>
      <c r="F18" s="79"/>
      <c r="G18" s="120"/>
      <c r="H18" s="120"/>
      <c r="I18" s="70"/>
      <c r="J18" s="70"/>
      <c r="K18" s="70"/>
      <c r="L18" s="70"/>
      <c r="M18" s="70"/>
      <c r="N18" s="120"/>
      <c r="O18" s="120"/>
      <c r="P18" s="70"/>
      <c r="Q18" s="70"/>
      <c r="R18" s="70"/>
      <c r="S18" s="70"/>
      <c r="T18" s="70"/>
      <c r="U18" s="120"/>
      <c r="V18" s="120"/>
      <c r="W18" s="79"/>
      <c r="X18" s="70"/>
      <c r="Y18" s="70"/>
      <c r="Z18" s="70"/>
      <c r="AA18" s="70"/>
      <c r="AB18" s="120"/>
      <c r="AC18" s="120"/>
      <c r="AD18" s="70"/>
      <c r="AE18" s="70"/>
      <c r="AF18" s="70"/>
      <c r="AG18" s="70"/>
      <c r="AH18" s="70"/>
      <c r="AI18" s="120"/>
      <c r="AJ18" s="120"/>
      <c r="AK18" s="78">
        <f t="shared" si="1"/>
        <v>0</v>
      </c>
      <c r="AL18" s="83"/>
    </row>
    <row r="19" spans="1:45">
      <c r="A19" s="82" t="s">
        <v>177</v>
      </c>
      <c r="B19" s="41" t="s">
        <v>178</v>
      </c>
      <c r="C19" s="66" t="s">
        <v>75</v>
      </c>
      <c r="D19" s="85" t="s">
        <v>72</v>
      </c>
      <c r="E19" s="66">
        <v>9</v>
      </c>
      <c r="F19" s="79"/>
      <c r="G19" s="120"/>
      <c r="H19" s="120"/>
      <c r="I19" s="70"/>
      <c r="J19" s="70"/>
      <c r="K19" s="70"/>
      <c r="L19" s="70"/>
      <c r="M19" s="70"/>
      <c r="N19" s="120"/>
      <c r="O19" s="120"/>
      <c r="P19" s="70"/>
      <c r="Q19" s="70"/>
      <c r="R19" s="70"/>
      <c r="S19" s="70"/>
      <c r="T19" s="70"/>
      <c r="U19" s="120"/>
      <c r="V19" s="120"/>
      <c r="W19" s="79"/>
      <c r="X19" s="70"/>
      <c r="Y19" s="70"/>
      <c r="Z19" s="70"/>
      <c r="AA19" s="70"/>
      <c r="AB19" s="120"/>
      <c r="AC19" s="120"/>
      <c r="AD19" s="70"/>
      <c r="AE19" s="70"/>
      <c r="AF19" s="70"/>
      <c r="AG19" s="70"/>
      <c r="AH19" s="70"/>
      <c r="AI19" s="120"/>
      <c r="AJ19" s="120"/>
      <c r="AK19" s="78">
        <f t="shared" si="1"/>
        <v>0</v>
      </c>
      <c r="AL19" s="83"/>
    </row>
    <row r="20" spans="1:45">
      <c r="A20" s="82" t="s">
        <v>183</v>
      </c>
      <c r="B20" s="107" t="s">
        <v>184</v>
      </c>
      <c r="C20" s="66" t="s">
        <v>64</v>
      </c>
      <c r="D20" s="85" t="s">
        <v>72</v>
      </c>
      <c r="E20" s="66">
        <v>8</v>
      </c>
      <c r="F20" s="79"/>
      <c r="G20" s="120"/>
      <c r="H20" s="120"/>
      <c r="I20" s="70"/>
      <c r="J20" s="70"/>
      <c r="K20" s="70"/>
      <c r="L20" s="70"/>
      <c r="M20" s="70"/>
      <c r="N20" s="120"/>
      <c r="O20" s="120"/>
      <c r="P20" s="70"/>
      <c r="Q20" s="70"/>
      <c r="R20" s="70"/>
      <c r="S20" s="70"/>
      <c r="T20" s="70"/>
      <c r="U20" s="120"/>
      <c r="V20" s="120"/>
      <c r="W20" s="79"/>
      <c r="X20" s="70"/>
      <c r="Y20" s="70"/>
      <c r="Z20" s="70"/>
      <c r="AA20" s="70"/>
      <c r="AB20" s="120"/>
      <c r="AC20" s="120"/>
      <c r="AD20" s="70"/>
      <c r="AE20" s="70"/>
      <c r="AF20" s="70"/>
      <c r="AG20" s="70"/>
      <c r="AH20" s="70"/>
      <c r="AI20" s="120"/>
      <c r="AJ20" s="120"/>
      <c r="AK20" s="78">
        <f t="shared" si="1"/>
        <v>0</v>
      </c>
    </row>
    <row r="21" spans="1:45">
      <c r="A21" s="82" t="s">
        <v>205</v>
      </c>
      <c r="B21" s="107" t="s">
        <v>206</v>
      </c>
      <c r="C21" s="66" t="s">
        <v>64</v>
      </c>
      <c r="D21" s="85" t="s">
        <v>72</v>
      </c>
      <c r="E21" s="66">
        <v>8</v>
      </c>
      <c r="F21" s="79"/>
      <c r="G21" s="120"/>
      <c r="H21" s="120"/>
      <c r="I21" s="70"/>
      <c r="J21" s="70"/>
      <c r="K21" s="70"/>
      <c r="L21" s="70"/>
      <c r="M21" s="70"/>
      <c r="N21" s="120"/>
      <c r="O21" s="120"/>
      <c r="P21" s="70"/>
      <c r="Q21" s="70"/>
      <c r="R21" s="70"/>
      <c r="S21" s="70"/>
      <c r="T21" s="70"/>
      <c r="U21" s="120"/>
      <c r="V21" s="120"/>
      <c r="W21" s="79"/>
      <c r="X21" s="70"/>
      <c r="Y21" s="70"/>
      <c r="Z21" s="70"/>
      <c r="AA21" s="70"/>
      <c r="AB21" s="120"/>
      <c r="AC21" s="120"/>
      <c r="AD21" s="70"/>
      <c r="AE21" s="70"/>
      <c r="AF21" s="70"/>
      <c r="AG21" s="70"/>
      <c r="AH21" s="70"/>
      <c r="AI21" s="120"/>
      <c r="AJ21" s="120"/>
      <c r="AK21" s="78">
        <f t="shared" si="1"/>
        <v>0</v>
      </c>
    </row>
    <row r="22" spans="1:45">
      <c r="A22" s="67" t="s">
        <v>215</v>
      </c>
      <c r="B22" s="84" t="s">
        <v>216</v>
      </c>
      <c r="C22" s="66" t="s">
        <v>75</v>
      </c>
      <c r="D22" s="87" t="s">
        <v>72</v>
      </c>
      <c r="E22" s="66">
        <v>10</v>
      </c>
      <c r="F22" s="79"/>
      <c r="G22" s="120"/>
      <c r="H22" s="120"/>
      <c r="I22" s="70"/>
      <c r="J22" s="70"/>
      <c r="K22" s="70"/>
      <c r="L22" s="70"/>
      <c r="M22" s="70"/>
      <c r="N22" s="120"/>
      <c r="O22" s="120"/>
      <c r="P22" s="70"/>
      <c r="Q22" s="70"/>
      <c r="R22" s="70"/>
      <c r="S22" s="70"/>
      <c r="T22" s="70"/>
      <c r="U22" s="120"/>
      <c r="V22" s="120"/>
      <c r="W22" s="79"/>
      <c r="X22" s="70"/>
      <c r="Y22" s="70"/>
      <c r="Z22" s="70"/>
      <c r="AA22" s="70"/>
      <c r="AB22" s="120"/>
      <c r="AC22" s="120"/>
      <c r="AD22" s="70"/>
      <c r="AE22" s="70"/>
      <c r="AF22" s="70"/>
      <c r="AG22" s="70"/>
      <c r="AH22" s="70"/>
      <c r="AI22" s="120"/>
      <c r="AJ22" s="120"/>
      <c r="AK22" s="78">
        <f t="shared" si="1"/>
        <v>0</v>
      </c>
      <c r="AL22" s="83"/>
    </row>
    <row r="23" spans="1:45">
      <c r="A23" s="67" t="s">
        <v>247</v>
      </c>
      <c r="B23" s="41" t="s">
        <v>248</v>
      </c>
      <c r="C23" s="66" t="s">
        <v>75</v>
      </c>
      <c r="D23" s="87" t="s">
        <v>72</v>
      </c>
      <c r="E23" s="66">
        <v>8</v>
      </c>
      <c r="F23" s="79"/>
      <c r="G23" s="120"/>
      <c r="H23" s="120"/>
      <c r="I23" s="70"/>
      <c r="J23" s="70"/>
      <c r="K23" s="70"/>
      <c r="L23" s="70"/>
      <c r="M23" s="70"/>
      <c r="N23" s="120"/>
      <c r="O23" s="120"/>
      <c r="P23" s="70"/>
      <c r="Q23" s="70"/>
      <c r="R23" s="70"/>
      <c r="S23" s="70"/>
      <c r="T23" s="70"/>
      <c r="U23" s="120"/>
      <c r="V23" s="120"/>
      <c r="W23" s="79"/>
      <c r="X23" s="70"/>
      <c r="Y23" s="70"/>
      <c r="Z23" s="70"/>
      <c r="AA23" s="70"/>
      <c r="AB23" s="120"/>
      <c r="AC23" s="120"/>
      <c r="AD23" s="70"/>
      <c r="AE23" s="70"/>
      <c r="AF23" s="70"/>
      <c r="AG23" s="70"/>
      <c r="AH23" s="70"/>
      <c r="AI23" s="120"/>
      <c r="AJ23" s="120"/>
      <c r="AK23" s="78">
        <f t="shared" si="1"/>
        <v>0</v>
      </c>
    </row>
    <row r="24" spans="1:45">
      <c r="A24" s="82" t="s">
        <v>251</v>
      </c>
      <c r="B24" s="41" t="s">
        <v>252</v>
      </c>
      <c r="C24" s="66" t="s">
        <v>64</v>
      </c>
      <c r="D24" s="85" t="s">
        <v>72</v>
      </c>
      <c r="E24" s="66">
        <v>8</v>
      </c>
      <c r="F24" s="79"/>
      <c r="G24" s="120"/>
      <c r="H24" s="120"/>
      <c r="I24" s="70"/>
      <c r="J24" s="70"/>
      <c r="K24" s="70"/>
      <c r="L24" s="70"/>
      <c r="M24" s="70"/>
      <c r="N24" s="120"/>
      <c r="O24" s="120"/>
      <c r="P24" s="70"/>
      <c r="Q24" s="70"/>
      <c r="R24" s="70"/>
      <c r="S24" s="70"/>
      <c r="T24" s="70"/>
      <c r="U24" s="120"/>
      <c r="V24" s="120"/>
      <c r="W24" s="79"/>
      <c r="X24" s="70"/>
      <c r="Y24" s="70"/>
      <c r="Z24" s="70"/>
      <c r="AA24" s="70"/>
      <c r="AB24" s="120"/>
      <c r="AC24" s="120"/>
      <c r="AD24" s="70"/>
      <c r="AE24" s="70"/>
      <c r="AF24" s="70"/>
      <c r="AG24" s="70"/>
      <c r="AH24" s="70"/>
      <c r="AI24" s="120"/>
      <c r="AJ24" s="120"/>
      <c r="AK24" s="78">
        <f t="shared" si="1"/>
        <v>0</v>
      </c>
    </row>
    <row r="25" spans="1:45" ht="15" customHeight="1">
      <c r="A25" s="67" t="s">
        <v>255</v>
      </c>
      <c r="B25" s="84" t="s">
        <v>256</v>
      </c>
      <c r="C25" s="66" t="s">
        <v>75</v>
      </c>
      <c r="D25" s="85" t="s">
        <v>72</v>
      </c>
      <c r="E25" s="66">
        <v>10</v>
      </c>
      <c r="F25" s="79"/>
      <c r="G25" s="120"/>
      <c r="H25" s="120"/>
      <c r="I25" s="70"/>
      <c r="J25" s="70"/>
      <c r="K25" s="70"/>
      <c r="L25" s="70"/>
      <c r="M25" s="70"/>
      <c r="N25" s="120"/>
      <c r="O25" s="120"/>
      <c r="P25" s="70"/>
      <c r="Q25" s="70"/>
      <c r="R25" s="70"/>
      <c r="S25" s="70"/>
      <c r="T25" s="70"/>
      <c r="U25" s="120"/>
      <c r="V25" s="120"/>
      <c r="W25" s="79"/>
      <c r="X25" s="70"/>
      <c r="Y25" s="70"/>
      <c r="Z25" s="70"/>
      <c r="AA25" s="70"/>
      <c r="AB25" s="120"/>
      <c r="AC25" s="120"/>
      <c r="AD25" s="70"/>
      <c r="AE25" s="70"/>
      <c r="AF25" s="70"/>
      <c r="AG25" s="70"/>
      <c r="AH25" s="70"/>
      <c r="AI25" s="120"/>
      <c r="AJ25" s="120"/>
      <c r="AK25" s="78">
        <f t="shared" si="1"/>
        <v>0</v>
      </c>
      <c r="AL25" s="83"/>
    </row>
    <row r="26" spans="1:45" ht="15" customHeight="1">
      <c r="A26" s="67" t="s">
        <v>281</v>
      </c>
      <c r="B26" s="40" t="s">
        <v>282</v>
      </c>
      <c r="C26" s="66" t="s">
        <v>64</v>
      </c>
      <c r="D26" s="87" t="s">
        <v>72</v>
      </c>
      <c r="E26" s="66">
        <v>8</v>
      </c>
      <c r="F26" s="79"/>
      <c r="G26" s="120"/>
      <c r="H26" s="120"/>
      <c r="I26" s="70"/>
      <c r="J26" s="70"/>
      <c r="K26" s="70"/>
      <c r="L26" s="70"/>
      <c r="M26" s="70"/>
      <c r="N26" s="120"/>
      <c r="O26" s="120"/>
      <c r="P26" s="70"/>
      <c r="Q26" s="70"/>
      <c r="R26" s="70"/>
      <c r="S26" s="70"/>
      <c r="T26" s="70"/>
      <c r="U26" s="120"/>
      <c r="V26" s="120"/>
      <c r="W26" s="79"/>
      <c r="X26" s="70"/>
      <c r="Y26" s="70"/>
      <c r="Z26" s="70">
        <v>8</v>
      </c>
      <c r="AA26" s="70">
        <v>8</v>
      </c>
      <c r="AB26" s="120"/>
      <c r="AC26" s="120"/>
      <c r="AD26" s="70"/>
      <c r="AE26" s="70"/>
      <c r="AF26" s="70"/>
      <c r="AG26" s="70"/>
      <c r="AH26" s="70"/>
      <c r="AI26" s="120"/>
      <c r="AJ26" s="120"/>
      <c r="AK26" s="78">
        <f t="shared" si="1"/>
        <v>16</v>
      </c>
    </row>
    <row r="27" spans="1:45" ht="15" customHeight="1">
      <c r="A27" s="82" t="s">
        <v>293</v>
      </c>
      <c r="B27" s="41" t="s">
        <v>294</v>
      </c>
      <c r="C27" s="66" t="s">
        <v>64</v>
      </c>
      <c r="D27" s="87" t="s">
        <v>72</v>
      </c>
      <c r="E27" s="66">
        <v>8</v>
      </c>
      <c r="F27" s="79"/>
      <c r="G27" s="120"/>
      <c r="H27" s="120"/>
      <c r="I27" s="70"/>
      <c r="J27" s="70"/>
      <c r="K27" s="70"/>
      <c r="L27" s="70"/>
      <c r="M27" s="70"/>
      <c r="N27" s="120"/>
      <c r="O27" s="120"/>
      <c r="P27" s="70"/>
      <c r="Q27" s="70"/>
      <c r="R27" s="70"/>
      <c r="S27" s="70"/>
      <c r="T27" s="70"/>
      <c r="U27" s="120"/>
      <c r="V27" s="120"/>
      <c r="W27" s="79"/>
      <c r="X27" s="70"/>
      <c r="Y27" s="70"/>
      <c r="Z27" s="70"/>
      <c r="AA27" s="70"/>
      <c r="AB27" s="120"/>
      <c r="AC27" s="120"/>
      <c r="AD27" s="70"/>
      <c r="AE27" s="70"/>
      <c r="AF27" s="70"/>
      <c r="AG27" s="70"/>
      <c r="AH27" s="70"/>
      <c r="AI27" s="120"/>
      <c r="AJ27" s="120"/>
      <c r="AK27" s="78">
        <f t="shared" si="1"/>
        <v>0</v>
      </c>
    </row>
    <row r="28" spans="1:45" ht="15" customHeight="1">
      <c r="A28" s="82" t="s">
        <v>322</v>
      </c>
      <c r="B28" s="41" t="s">
        <v>323</v>
      </c>
      <c r="C28" s="66" t="s">
        <v>64</v>
      </c>
      <c r="D28" s="81" t="s">
        <v>72</v>
      </c>
      <c r="E28" s="66">
        <v>8</v>
      </c>
      <c r="F28" s="79"/>
      <c r="G28" s="120"/>
      <c r="H28" s="120"/>
      <c r="I28" s="70"/>
      <c r="J28" s="70"/>
      <c r="K28" s="70"/>
      <c r="L28" s="70"/>
      <c r="M28" s="70"/>
      <c r="N28" s="120"/>
      <c r="O28" s="120"/>
      <c r="P28" s="70"/>
      <c r="Q28" s="70"/>
      <c r="R28" s="70"/>
      <c r="S28" s="70"/>
      <c r="T28" s="70"/>
      <c r="U28" s="120"/>
      <c r="V28" s="120"/>
      <c r="W28" s="79"/>
      <c r="X28" s="70"/>
      <c r="Y28" s="70"/>
      <c r="Z28" s="70"/>
      <c r="AA28" s="70"/>
      <c r="AB28" s="120"/>
      <c r="AC28" s="120"/>
      <c r="AD28" s="70"/>
      <c r="AE28" s="70"/>
      <c r="AF28" s="70"/>
      <c r="AG28" s="70"/>
      <c r="AH28" s="70"/>
      <c r="AI28" s="120"/>
      <c r="AJ28" s="120"/>
      <c r="AK28" s="78">
        <f t="shared" si="1"/>
        <v>0</v>
      </c>
      <c r="AL28" s="83"/>
    </row>
    <row r="29" spans="1:45" ht="15" customHeight="1">
      <c r="A29" s="67" t="s">
        <v>309</v>
      </c>
      <c r="B29" s="84" t="s">
        <v>310</v>
      </c>
      <c r="C29" s="66" t="s">
        <v>75</v>
      </c>
      <c r="D29" s="86" t="s">
        <v>347</v>
      </c>
      <c r="E29" s="145" t="s">
        <v>347</v>
      </c>
      <c r="F29" s="79"/>
      <c r="G29" s="120"/>
      <c r="H29" s="120"/>
      <c r="I29" s="70"/>
      <c r="J29" s="70"/>
      <c r="K29" s="70"/>
      <c r="L29" s="70"/>
      <c r="M29" s="70"/>
      <c r="N29" s="120"/>
      <c r="O29" s="120"/>
      <c r="P29" s="70"/>
      <c r="Q29" s="70"/>
      <c r="R29" s="70"/>
      <c r="S29" s="70"/>
      <c r="T29" s="70"/>
      <c r="U29" s="120"/>
      <c r="V29" s="120"/>
      <c r="W29" s="79"/>
      <c r="X29" s="70"/>
      <c r="Y29" s="70"/>
      <c r="Z29" s="70"/>
      <c r="AA29" s="70"/>
      <c r="AB29" s="120"/>
      <c r="AC29" s="120"/>
      <c r="AD29" s="70"/>
      <c r="AE29" s="70"/>
      <c r="AF29" s="70"/>
      <c r="AG29" s="70"/>
      <c r="AH29" s="70"/>
      <c r="AI29" s="120"/>
      <c r="AJ29" s="120"/>
      <c r="AK29" s="78">
        <f t="shared" ref="AK29" si="2">SUM(F29:AJ29)</f>
        <v>0</v>
      </c>
    </row>
    <row r="30" spans="1:45" ht="15" customHeight="1">
      <c r="A30" s="67" t="s">
        <v>312</v>
      </c>
      <c r="B30" s="84" t="s">
        <v>313</v>
      </c>
      <c r="C30" s="66" t="s">
        <v>75</v>
      </c>
      <c r="D30" s="86" t="s">
        <v>347</v>
      </c>
      <c r="E30" s="145" t="s">
        <v>347</v>
      </c>
      <c r="F30" s="79"/>
      <c r="G30" s="120"/>
      <c r="H30" s="120"/>
      <c r="I30" s="70"/>
      <c r="J30" s="70"/>
      <c r="K30" s="70"/>
      <c r="L30" s="70"/>
      <c r="M30" s="70"/>
      <c r="N30" s="120"/>
      <c r="O30" s="120"/>
      <c r="P30" s="70"/>
      <c r="Q30" s="70"/>
      <c r="R30" s="70"/>
      <c r="S30" s="70"/>
      <c r="T30" s="70"/>
      <c r="U30" s="120"/>
      <c r="V30" s="120"/>
      <c r="W30" s="79"/>
      <c r="X30" s="70"/>
      <c r="Y30" s="70"/>
      <c r="Z30" s="70"/>
      <c r="AA30" s="70"/>
      <c r="AB30" s="120"/>
      <c r="AC30" s="120"/>
      <c r="AD30" s="70"/>
      <c r="AE30" s="70"/>
      <c r="AF30" s="70"/>
      <c r="AG30" s="70"/>
      <c r="AH30" s="70"/>
      <c r="AI30" s="120"/>
      <c r="AJ30" s="120"/>
      <c r="AK30" s="78">
        <f t="shared" ref="AK30" si="3">SUM(F30:AJ30)</f>
        <v>0</v>
      </c>
    </row>
    <row r="31" spans="1:45" ht="15" customHeight="1">
      <c r="A31" s="67" t="s">
        <v>348</v>
      </c>
      <c r="B31" s="84" t="s">
        <v>98</v>
      </c>
      <c r="C31" s="66" t="s">
        <v>75</v>
      </c>
      <c r="D31" s="86" t="s">
        <v>99</v>
      </c>
      <c r="E31" s="145" t="s">
        <v>349</v>
      </c>
      <c r="F31" s="79"/>
      <c r="G31" s="120"/>
      <c r="H31" s="120"/>
      <c r="I31" s="70"/>
      <c r="J31" s="70"/>
      <c r="K31" s="70"/>
      <c r="L31" s="70"/>
      <c r="M31" s="70"/>
      <c r="N31" s="120"/>
      <c r="O31" s="120"/>
      <c r="P31" s="70"/>
      <c r="Q31" s="70"/>
      <c r="R31" s="70"/>
      <c r="S31" s="70"/>
      <c r="T31" s="70"/>
      <c r="U31" s="120"/>
      <c r="V31" s="120"/>
      <c r="W31" s="79"/>
      <c r="X31" s="70"/>
      <c r="Y31" s="70"/>
      <c r="Z31" s="70"/>
      <c r="AA31" s="70"/>
      <c r="AB31" s="120"/>
      <c r="AC31" s="120"/>
      <c r="AD31" s="70"/>
      <c r="AE31" s="70"/>
      <c r="AF31" s="70"/>
      <c r="AG31" s="70"/>
      <c r="AH31" s="70"/>
      <c r="AI31" s="120"/>
      <c r="AJ31" s="120"/>
      <c r="AK31" s="78">
        <f t="shared" si="1"/>
        <v>0</v>
      </c>
    </row>
    <row r="32" spans="1:45" s="100" customFormat="1">
      <c r="A32" s="67" t="s">
        <v>116</v>
      </c>
      <c r="B32" s="84" t="s">
        <v>117</v>
      </c>
      <c r="C32" s="66" t="s">
        <v>75</v>
      </c>
      <c r="D32" s="85" t="s">
        <v>99</v>
      </c>
      <c r="E32" s="145" t="s">
        <v>349</v>
      </c>
      <c r="F32" s="79"/>
      <c r="G32" s="128"/>
      <c r="H32" s="120"/>
      <c r="I32" s="70"/>
      <c r="J32" s="70"/>
      <c r="K32" s="108"/>
      <c r="L32" s="108"/>
      <c r="M32" s="108"/>
      <c r="N32" s="128"/>
      <c r="O32" s="128"/>
      <c r="P32" s="70"/>
      <c r="Q32" s="70"/>
      <c r="R32" s="70"/>
      <c r="S32" s="108"/>
      <c r="T32" s="108"/>
      <c r="U32" s="128"/>
      <c r="V32" s="128"/>
      <c r="W32" s="109"/>
      <c r="X32" s="108"/>
      <c r="Y32" s="108"/>
      <c r="Z32" s="108"/>
      <c r="AA32" s="108"/>
      <c r="AB32" s="128"/>
      <c r="AC32" s="128"/>
      <c r="AD32" s="108"/>
      <c r="AE32" s="108"/>
      <c r="AF32" s="108"/>
      <c r="AG32" s="108"/>
      <c r="AH32" s="144"/>
      <c r="AI32" s="158"/>
      <c r="AJ32" s="158"/>
      <c r="AK32" s="78">
        <f t="shared" si="1"/>
        <v>0</v>
      </c>
      <c r="AL32" s="63"/>
      <c r="AM32" s="69"/>
      <c r="AN32" s="62"/>
      <c r="AO32" s="62"/>
      <c r="AP32" s="62"/>
      <c r="AQ32" s="62"/>
      <c r="AR32" s="62"/>
      <c r="AS32" s="62"/>
    </row>
    <row r="33" spans="1:45">
      <c r="A33" s="67" t="s">
        <v>130</v>
      </c>
      <c r="B33" s="84" t="s">
        <v>131</v>
      </c>
      <c r="C33" s="66" t="s">
        <v>75</v>
      </c>
      <c r="D33" s="85" t="s">
        <v>99</v>
      </c>
      <c r="E33" s="145" t="s">
        <v>349</v>
      </c>
      <c r="F33" s="79"/>
      <c r="G33" s="120"/>
      <c r="H33" s="120"/>
      <c r="I33" s="70">
        <v>12</v>
      </c>
      <c r="J33" s="70"/>
      <c r="K33" s="70">
        <v>8</v>
      </c>
      <c r="L33" s="70">
        <v>8</v>
      </c>
      <c r="M33" s="70">
        <v>12</v>
      </c>
      <c r="N33" s="120"/>
      <c r="O33" s="120"/>
      <c r="P33" s="70"/>
      <c r="Q33" s="70"/>
      <c r="R33" s="70"/>
      <c r="S33" s="70"/>
      <c r="T33" s="70"/>
      <c r="U33" s="120"/>
      <c r="V33" s="120"/>
      <c r="W33" s="79"/>
      <c r="X33" s="70"/>
      <c r="Y33" s="70"/>
      <c r="Z33" s="70"/>
      <c r="AA33" s="70"/>
      <c r="AB33" s="120"/>
      <c r="AC33" s="120"/>
      <c r="AD33" s="70"/>
      <c r="AE33" s="70"/>
      <c r="AF33" s="70"/>
      <c r="AG33" s="70"/>
      <c r="AH33" s="70"/>
      <c r="AI33" s="120"/>
      <c r="AJ33" s="120"/>
      <c r="AK33" s="78">
        <f t="shared" si="1"/>
        <v>40</v>
      </c>
      <c r="AL33" s="83"/>
      <c r="AM33" s="69"/>
    </row>
    <row r="34" spans="1:45" s="69" customFormat="1">
      <c r="A34" s="67" t="s">
        <v>149</v>
      </c>
      <c r="B34" s="84" t="s">
        <v>150</v>
      </c>
      <c r="C34" s="66" t="s">
        <v>75</v>
      </c>
      <c r="D34" s="86" t="s">
        <v>99</v>
      </c>
      <c r="E34" s="145" t="s">
        <v>349</v>
      </c>
      <c r="F34" s="79"/>
      <c r="G34" s="120"/>
      <c r="H34" s="120"/>
      <c r="I34" s="70"/>
      <c r="J34" s="70"/>
      <c r="K34" s="70"/>
      <c r="L34" s="70"/>
      <c r="M34" s="70"/>
      <c r="N34" s="120"/>
      <c r="O34" s="120"/>
      <c r="P34" s="70"/>
      <c r="Q34" s="70"/>
      <c r="R34" s="70"/>
      <c r="S34" s="70"/>
      <c r="T34" s="70"/>
      <c r="U34" s="120"/>
      <c r="V34" s="120"/>
      <c r="W34" s="79"/>
      <c r="X34" s="70"/>
      <c r="Y34" s="70"/>
      <c r="Z34" s="70"/>
      <c r="AA34" s="70"/>
      <c r="AB34" s="120"/>
      <c r="AC34" s="120"/>
      <c r="AD34" s="70"/>
      <c r="AE34" s="70"/>
      <c r="AF34" s="70"/>
      <c r="AG34" s="70"/>
      <c r="AH34" s="70"/>
      <c r="AI34" s="120"/>
      <c r="AJ34" s="120"/>
      <c r="AK34" s="78">
        <f t="shared" si="1"/>
        <v>0</v>
      </c>
      <c r="AL34" s="63"/>
    </row>
    <row r="35" spans="1:45" s="69" customFormat="1">
      <c r="A35" s="82" t="s">
        <v>155</v>
      </c>
      <c r="B35" s="41" t="s">
        <v>156</v>
      </c>
      <c r="C35" s="66" t="s">
        <v>75</v>
      </c>
      <c r="D35" s="86" t="s">
        <v>99</v>
      </c>
      <c r="E35" s="145" t="s">
        <v>349</v>
      </c>
      <c r="F35" s="79"/>
      <c r="G35" s="120"/>
      <c r="H35" s="120"/>
      <c r="I35" s="70"/>
      <c r="J35" s="70"/>
      <c r="K35" s="70"/>
      <c r="L35" s="70"/>
      <c r="M35" s="70"/>
      <c r="N35" s="120"/>
      <c r="O35" s="120"/>
      <c r="P35" s="70"/>
      <c r="Q35" s="70"/>
      <c r="R35" s="70"/>
      <c r="S35" s="70"/>
      <c r="T35" s="70"/>
      <c r="U35" s="120"/>
      <c r="V35" s="120"/>
      <c r="W35" s="79"/>
      <c r="X35" s="70"/>
      <c r="Y35" s="70"/>
      <c r="Z35" s="70"/>
      <c r="AA35" s="70"/>
      <c r="AB35" s="120"/>
      <c r="AC35" s="120"/>
      <c r="AD35" s="70"/>
      <c r="AE35" s="70"/>
      <c r="AF35" s="70"/>
      <c r="AG35" s="70"/>
      <c r="AH35" s="70"/>
      <c r="AI35" s="120"/>
      <c r="AJ35" s="120"/>
      <c r="AK35" s="78">
        <f t="shared" si="1"/>
        <v>0</v>
      </c>
      <c r="AL35" s="63"/>
    </row>
    <row r="36" spans="1:45" s="69" customFormat="1">
      <c r="A36" s="67" t="s">
        <v>350</v>
      </c>
      <c r="B36" s="84" t="s">
        <v>208</v>
      </c>
      <c r="C36" s="66" t="s">
        <v>75</v>
      </c>
      <c r="D36" s="86" t="s">
        <v>99</v>
      </c>
      <c r="E36" s="145" t="s">
        <v>349</v>
      </c>
      <c r="F36" s="79"/>
      <c r="G36" s="120"/>
      <c r="H36" s="120"/>
      <c r="I36" s="70"/>
      <c r="J36" s="70"/>
      <c r="K36" s="70"/>
      <c r="L36" s="70"/>
      <c r="M36" s="70"/>
      <c r="N36" s="120"/>
      <c r="O36" s="120"/>
      <c r="P36" s="70"/>
      <c r="Q36" s="70"/>
      <c r="R36" s="70"/>
      <c r="S36" s="70"/>
      <c r="T36" s="70"/>
      <c r="U36" s="120"/>
      <c r="V36" s="120"/>
      <c r="W36" s="79"/>
      <c r="X36" s="70"/>
      <c r="Y36" s="70"/>
      <c r="Z36" s="70"/>
      <c r="AA36" s="70"/>
      <c r="AB36" s="120"/>
      <c r="AC36" s="120"/>
      <c r="AD36" s="70"/>
      <c r="AE36" s="70"/>
      <c r="AF36" s="70"/>
      <c r="AG36" s="70"/>
      <c r="AH36" s="70"/>
      <c r="AI36" s="120"/>
      <c r="AJ36" s="120"/>
      <c r="AK36" s="78">
        <f t="shared" si="1"/>
        <v>0</v>
      </c>
      <c r="AL36" s="83"/>
    </row>
    <row r="37" spans="1:45" s="69" customFormat="1">
      <c r="A37" s="67" t="s">
        <v>351</v>
      </c>
      <c r="B37" s="84" t="s">
        <v>222</v>
      </c>
      <c r="C37" s="66" t="s">
        <v>75</v>
      </c>
      <c r="D37" s="85" t="s">
        <v>99</v>
      </c>
      <c r="E37" s="145" t="s">
        <v>349</v>
      </c>
      <c r="F37" s="65"/>
      <c r="G37" s="68"/>
      <c r="H37" s="68"/>
      <c r="I37" s="64"/>
      <c r="J37" s="64"/>
      <c r="K37" s="64"/>
      <c r="L37" s="64"/>
      <c r="M37" s="64"/>
      <c r="N37" s="68"/>
      <c r="O37" s="68"/>
      <c r="P37" s="64"/>
      <c r="Q37" s="64"/>
      <c r="R37" s="64"/>
      <c r="S37" s="64"/>
      <c r="T37" s="64"/>
      <c r="U37" s="68"/>
      <c r="V37" s="68"/>
      <c r="W37" s="65"/>
      <c r="X37" s="64"/>
      <c r="Y37" s="64"/>
      <c r="Z37" s="64"/>
      <c r="AA37" s="64"/>
      <c r="AB37" s="68"/>
      <c r="AC37" s="68"/>
      <c r="AD37" s="64"/>
      <c r="AE37" s="64"/>
      <c r="AF37" s="64"/>
      <c r="AG37" s="64"/>
      <c r="AH37" s="64"/>
      <c r="AI37" s="68"/>
      <c r="AJ37" s="68"/>
      <c r="AK37" s="78">
        <f t="shared" si="1"/>
        <v>0</v>
      </c>
      <c r="AL37" s="83"/>
      <c r="AM37" s="62"/>
    </row>
    <row r="38" spans="1:45" s="69" customFormat="1">
      <c r="A38" s="67" t="s">
        <v>237</v>
      </c>
      <c r="B38" s="8" t="s">
        <v>238</v>
      </c>
      <c r="C38" s="66" t="s">
        <v>75</v>
      </c>
      <c r="D38" s="86" t="s">
        <v>99</v>
      </c>
      <c r="E38" s="145" t="s">
        <v>349</v>
      </c>
      <c r="F38" s="65"/>
      <c r="G38" s="68"/>
      <c r="H38" s="68"/>
      <c r="I38" s="64"/>
      <c r="J38" s="64"/>
      <c r="K38" s="64"/>
      <c r="L38" s="64"/>
      <c r="M38" s="64"/>
      <c r="N38" s="68"/>
      <c r="O38" s="68"/>
      <c r="P38" s="64"/>
      <c r="Q38" s="64"/>
      <c r="R38" s="64"/>
      <c r="S38" s="64"/>
      <c r="T38" s="64"/>
      <c r="U38" s="68"/>
      <c r="V38" s="68"/>
      <c r="W38" s="65"/>
      <c r="X38" s="64"/>
      <c r="Y38" s="64"/>
      <c r="Z38" s="64"/>
      <c r="AA38" s="64"/>
      <c r="AB38" s="68"/>
      <c r="AC38" s="68"/>
      <c r="AD38" s="64"/>
      <c r="AE38" s="64"/>
      <c r="AF38" s="64"/>
      <c r="AG38" s="64"/>
      <c r="AH38" s="64"/>
      <c r="AI38" s="68"/>
      <c r="AJ38" s="68"/>
      <c r="AK38" s="78">
        <f t="shared" si="1"/>
        <v>0</v>
      </c>
      <c r="AL38" s="63"/>
      <c r="AM38" s="62"/>
    </row>
    <row r="39" spans="1:45">
      <c r="A39" s="67" t="s">
        <v>320</v>
      </c>
      <c r="B39" s="40" t="s">
        <v>321</v>
      </c>
      <c r="C39" s="66" t="s">
        <v>75</v>
      </c>
      <c r="D39" s="86" t="s">
        <v>99</v>
      </c>
      <c r="E39" s="145" t="s">
        <v>349</v>
      </c>
      <c r="F39" s="79"/>
      <c r="G39" s="120"/>
      <c r="H39" s="120"/>
      <c r="I39" s="70"/>
      <c r="J39" s="70"/>
      <c r="K39" s="70"/>
      <c r="L39" s="70"/>
      <c r="M39" s="70"/>
      <c r="N39" s="120"/>
      <c r="O39" s="120"/>
      <c r="P39" s="70"/>
      <c r="Q39" s="70"/>
      <c r="R39" s="70"/>
      <c r="S39" s="70"/>
      <c r="T39" s="70"/>
      <c r="U39" s="120"/>
      <c r="V39" s="120"/>
      <c r="W39" s="79"/>
      <c r="X39" s="70"/>
      <c r="Y39" s="70"/>
      <c r="Z39" s="70"/>
      <c r="AA39" s="70"/>
      <c r="AB39" s="120"/>
      <c r="AC39" s="120"/>
      <c r="AD39" s="70"/>
      <c r="AE39" s="70"/>
      <c r="AF39" s="70"/>
      <c r="AG39" s="70"/>
      <c r="AH39" s="70"/>
      <c r="AI39" s="120"/>
      <c r="AJ39" s="120"/>
      <c r="AK39" s="78">
        <f t="shared" si="1"/>
        <v>0</v>
      </c>
    </row>
    <row r="40" spans="1:45" s="100" customFormat="1" ht="16.7" thickBot="1">
      <c r="A40" s="77"/>
      <c r="B40" s="75"/>
      <c r="C40" s="75"/>
      <c r="D40" s="96"/>
      <c r="E40" s="75"/>
      <c r="F40" s="93"/>
      <c r="G40" s="124"/>
      <c r="H40" s="124"/>
      <c r="I40" s="92"/>
      <c r="J40" s="92"/>
      <c r="K40" s="92"/>
      <c r="L40" s="92"/>
      <c r="M40" s="92"/>
      <c r="N40" s="124"/>
      <c r="O40" s="124"/>
      <c r="P40" s="92"/>
      <c r="Q40" s="92"/>
      <c r="R40" s="92"/>
      <c r="S40" s="92"/>
      <c r="T40" s="92"/>
      <c r="U40" s="124"/>
      <c r="V40" s="124"/>
      <c r="W40" s="93"/>
      <c r="X40" s="92"/>
      <c r="Y40" s="92"/>
      <c r="Z40" s="92"/>
      <c r="AA40" s="92"/>
      <c r="AB40" s="124"/>
      <c r="AC40" s="124"/>
      <c r="AD40" s="92"/>
      <c r="AE40" s="92"/>
      <c r="AF40" s="92"/>
      <c r="AG40" s="92"/>
      <c r="AH40" s="92"/>
      <c r="AI40" s="124"/>
      <c r="AJ40" s="124"/>
      <c r="AK40" s="91">
        <f t="shared" si="1"/>
        <v>0</v>
      </c>
      <c r="AL40" s="90"/>
      <c r="AM40" s="69"/>
      <c r="AN40" s="62"/>
      <c r="AO40" s="62"/>
      <c r="AP40" s="62"/>
      <c r="AQ40" s="62"/>
      <c r="AR40" s="62"/>
      <c r="AS40" s="62"/>
    </row>
    <row r="41" spans="1:45" ht="16.7" thickBot="1">
      <c r="A41" s="89" t="s">
        <v>352</v>
      </c>
      <c r="D41" s="86"/>
      <c r="F41" s="119"/>
      <c r="H41" s="131"/>
      <c r="T41" s="83"/>
      <c r="AK41" s="78">
        <f t="shared" si="1"/>
        <v>0</v>
      </c>
    </row>
    <row r="42" spans="1:45" s="69" customFormat="1">
      <c r="A42" s="67" t="s">
        <v>73</v>
      </c>
      <c r="B42" s="106" t="s">
        <v>74</v>
      </c>
      <c r="C42" s="66" t="s">
        <v>75</v>
      </c>
      <c r="D42" s="86" t="s">
        <v>77</v>
      </c>
      <c r="E42" s="66">
        <v>8</v>
      </c>
      <c r="F42" s="65"/>
      <c r="G42" s="127"/>
      <c r="H42" s="127"/>
      <c r="I42" s="62"/>
      <c r="J42" s="62"/>
      <c r="K42" s="62"/>
      <c r="L42" s="64"/>
      <c r="M42" s="64"/>
      <c r="N42" s="127"/>
      <c r="O42" s="127"/>
      <c r="P42" s="62"/>
      <c r="Q42" s="62"/>
      <c r="R42" s="62"/>
      <c r="S42" s="64"/>
      <c r="T42" s="64"/>
      <c r="U42" s="127"/>
      <c r="V42" s="127"/>
      <c r="W42" s="104"/>
      <c r="X42" s="62"/>
      <c r="Y42" s="62"/>
      <c r="Z42" s="64"/>
      <c r="AA42" s="64"/>
      <c r="AB42" s="127"/>
      <c r="AC42" s="127"/>
      <c r="AD42" s="62"/>
      <c r="AE42" s="62"/>
      <c r="AF42" s="62"/>
      <c r="AG42" s="64"/>
      <c r="AH42"/>
      <c r="AI42" s="125"/>
      <c r="AJ42" s="125"/>
      <c r="AK42" s="78">
        <f t="shared" si="1"/>
        <v>0</v>
      </c>
      <c r="AL42" s="83"/>
      <c r="AM42" s="62"/>
    </row>
    <row r="43" spans="1:45">
      <c r="A43" s="67" t="s">
        <v>102</v>
      </c>
      <c r="B43" s="84" t="s">
        <v>103</v>
      </c>
      <c r="C43" s="66" t="s">
        <v>64</v>
      </c>
      <c r="D43" s="66" t="s">
        <v>77</v>
      </c>
      <c r="E43" s="66">
        <v>8</v>
      </c>
      <c r="G43" s="127"/>
      <c r="H43" s="127"/>
      <c r="I43" s="62"/>
      <c r="J43" s="62"/>
      <c r="K43" s="62"/>
      <c r="N43" s="127"/>
      <c r="O43" s="127"/>
      <c r="P43" s="62"/>
      <c r="Q43" s="62"/>
      <c r="R43" s="62"/>
      <c r="U43" s="127"/>
      <c r="V43" s="127"/>
      <c r="W43" s="104"/>
      <c r="X43" s="62"/>
      <c r="Y43" s="62"/>
      <c r="AB43" s="127"/>
      <c r="AC43" s="127"/>
      <c r="AD43" s="62"/>
      <c r="AE43" s="62"/>
      <c r="AF43" s="62"/>
      <c r="AH43"/>
      <c r="AI43" s="125"/>
      <c r="AJ43" s="125"/>
      <c r="AK43" s="78">
        <f t="shared" si="1"/>
        <v>0</v>
      </c>
    </row>
    <row r="44" spans="1:45" s="63" customFormat="1">
      <c r="A44" s="67" t="s">
        <v>353</v>
      </c>
      <c r="B44" s="106" t="s">
        <v>112</v>
      </c>
      <c r="C44" s="66" t="s">
        <v>75</v>
      </c>
      <c r="D44" s="66" t="s">
        <v>77</v>
      </c>
      <c r="E44" s="66" t="s">
        <v>347</v>
      </c>
      <c r="F44" s="65"/>
      <c r="G44" s="127"/>
      <c r="H44" s="127"/>
      <c r="I44" s="62"/>
      <c r="J44" s="62"/>
      <c r="K44" s="62"/>
      <c r="L44" s="64">
        <v>7.5</v>
      </c>
      <c r="M44" s="64"/>
      <c r="N44" s="127"/>
      <c r="O44" s="127"/>
      <c r="P44" s="62"/>
      <c r="Q44" s="62"/>
      <c r="R44" s="62"/>
      <c r="S44" s="64"/>
      <c r="T44" s="64"/>
      <c r="U44" s="127"/>
      <c r="V44" s="127"/>
      <c r="W44" s="104"/>
      <c r="X44" s="62"/>
      <c r="Y44" s="62"/>
      <c r="Z44" s="64"/>
      <c r="AA44" s="64"/>
      <c r="AB44" s="127"/>
      <c r="AC44" s="127"/>
      <c r="AD44" s="62">
        <v>7.5</v>
      </c>
      <c r="AE44" s="62"/>
      <c r="AF44" s="62"/>
      <c r="AG44" s="64"/>
      <c r="AH44"/>
      <c r="AI44" s="125"/>
      <c r="AJ44" s="125"/>
      <c r="AK44" s="78">
        <f t="shared" si="1"/>
        <v>15</v>
      </c>
      <c r="AM44" s="62"/>
    </row>
    <row r="45" spans="1:45" s="63" customFormat="1">
      <c r="A45" s="82" t="s">
        <v>151</v>
      </c>
      <c r="B45" s="107" t="s">
        <v>152</v>
      </c>
      <c r="C45" s="66" t="s">
        <v>64</v>
      </c>
      <c r="D45" s="81" t="s">
        <v>77</v>
      </c>
      <c r="E45" s="66">
        <v>8</v>
      </c>
      <c r="F45" s="65"/>
      <c r="G45" s="127"/>
      <c r="H45" s="127"/>
      <c r="I45" s="62"/>
      <c r="J45" s="62"/>
      <c r="K45" s="62"/>
      <c r="L45" s="64"/>
      <c r="M45" s="64"/>
      <c r="N45" s="127"/>
      <c r="O45" s="127"/>
      <c r="P45" s="62"/>
      <c r="Q45" s="62"/>
      <c r="R45" s="62"/>
      <c r="S45" s="64"/>
      <c r="T45" s="64"/>
      <c r="U45" s="127"/>
      <c r="V45" s="127"/>
      <c r="W45" s="104"/>
      <c r="X45" s="62"/>
      <c r="Y45" s="62"/>
      <c r="Z45" s="64">
        <v>8</v>
      </c>
      <c r="AA45" s="64"/>
      <c r="AB45" s="127"/>
      <c r="AC45" s="127"/>
      <c r="AD45" s="62"/>
      <c r="AE45" s="62"/>
      <c r="AF45" s="62"/>
      <c r="AG45" s="64"/>
      <c r="AH45"/>
      <c r="AI45" s="125"/>
      <c r="AJ45" s="125"/>
      <c r="AK45" s="78">
        <f t="shared" si="1"/>
        <v>8</v>
      </c>
      <c r="AM45" s="62"/>
    </row>
    <row r="46" spans="1:45" s="63" customFormat="1">
      <c r="A46" s="67" t="s">
        <v>161</v>
      </c>
      <c r="B46" s="106" t="s">
        <v>162</v>
      </c>
      <c r="C46" s="66" t="s">
        <v>64</v>
      </c>
      <c r="D46" s="66" t="s">
        <v>77</v>
      </c>
      <c r="E46" s="66">
        <v>8</v>
      </c>
      <c r="F46" s="65"/>
      <c r="G46" s="127"/>
      <c r="H46" s="127"/>
      <c r="I46" s="62"/>
      <c r="J46" s="62"/>
      <c r="K46" s="62"/>
      <c r="L46" s="64">
        <v>8</v>
      </c>
      <c r="M46" s="64"/>
      <c r="N46" s="127"/>
      <c r="O46" s="127"/>
      <c r="P46" s="62"/>
      <c r="Q46" s="62"/>
      <c r="R46" s="62"/>
      <c r="S46" s="64"/>
      <c r="T46" s="64"/>
      <c r="U46" s="127"/>
      <c r="V46" s="127"/>
      <c r="W46" s="104"/>
      <c r="X46" s="62"/>
      <c r="Y46" s="62"/>
      <c r="Z46" s="64"/>
      <c r="AA46" s="64"/>
      <c r="AB46" s="127"/>
      <c r="AC46" s="127"/>
      <c r="AD46" s="62"/>
      <c r="AE46" s="62"/>
      <c r="AF46" s="62"/>
      <c r="AG46" s="64"/>
      <c r="AH46"/>
      <c r="AI46" s="125"/>
      <c r="AJ46" s="127"/>
      <c r="AK46" s="78">
        <f t="shared" si="1"/>
        <v>8</v>
      </c>
      <c r="AM46" s="62"/>
    </row>
    <row r="47" spans="1:45" s="63" customFormat="1">
      <c r="A47" s="67" t="s">
        <v>191</v>
      </c>
      <c r="B47" s="106" t="s">
        <v>192</v>
      </c>
      <c r="C47" s="66" t="s">
        <v>75</v>
      </c>
      <c r="D47" s="66" t="s">
        <v>77</v>
      </c>
      <c r="E47" s="66" t="s">
        <v>347</v>
      </c>
      <c r="F47" s="65"/>
      <c r="G47" s="127"/>
      <c r="H47" s="127"/>
      <c r="I47" s="62"/>
      <c r="J47" s="62"/>
      <c r="K47" s="62"/>
      <c r="L47" s="64"/>
      <c r="M47" s="64"/>
      <c r="N47" s="127"/>
      <c r="O47" s="127"/>
      <c r="P47" s="62"/>
      <c r="Q47" s="62"/>
      <c r="R47" s="62"/>
      <c r="S47" s="64"/>
      <c r="T47" s="64"/>
      <c r="U47" s="127"/>
      <c r="V47" s="127"/>
      <c r="W47" s="104"/>
      <c r="X47" s="62"/>
      <c r="Y47" s="62"/>
      <c r="Z47" s="64"/>
      <c r="AA47" s="64"/>
      <c r="AB47" s="127"/>
      <c r="AC47" s="127"/>
      <c r="AD47" s="62"/>
      <c r="AE47" s="62"/>
      <c r="AF47" s="62"/>
      <c r="AG47" s="64"/>
      <c r="AH47"/>
      <c r="AI47" s="125"/>
      <c r="AJ47" s="125"/>
      <c r="AK47" s="78">
        <f t="shared" si="1"/>
        <v>0</v>
      </c>
      <c r="AM47" s="62"/>
    </row>
    <row r="48" spans="1:45" s="63" customFormat="1">
      <c r="A48" s="82" t="s">
        <v>199</v>
      </c>
      <c r="B48" s="41" t="s">
        <v>200</v>
      </c>
      <c r="C48" s="66" t="s">
        <v>75</v>
      </c>
      <c r="D48" s="86" t="s">
        <v>77</v>
      </c>
      <c r="E48" s="66">
        <v>8</v>
      </c>
      <c r="F48" s="65"/>
      <c r="G48" s="127"/>
      <c r="H48" s="127"/>
      <c r="I48" s="62"/>
      <c r="J48" s="62"/>
      <c r="K48" s="62"/>
      <c r="L48" s="64"/>
      <c r="M48" s="64"/>
      <c r="N48" s="127"/>
      <c r="O48" s="127"/>
      <c r="P48" s="62"/>
      <c r="Q48" s="62"/>
      <c r="R48" s="62"/>
      <c r="S48" s="64"/>
      <c r="T48" s="64"/>
      <c r="U48" s="127"/>
      <c r="V48" s="127"/>
      <c r="W48" s="104"/>
      <c r="X48" s="62"/>
      <c r="Y48" s="62"/>
      <c r="Z48" s="64"/>
      <c r="AA48" s="64"/>
      <c r="AB48" s="127"/>
      <c r="AC48" s="127"/>
      <c r="AD48" s="62">
        <v>6</v>
      </c>
      <c r="AE48" s="62"/>
      <c r="AF48" s="62"/>
      <c r="AG48" s="64"/>
      <c r="AH48"/>
      <c r="AI48" s="125"/>
      <c r="AJ48" s="125"/>
      <c r="AK48" s="78">
        <f t="shared" si="1"/>
        <v>6</v>
      </c>
      <c r="AM48" s="62"/>
    </row>
    <row r="49" spans="1:45" s="63" customFormat="1">
      <c r="A49" s="82" t="s">
        <v>211</v>
      </c>
      <c r="B49" s="41" t="s">
        <v>212</v>
      </c>
      <c r="C49" s="66" t="s">
        <v>75</v>
      </c>
      <c r="D49" s="86" t="s">
        <v>77</v>
      </c>
      <c r="E49" s="66">
        <v>8</v>
      </c>
      <c r="F49" s="65"/>
      <c r="G49" s="127"/>
      <c r="H49" s="127"/>
      <c r="I49" s="62"/>
      <c r="J49" s="62"/>
      <c r="K49" s="62"/>
      <c r="L49" s="64"/>
      <c r="M49" s="64"/>
      <c r="N49" s="127"/>
      <c r="O49" s="127"/>
      <c r="P49" s="62"/>
      <c r="Q49" s="62"/>
      <c r="R49" s="62"/>
      <c r="S49" s="64"/>
      <c r="T49" s="64"/>
      <c r="U49" s="127"/>
      <c r="V49" s="127"/>
      <c r="W49" s="104"/>
      <c r="X49" s="62"/>
      <c r="Y49" s="62"/>
      <c r="Z49" s="64"/>
      <c r="AA49" s="64"/>
      <c r="AB49" s="127"/>
      <c r="AC49" s="127"/>
      <c r="AD49" s="62">
        <v>8</v>
      </c>
      <c r="AE49" s="62"/>
      <c r="AF49" s="62"/>
      <c r="AG49" s="64"/>
      <c r="AH49"/>
      <c r="AI49" s="125"/>
      <c r="AJ49" s="125"/>
      <c r="AK49" s="78">
        <f t="shared" si="1"/>
        <v>8</v>
      </c>
      <c r="AM49" s="62"/>
    </row>
    <row r="50" spans="1:45" s="63" customFormat="1">
      <c r="A50" s="67" t="s">
        <v>231</v>
      </c>
      <c r="B50" s="84" t="s">
        <v>232</v>
      </c>
      <c r="C50" s="66" t="s">
        <v>75</v>
      </c>
      <c r="D50" s="86" t="s">
        <v>77</v>
      </c>
      <c r="E50" s="66">
        <v>8</v>
      </c>
      <c r="F50" s="65"/>
      <c r="G50" s="127"/>
      <c r="H50" s="127"/>
      <c r="I50" s="62"/>
      <c r="J50" s="62"/>
      <c r="K50" s="62"/>
      <c r="L50" s="64"/>
      <c r="M50" s="64"/>
      <c r="N50" s="127"/>
      <c r="O50" s="127"/>
      <c r="P50" s="62"/>
      <c r="Q50" s="62"/>
      <c r="R50" s="62"/>
      <c r="S50" s="64"/>
      <c r="T50" s="64"/>
      <c r="U50" s="127"/>
      <c r="V50" s="127"/>
      <c r="W50" s="104"/>
      <c r="X50" s="62"/>
      <c r="Y50" s="62"/>
      <c r="Z50" s="64"/>
      <c r="AA50" s="64"/>
      <c r="AB50" s="127"/>
      <c r="AC50" s="127"/>
      <c r="AD50" s="62"/>
      <c r="AE50" s="62"/>
      <c r="AF50" s="62"/>
      <c r="AG50" s="64"/>
      <c r="AH50"/>
      <c r="AI50" s="125"/>
      <c r="AJ50" s="125"/>
      <c r="AK50" s="78">
        <f t="shared" si="1"/>
        <v>0</v>
      </c>
      <c r="AM50" s="62"/>
    </row>
    <row r="51" spans="1:45" s="63" customFormat="1">
      <c r="A51" s="82" t="s">
        <v>233</v>
      </c>
      <c r="B51" s="41" t="s">
        <v>234</v>
      </c>
      <c r="C51" s="66" t="s">
        <v>75</v>
      </c>
      <c r="D51" s="86" t="s">
        <v>77</v>
      </c>
      <c r="E51" s="66">
        <v>8</v>
      </c>
      <c r="F51" s="65"/>
      <c r="G51" s="127"/>
      <c r="H51" s="127"/>
      <c r="I51" s="62"/>
      <c r="J51" s="62"/>
      <c r="K51" s="62"/>
      <c r="L51" s="64"/>
      <c r="M51" s="64"/>
      <c r="N51" s="127"/>
      <c r="O51" s="127"/>
      <c r="P51" s="62"/>
      <c r="Q51" s="62"/>
      <c r="R51" s="62"/>
      <c r="S51" s="64"/>
      <c r="T51" s="64"/>
      <c r="U51" s="127"/>
      <c r="V51" s="127"/>
      <c r="W51" s="104"/>
      <c r="X51" s="62"/>
      <c r="Y51" s="62"/>
      <c r="Z51" s="64"/>
      <c r="AA51" s="64"/>
      <c r="AB51" s="127"/>
      <c r="AC51" s="127"/>
      <c r="AD51" s="62"/>
      <c r="AE51" s="62">
        <v>8</v>
      </c>
      <c r="AF51" s="62"/>
      <c r="AG51" s="64"/>
      <c r="AH51"/>
      <c r="AI51" s="125"/>
      <c r="AJ51" s="125"/>
      <c r="AK51" s="78">
        <f t="shared" si="1"/>
        <v>8</v>
      </c>
      <c r="AM51" s="62"/>
    </row>
    <row r="52" spans="1:45" s="63" customFormat="1">
      <c r="A52" s="82" t="s">
        <v>253</v>
      </c>
      <c r="B52" s="41" t="s">
        <v>254</v>
      </c>
      <c r="C52" s="66" t="s">
        <v>75</v>
      </c>
      <c r="D52" s="86" t="s">
        <v>77</v>
      </c>
      <c r="E52" s="66">
        <v>8</v>
      </c>
      <c r="F52" s="65"/>
      <c r="G52" s="127"/>
      <c r="H52" s="127"/>
      <c r="I52" s="62"/>
      <c r="J52" s="62"/>
      <c r="K52" s="62"/>
      <c r="L52" s="64"/>
      <c r="M52" s="64"/>
      <c r="N52" s="127"/>
      <c r="O52" s="127"/>
      <c r="P52" s="62"/>
      <c r="Q52" s="62"/>
      <c r="R52" s="62"/>
      <c r="S52" s="64"/>
      <c r="T52" s="64"/>
      <c r="U52" s="127"/>
      <c r="V52" s="127"/>
      <c r="W52" s="104"/>
      <c r="X52" s="62"/>
      <c r="Y52" s="62"/>
      <c r="Z52" s="64"/>
      <c r="AA52" s="64"/>
      <c r="AB52" s="127"/>
      <c r="AC52" s="127"/>
      <c r="AD52" s="62"/>
      <c r="AE52" s="62"/>
      <c r="AF52" s="62"/>
      <c r="AG52" s="64"/>
      <c r="AH52"/>
      <c r="AI52" s="125"/>
      <c r="AJ52" s="125"/>
      <c r="AK52" s="78">
        <f t="shared" si="1"/>
        <v>0</v>
      </c>
      <c r="AM52" s="62"/>
    </row>
    <row r="53" spans="1:45" s="63" customFormat="1">
      <c r="A53" s="67" t="s">
        <v>267</v>
      </c>
      <c r="B53" s="41" t="s">
        <v>268</v>
      </c>
      <c r="C53" s="66" t="s">
        <v>75</v>
      </c>
      <c r="D53" s="86" t="s">
        <v>77</v>
      </c>
      <c r="E53" s="66">
        <v>8</v>
      </c>
      <c r="F53" s="65"/>
      <c r="G53" s="127"/>
      <c r="H53" s="127"/>
      <c r="I53" s="62">
        <v>8</v>
      </c>
      <c r="J53" s="62"/>
      <c r="K53" s="62"/>
      <c r="L53" s="64">
        <v>24</v>
      </c>
      <c r="M53" s="64"/>
      <c r="N53" s="127"/>
      <c r="O53" s="127"/>
      <c r="P53" s="62"/>
      <c r="Q53" s="62"/>
      <c r="R53" s="62"/>
      <c r="S53" s="64"/>
      <c r="T53" s="64"/>
      <c r="U53" s="127"/>
      <c r="V53" s="127"/>
      <c r="W53" s="104"/>
      <c r="X53" s="62"/>
      <c r="Y53" s="62"/>
      <c r="Z53" s="64"/>
      <c r="AA53" s="64"/>
      <c r="AB53" s="127"/>
      <c r="AC53" s="127"/>
      <c r="AD53" s="62"/>
      <c r="AE53" s="62"/>
      <c r="AF53" s="62"/>
      <c r="AG53" s="64"/>
      <c r="AH53"/>
      <c r="AI53" s="125"/>
      <c r="AJ53" s="125"/>
      <c r="AK53" s="78">
        <f t="shared" si="1"/>
        <v>32</v>
      </c>
      <c r="AM53" s="62"/>
    </row>
    <row r="54" spans="1:45" s="63" customFormat="1">
      <c r="A54" s="67" t="s">
        <v>354</v>
      </c>
      <c r="B54" s="105" t="s">
        <v>278</v>
      </c>
      <c r="C54" s="66" t="s">
        <v>64</v>
      </c>
      <c r="D54" s="86" t="s">
        <v>77</v>
      </c>
      <c r="E54" s="66" t="s">
        <v>347</v>
      </c>
      <c r="F54" s="65"/>
      <c r="G54" s="127"/>
      <c r="H54" s="127"/>
      <c r="I54" s="62">
        <v>8</v>
      </c>
      <c r="J54" s="62"/>
      <c r="K54" s="62"/>
      <c r="L54" s="64">
        <v>-4</v>
      </c>
      <c r="M54" s="64"/>
      <c r="N54" s="127"/>
      <c r="O54" s="127"/>
      <c r="P54" s="62"/>
      <c r="Q54" s="62"/>
      <c r="R54" s="62"/>
      <c r="S54" s="64"/>
      <c r="T54" s="64"/>
      <c r="U54" s="127"/>
      <c r="V54" s="127"/>
      <c r="W54" s="104"/>
      <c r="X54" s="62"/>
      <c r="Y54" s="62"/>
      <c r="Z54" s="64"/>
      <c r="AA54" s="64"/>
      <c r="AB54" s="127"/>
      <c r="AC54" s="127"/>
      <c r="AD54" s="62"/>
      <c r="AE54" s="62"/>
      <c r="AF54" s="62"/>
      <c r="AG54" s="64"/>
      <c r="AH54"/>
      <c r="AI54" s="125"/>
      <c r="AJ54" s="125"/>
      <c r="AK54" s="78">
        <f t="shared" si="1"/>
        <v>4</v>
      </c>
      <c r="AM54" s="62"/>
    </row>
    <row r="55" spans="1:45" s="63" customFormat="1">
      <c r="A55" s="67" t="s">
        <v>289</v>
      </c>
      <c r="B55" s="105" t="s">
        <v>290</v>
      </c>
      <c r="C55" s="66" t="s">
        <v>64</v>
      </c>
      <c r="D55" s="86" t="s">
        <v>77</v>
      </c>
      <c r="E55" s="66">
        <v>8</v>
      </c>
      <c r="F55" s="65"/>
      <c r="G55" s="127"/>
      <c r="H55" s="127"/>
      <c r="I55" s="62">
        <v>8</v>
      </c>
      <c r="J55" s="62">
        <v>8</v>
      </c>
      <c r="K55" s="62"/>
      <c r="L55" s="64"/>
      <c r="M55" s="64"/>
      <c r="N55" s="127"/>
      <c r="O55" s="127"/>
      <c r="P55" s="62"/>
      <c r="Q55" s="62"/>
      <c r="R55" s="62"/>
      <c r="S55" s="64"/>
      <c r="T55" s="64"/>
      <c r="U55" s="127"/>
      <c r="V55" s="127"/>
      <c r="W55" s="104"/>
      <c r="X55" s="62"/>
      <c r="Y55" s="62"/>
      <c r="Z55" s="64"/>
      <c r="AA55" s="64"/>
      <c r="AB55" s="127"/>
      <c r="AC55" s="127"/>
      <c r="AD55" s="62"/>
      <c r="AE55" s="62"/>
      <c r="AF55" s="62"/>
      <c r="AG55" s="64"/>
      <c r="AH55"/>
      <c r="AI55" s="125"/>
      <c r="AJ55" s="125"/>
      <c r="AK55" s="78">
        <f t="shared" si="1"/>
        <v>16</v>
      </c>
      <c r="AM55" s="62"/>
    </row>
    <row r="56" spans="1:45" s="63" customFormat="1">
      <c r="A56" s="82" t="s">
        <v>188</v>
      </c>
      <c r="B56" s="41" t="s">
        <v>189</v>
      </c>
      <c r="C56" s="66" t="s">
        <v>64</v>
      </c>
      <c r="D56" s="66" t="s">
        <v>190</v>
      </c>
      <c r="E56" s="66">
        <v>8</v>
      </c>
      <c r="F56" s="65"/>
      <c r="G56" s="127"/>
      <c r="H56" s="127"/>
      <c r="I56" s="62"/>
      <c r="J56" s="62"/>
      <c r="K56" s="62"/>
      <c r="L56" s="64"/>
      <c r="M56" s="64"/>
      <c r="N56" s="127"/>
      <c r="O56" s="127"/>
      <c r="P56" s="62"/>
      <c r="Q56" s="62"/>
      <c r="R56" s="62"/>
      <c r="S56" s="64"/>
      <c r="T56" s="64"/>
      <c r="U56" s="127"/>
      <c r="V56" s="127"/>
      <c r="W56" s="104"/>
      <c r="X56" s="62"/>
      <c r="Y56" s="62"/>
      <c r="Z56" s="64"/>
      <c r="AA56" s="64"/>
      <c r="AB56" s="127"/>
      <c r="AC56" s="127"/>
      <c r="AD56" s="62"/>
      <c r="AE56" s="62"/>
      <c r="AF56" s="62"/>
      <c r="AG56" s="64"/>
      <c r="AH56"/>
      <c r="AI56" s="125"/>
      <c r="AJ56" s="125"/>
      <c r="AK56" s="78">
        <f t="shared" si="1"/>
        <v>0</v>
      </c>
      <c r="AM56" s="62"/>
    </row>
    <row r="57" spans="1:45" s="63" customFormat="1">
      <c r="A57" s="82" t="s">
        <v>195</v>
      </c>
      <c r="B57" s="41" t="s">
        <v>196</v>
      </c>
      <c r="C57" s="66" t="s">
        <v>64</v>
      </c>
      <c r="D57" s="81" t="s">
        <v>190</v>
      </c>
      <c r="E57" s="66">
        <v>8</v>
      </c>
      <c r="F57" s="65"/>
      <c r="G57" s="127"/>
      <c r="H57" s="127"/>
      <c r="I57" s="62"/>
      <c r="J57" s="62"/>
      <c r="K57" s="62"/>
      <c r="L57" s="64"/>
      <c r="M57" s="64"/>
      <c r="N57" s="127"/>
      <c r="O57" s="127"/>
      <c r="P57" s="62"/>
      <c r="Q57" s="62"/>
      <c r="R57" s="62"/>
      <c r="S57" s="64"/>
      <c r="T57" s="64"/>
      <c r="U57" s="127"/>
      <c r="V57" s="127"/>
      <c r="W57" s="104"/>
      <c r="X57" s="62"/>
      <c r="Y57" s="62"/>
      <c r="Z57" s="64"/>
      <c r="AA57" s="64"/>
      <c r="AB57" s="127"/>
      <c r="AC57" s="127"/>
      <c r="AD57" s="62"/>
      <c r="AE57" s="62"/>
      <c r="AF57" s="62"/>
      <c r="AG57" s="64"/>
      <c r="AH57"/>
      <c r="AI57" s="125"/>
      <c r="AJ57" s="125"/>
      <c r="AK57" s="78">
        <f t="shared" si="1"/>
        <v>0</v>
      </c>
      <c r="AM57" s="62"/>
    </row>
    <row r="58" spans="1:45" s="63" customFormat="1">
      <c r="A58" s="67" t="s">
        <v>355</v>
      </c>
      <c r="B58" s="40" t="s">
        <v>262</v>
      </c>
      <c r="C58" s="66" t="s">
        <v>64</v>
      </c>
      <c r="D58" s="81" t="s">
        <v>190</v>
      </c>
      <c r="E58" s="66">
        <v>9</v>
      </c>
      <c r="F58" s="65"/>
      <c r="G58" s="127"/>
      <c r="H58" s="127"/>
      <c r="I58" s="62"/>
      <c r="J58" s="62"/>
      <c r="K58" s="62">
        <v>-4</v>
      </c>
      <c r="L58" s="64"/>
      <c r="M58" s="64"/>
      <c r="N58" s="127"/>
      <c r="O58" s="127"/>
      <c r="P58" s="62"/>
      <c r="Q58" s="62"/>
      <c r="R58" s="62"/>
      <c r="S58" s="64"/>
      <c r="T58" s="64"/>
      <c r="U58" s="127"/>
      <c r="V58" s="127"/>
      <c r="W58" s="104"/>
      <c r="X58" s="62"/>
      <c r="Y58" s="62"/>
      <c r="Z58" s="64"/>
      <c r="AA58" s="64"/>
      <c r="AB58" s="127"/>
      <c r="AC58" s="127"/>
      <c r="AD58" s="62"/>
      <c r="AE58" s="62"/>
      <c r="AF58" s="62"/>
      <c r="AG58" s="64"/>
      <c r="AH58"/>
      <c r="AI58" s="125"/>
      <c r="AJ58" s="125"/>
      <c r="AK58" s="78">
        <f t="shared" si="1"/>
        <v>-4</v>
      </c>
      <c r="AM58" s="62"/>
    </row>
    <row r="59" spans="1:45">
      <c r="A59" s="67" t="s">
        <v>283</v>
      </c>
      <c r="B59" s="40" t="s">
        <v>284</v>
      </c>
      <c r="C59" s="66" t="s">
        <v>75</v>
      </c>
      <c r="D59" s="86" t="s">
        <v>99</v>
      </c>
      <c r="E59" s="66">
        <v>8</v>
      </c>
      <c r="F59" s="79"/>
      <c r="G59" s="120"/>
      <c r="H59" s="120"/>
      <c r="I59" s="70"/>
      <c r="J59" s="70"/>
      <c r="M59" s="70"/>
      <c r="N59" s="120"/>
      <c r="O59" s="120"/>
      <c r="P59" s="70"/>
      <c r="Q59" s="70"/>
      <c r="T59" s="70"/>
      <c r="U59" s="120"/>
      <c r="V59" s="120"/>
      <c r="W59" s="79"/>
      <c r="X59" s="70"/>
      <c r="AA59" s="70"/>
      <c r="AB59" s="120"/>
      <c r="AC59" s="120"/>
      <c r="AD59" s="70"/>
      <c r="AE59" s="70"/>
      <c r="AH59" s="70"/>
      <c r="AI59" s="120"/>
      <c r="AJ59" s="120"/>
      <c r="AK59" s="78">
        <f>SUM(F59:AJ59)</f>
        <v>0</v>
      </c>
      <c r="AL59" s="63" t="s">
        <v>356</v>
      </c>
    </row>
    <row r="60" spans="1:45" s="100" customFormat="1" ht="16.7" thickBot="1">
      <c r="A60" s="77"/>
      <c r="B60" s="101"/>
      <c r="C60" s="75"/>
      <c r="D60" s="94"/>
      <c r="E60" s="75"/>
      <c r="F60" s="74"/>
      <c r="G60" s="121"/>
      <c r="H60" s="121"/>
      <c r="I60" s="73"/>
      <c r="J60" s="73"/>
      <c r="K60" s="92"/>
      <c r="L60" s="92"/>
      <c r="M60" s="73"/>
      <c r="N60" s="121"/>
      <c r="O60" s="121"/>
      <c r="P60" s="73"/>
      <c r="Q60" s="73"/>
      <c r="R60" s="92"/>
      <c r="S60" s="92"/>
      <c r="T60" s="73"/>
      <c r="U60" s="121"/>
      <c r="V60" s="121"/>
      <c r="W60" s="74"/>
      <c r="X60" s="73"/>
      <c r="Y60" s="92"/>
      <c r="Z60" s="92"/>
      <c r="AA60" s="73"/>
      <c r="AB60" s="121"/>
      <c r="AC60" s="121"/>
      <c r="AD60" s="73"/>
      <c r="AE60" s="73"/>
      <c r="AF60" s="92"/>
      <c r="AG60" s="92"/>
      <c r="AH60" s="73"/>
      <c r="AI60" s="121"/>
      <c r="AJ60" s="121"/>
      <c r="AK60" s="91"/>
      <c r="AL60" s="90"/>
      <c r="AM60" s="62"/>
      <c r="AN60" s="62"/>
      <c r="AO60" s="62"/>
      <c r="AP60" s="62"/>
      <c r="AQ60" s="62"/>
      <c r="AR60" s="62"/>
      <c r="AS60" s="62"/>
    </row>
    <row r="61" spans="1:45" ht="16.7" thickBot="1">
      <c r="A61" s="89" t="s">
        <v>357</v>
      </c>
      <c r="B61" s="40"/>
      <c r="D61" s="86"/>
      <c r="F61" s="79"/>
      <c r="G61" s="120"/>
      <c r="H61" s="120"/>
      <c r="I61" s="70"/>
      <c r="J61" s="70"/>
      <c r="M61" s="70"/>
      <c r="N61" s="120"/>
      <c r="O61" s="120"/>
      <c r="P61" s="70"/>
      <c r="Q61" s="70"/>
      <c r="T61" s="70"/>
      <c r="U61" s="120"/>
      <c r="V61" s="120"/>
      <c r="W61" s="79"/>
      <c r="X61" s="70"/>
      <c r="AA61" s="70"/>
      <c r="AB61" s="120"/>
      <c r="AC61" s="120"/>
      <c r="AD61" s="70"/>
      <c r="AE61" s="70"/>
      <c r="AH61" s="70"/>
      <c r="AI61" s="120"/>
      <c r="AJ61" s="120"/>
      <c r="AK61" s="78">
        <f t="shared" ref="AK61:AK75" si="4">SUM(F61:AJ61)</f>
        <v>0</v>
      </c>
    </row>
    <row r="62" spans="1:45">
      <c r="A62" s="82" t="s">
        <v>358</v>
      </c>
      <c r="B62" s="41" t="s">
        <v>82</v>
      </c>
      <c r="C62" s="66" t="s">
        <v>64</v>
      </c>
      <c r="D62" s="85" t="s">
        <v>83</v>
      </c>
      <c r="E62" s="66">
        <v>8</v>
      </c>
      <c r="AK62" s="78">
        <f t="shared" si="4"/>
        <v>0</v>
      </c>
    </row>
    <row r="63" spans="1:45">
      <c r="A63" s="82" t="s">
        <v>359</v>
      </c>
      <c r="B63" s="84" t="s">
        <v>87</v>
      </c>
      <c r="C63" s="66" t="s">
        <v>64</v>
      </c>
      <c r="D63" s="85" t="s">
        <v>83</v>
      </c>
      <c r="E63" s="66">
        <v>8</v>
      </c>
      <c r="AK63" s="78">
        <f t="shared" si="4"/>
        <v>0</v>
      </c>
    </row>
    <row r="64" spans="1:45">
      <c r="A64" s="67" t="s">
        <v>360</v>
      </c>
      <c r="B64" s="84" t="s">
        <v>133</v>
      </c>
      <c r="C64" s="66" t="s">
        <v>64</v>
      </c>
      <c r="D64" s="85" t="s">
        <v>83</v>
      </c>
      <c r="E64" s="66">
        <v>8</v>
      </c>
      <c r="AK64" s="78">
        <f t="shared" si="4"/>
        <v>0</v>
      </c>
    </row>
    <row r="65" spans="1:45">
      <c r="A65" s="67" t="s">
        <v>141</v>
      </c>
      <c r="B65" s="84" t="s">
        <v>142</v>
      </c>
      <c r="C65" s="66" t="s">
        <v>75</v>
      </c>
      <c r="D65" s="85" t="s">
        <v>83</v>
      </c>
      <c r="E65" s="66" t="s">
        <v>347</v>
      </c>
      <c r="AK65" s="78">
        <f t="shared" si="4"/>
        <v>0</v>
      </c>
    </row>
    <row r="66" spans="1:45">
      <c r="A66" s="82" t="s">
        <v>361</v>
      </c>
      <c r="B66" s="84" t="s">
        <v>154</v>
      </c>
      <c r="C66" s="66" t="s">
        <v>64</v>
      </c>
      <c r="D66" s="85" t="s">
        <v>83</v>
      </c>
      <c r="E66" s="66">
        <v>8</v>
      </c>
      <c r="N66" s="122"/>
      <c r="O66" s="122"/>
      <c r="AK66" s="78">
        <f t="shared" si="4"/>
        <v>0</v>
      </c>
    </row>
    <row r="67" spans="1:45">
      <c r="A67" s="67" t="s">
        <v>171</v>
      </c>
      <c r="B67" s="102" t="s">
        <v>172</v>
      </c>
      <c r="C67" s="66" t="s">
        <v>75</v>
      </c>
      <c r="D67" s="85" t="s">
        <v>83</v>
      </c>
      <c r="E67" s="66">
        <v>10</v>
      </c>
      <c r="AK67" s="78">
        <f t="shared" si="4"/>
        <v>0</v>
      </c>
      <c r="AL67" s="83"/>
    </row>
    <row r="68" spans="1:45">
      <c r="A68" s="82" t="s">
        <v>362</v>
      </c>
      <c r="B68" s="41" t="s">
        <v>176</v>
      </c>
      <c r="C68" s="66" t="s">
        <v>75</v>
      </c>
      <c r="D68" s="85" t="s">
        <v>83</v>
      </c>
      <c r="E68" s="103" t="s">
        <v>363</v>
      </c>
      <c r="AK68" s="78">
        <f t="shared" si="4"/>
        <v>0</v>
      </c>
      <c r="AL68" s="83"/>
    </row>
    <row r="69" spans="1:45">
      <c r="A69" s="67" t="s">
        <v>364</v>
      </c>
      <c r="B69" s="84" t="s">
        <v>204</v>
      </c>
      <c r="C69" s="66" t="s">
        <v>75</v>
      </c>
      <c r="D69" s="85" t="s">
        <v>83</v>
      </c>
      <c r="E69" s="66">
        <v>8</v>
      </c>
      <c r="AK69" s="78">
        <f t="shared" si="4"/>
        <v>0</v>
      </c>
    </row>
    <row r="70" spans="1:45">
      <c r="A70" s="67" t="s">
        <v>365</v>
      </c>
      <c r="B70" s="84" t="s">
        <v>210</v>
      </c>
      <c r="C70" s="66" t="s">
        <v>75</v>
      </c>
      <c r="D70" s="85" t="s">
        <v>83</v>
      </c>
      <c r="E70" s="66">
        <v>8</v>
      </c>
      <c r="AK70" s="78">
        <f t="shared" si="4"/>
        <v>0</v>
      </c>
    </row>
    <row r="71" spans="1:45">
      <c r="A71" s="67" t="s">
        <v>239</v>
      </c>
      <c r="B71" s="84" t="s">
        <v>240</v>
      </c>
      <c r="C71" s="66" t="s">
        <v>75</v>
      </c>
      <c r="D71" s="85" t="s">
        <v>83</v>
      </c>
      <c r="E71" s="66" t="s">
        <v>347</v>
      </c>
      <c r="AK71" s="78">
        <f t="shared" si="4"/>
        <v>0</v>
      </c>
    </row>
    <row r="72" spans="1:45">
      <c r="A72" s="67" t="s">
        <v>366</v>
      </c>
      <c r="B72" s="102" t="s">
        <v>244</v>
      </c>
      <c r="C72" s="66" t="s">
        <v>75</v>
      </c>
      <c r="D72" s="85" t="s">
        <v>83</v>
      </c>
      <c r="E72" s="66">
        <v>9</v>
      </c>
      <c r="AK72" s="78">
        <f t="shared" si="4"/>
        <v>0</v>
      </c>
      <c r="AL72" s="83"/>
    </row>
    <row r="73" spans="1:45">
      <c r="A73" s="82" t="s">
        <v>367</v>
      </c>
      <c r="B73" t="s">
        <v>274</v>
      </c>
      <c r="C73" s="66" t="s">
        <v>64</v>
      </c>
      <c r="D73" s="85" t="s">
        <v>83</v>
      </c>
      <c r="E73" s="66">
        <v>8</v>
      </c>
      <c r="AK73" s="78">
        <f t="shared" si="4"/>
        <v>0</v>
      </c>
    </row>
    <row r="74" spans="1:45">
      <c r="A74" s="82" t="s">
        <v>368</v>
      </c>
      <c r="B74" s="41" t="s">
        <v>296</v>
      </c>
      <c r="C74" s="66" t="s">
        <v>64</v>
      </c>
      <c r="D74" s="85" t="s">
        <v>83</v>
      </c>
      <c r="E74" s="66">
        <v>8</v>
      </c>
      <c r="H74" s="120"/>
      <c r="L74" s="70"/>
      <c r="N74" s="120"/>
      <c r="O74" s="120"/>
      <c r="P74" s="70"/>
      <c r="R74" s="70"/>
      <c r="S74" s="70"/>
      <c r="T74" s="70"/>
      <c r="U74" s="120"/>
      <c r="V74" s="120"/>
      <c r="W74" s="79"/>
      <c r="X74" s="70"/>
      <c r="Y74" s="70"/>
      <c r="Z74" s="70"/>
      <c r="AA74" s="70"/>
      <c r="AB74" s="120"/>
      <c r="AC74" s="120"/>
      <c r="AD74" s="70"/>
      <c r="AE74" s="70"/>
      <c r="AF74" s="70"/>
      <c r="AG74" s="70"/>
      <c r="AH74" s="70"/>
      <c r="AI74" s="120"/>
      <c r="AJ74" s="120"/>
      <c r="AK74" s="78">
        <f t="shared" si="4"/>
        <v>0</v>
      </c>
    </row>
    <row r="75" spans="1:45">
      <c r="A75" s="82" t="s">
        <v>369</v>
      </c>
      <c r="B75" s="41" t="s">
        <v>304</v>
      </c>
      <c r="C75" s="66" t="s">
        <v>64</v>
      </c>
      <c r="D75" s="85" t="s">
        <v>83</v>
      </c>
      <c r="E75" s="66">
        <v>8</v>
      </c>
      <c r="AK75" s="78">
        <f t="shared" si="4"/>
        <v>0</v>
      </c>
    </row>
    <row r="76" spans="1:45" s="90" customFormat="1" ht="16.7" thickBot="1">
      <c r="A76" s="77"/>
      <c r="B76" s="101"/>
      <c r="C76" s="75"/>
      <c r="D76" s="76"/>
      <c r="E76" s="75"/>
      <c r="F76" s="93"/>
      <c r="G76" s="126"/>
      <c r="H76" s="126"/>
      <c r="I76" s="100"/>
      <c r="J76" s="100"/>
      <c r="K76" s="100"/>
      <c r="L76" s="92"/>
      <c r="M76" s="92"/>
      <c r="N76" s="126"/>
      <c r="O76" s="126"/>
      <c r="P76" s="100"/>
      <c r="Q76" s="100"/>
      <c r="R76" s="100"/>
      <c r="S76" s="92"/>
      <c r="T76" s="92"/>
      <c r="U76" s="126"/>
      <c r="V76" s="126"/>
      <c r="W76" s="99"/>
      <c r="X76" s="100"/>
      <c r="Y76" s="100"/>
      <c r="Z76" s="92"/>
      <c r="AA76" s="92"/>
      <c r="AB76" s="126"/>
      <c r="AC76" s="126"/>
      <c r="AD76" s="100"/>
      <c r="AE76" s="100"/>
      <c r="AF76" s="100"/>
      <c r="AG76" s="92"/>
      <c r="AH76" s="98"/>
      <c r="AI76" s="130"/>
      <c r="AJ76" s="130"/>
      <c r="AK76" s="91"/>
      <c r="AM76" s="62"/>
      <c r="AN76" s="63"/>
      <c r="AO76" s="63"/>
      <c r="AP76" s="63"/>
      <c r="AQ76" s="63"/>
      <c r="AR76" s="63"/>
      <c r="AS76" s="63"/>
    </row>
    <row r="77" spans="1:45" ht="16.7" thickBot="1">
      <c r="A77" s="89" t="s">
        <v>370</v>
      </c>
      <c r="D77" s="85"/>
      <c r="AK77" s="78">
        <f t="shared" ref="AK77:AK86" si="5">SUM(F77:AJ77)</f>
        <v>0</v>
      </c>
    </row>
    <row r="78" spans="1:45">
      <c r="A78" s="82" t="s">
        <v>371</v>
      </c>
      <c r="B78" s="41" t="s">
        <v>135</v>
      </c>
      <c r="C78" s="66" t="s">
        <v>64</v>
      </c>
      <c r="D78" s="86" t="s">
        <v>136</v>
      </c>
      <c r="E78" s="66">
        <v>8</v>
      </c>
      <c r="I78" s="70"/>
      <c r="AK78" s="78">
        <f t="shared" si="5"/>
        <v>0</v>
      </c>
    </row>
    <row r="79" spans="1:45">
      <c r="A79" s="82" t="s">
        <v>372</v>
      </c>
      <c r="B79" s="41" t="s">
        <v>166</v>
      </c>
      <c r="C79" s="66" t="s">
        <v>75</v>
      </c>
      <c r="D79" s="86" t="s">
        <v>136</v>
      </c>
      <c r="E79" s="66">
        <v>10</v>
      </c>
      <c r="AK79" s="78">
        <f t="shared" si="5"/>
        <v>0</v>
      </c>
      <c r="AL79" s="83"/>
    </row>
    <row r="80" spans="1:45">
      <c r="A80" s="82" t="s">
        <v>373</v>
      </c>
      <c r="B80" s="41" t="s">
        <v>214</v>
      </c>
      <c r="C80" s="66" t="s">
        <v>64</v>
      </c>
      <c r="D80" s="86" t="s">
        <v>136</v>
      </c>
      <c r="E80" s="66">
        <v>8</v>
      </c>
      <c r="AK80" s="78">
        <f t="shared" si="5"/>
        <v>0</v>
      </c>
    </row>
    <row r="81" spans="1:39">
      <c r="A81" s="67" t="s">
        <v>374</v>
      </c>
      <c r="B81" s="84" t="s">
        <v>218</v>
      </c>
      <c r="C81" s="66" t="s">
        <v>75</v>
      </c>
      <c r="D81" s="66" t="s">
        <v>136</v>
      </c>
      <c r="E81" s="66">
        <v>10</v>
      </c>
      <c r="AK81" s="78">
        <f t="shared" si="5"/>
        <v>0</v>
      </c>
      <c r="AL81" s="83"/>
    </row>
    <row r="82" spans="1:39">
      <c r="A82" s="82" t="s">
        <v>375</v>
      </c>
      <c r="B82" s="41" t="s">
        <v>246</v>
      </c>
      <c r="C82" s="66" t="s">
        <v>75</v>
      </c>
      <c r="D82" s="85" t="s">
        <v>136</v>
      </c>
      <c r="E82" s="66">
        <v>10</v>
      </c>
      <c r="Q82" s="70"/>
      <c r="AK82" s="78">
        <f t="shared" si="5"/>
        <v>0</v>
      </c>
      <c r="AL82" s="83"/>
    </row>
    <row r="83" spans="1:39">
      <c r="A83" s="67" t="s">
        <v>376</v>
      </c>
      <c r="B83" s="40" t="s">
        <v>298</v>
      </c>
      <c r="C83" s="66" t="s">
        <v>64</v>
      </c>
      <c r="D83" s="66" t="s">
        <v>136</v>
      </c>
      <c r="E83" s="66">
        <v>8</v>
      </c>
      <c r="Y83" s="70"/>
      <c r="Z83" s="70"/>
      <c r="AC83" s="120"/>
      <c r="AD83" s="70"/>
      <c r="AF83" s="70"/>
      <c r="AG83" s="70"/>
      <c r="AI83" s="120"/>
      <c r="AJ83" s="120"/>
      <c r="AK83" s="78">
        <f t="shared" si="5"/>
        <v>0</v>
      </c>
      <c r="AL83" s="83"/>
    </row>
    <row r="84" spans="1:39">
      <c r="A84" s="67" t="s">
        <v>377</v>
      </c>
      <c r="B84" s="8" t="s">
        <v>302</v>
      </c>
      <c r="C84" s="66" t="s">
        <v>64</v>
      </c>
      <c r="D84" s="85" t="s">
        <v>136</v>
      </c>
      <c r="E84" s="66">
        <v>8</v>
      </c>
      <c r="Q84" s="70"/>
      <c r="AK84" s="78">
        <f t="shared" si="5"/>
        <v>0</v>
      </c>
      <c r="AL84" s="83"/>
    </row>
    <row r="85" spans="1:39">
      <c r="A85" s="82" t="s">
        <v>378</v>
      </c>
      <c r="B85" s="41" t="s">
        <v>315</v>
      </c>
      <c r="C85" s="66" t="s">
        <v>64</v>
      </c>
      <c r="D85" s="85" t="s">
        <v>136</v>
      </c>
      <c r="E85" s="66">
        <v>8</v>
      </c>
      <c r="AK85" s="78">
        <f t="shared" si="5"/>
        <v>0</v>
      </c>
    </row>
    <row r="86" spans="1:39">
      <c r="A86" s="82" t="s">
        <v>379</v>
      </c>
      <c r="B86" s="41" t="s">
        <v>327</v>
      </c>
      <c r="C86" s="66" t="s">
        <v>64</v>
      </c>
      <c r="D86" s="85" t="s">
        <v>136</v>
      </c>
      <c r="E86" s="66">
        <v>8</v>
      </c>
      <c r="V86" s="120"/>
      <c r="Y86" s="70"/>
      <c r="AK86" s="78">
        <f t="shared" si="5"/>
        <v>0</v>
      </c>
    </row>
    <row r="87" spans="1:39" ht="16.7" thickBot="1">
      <c r="A87" s="77"/>
      <c r="B87" s="97"/>
      <c r="C87" s="75"/>
      <c r="D87" s="96"/>
      <c r="E87" s="75"/>
      <c r="F87" s="93"/>
      <c r="G87" s="124"/>
      <c r="H87" s="124"/>
      <c r="I87" s="92"/>
      <c r="J87" s="92"/>
      <c r="K87" s="92"/>
      <c r="L87" s="92"/>
      <c r="M87" s="92"/>
      <c r="N87" s="124"/>
      <c r="O87" s="124"/>
      <c r="P87" s="92"/>
      <c r="Q87" s="92"/>
      <c r="R87" s="92"/>
      <c r="S87" s="92"/>
      <c r="T87" s="92"/>
      <c r="U87" s="124"/>
      <c r="V87" s="121"/>
      <c r="W87" s="93"/>
      <c r="X87" s="92"/>
      <c r="Y87" s="73"/>
      <c r="Z87" s="92"/>
      <c r="AA87" s="92"/>
      <c r="AB87" s="124"/>
      <c r="AC87" s="124"/>
      <c r="AD87" s="92"/>
      <c r="AE87" s="92"/>
      <c r="AF87" s="92"/>
      <c r="AG87" s="92"/>
      <c r="AH87" s="92"/>
      <c r="AI87" s="124"/>
      <c r="AJ87" s="124"/>
      <c r="AK87" s="91"/>
      <c r="AL87" s="90"/>
    </row>
    <row r="88" spans="1:39" s="63" customFormat="1" ht="16.7" thickBot="1">
      <c r="A88" s="89" t="s">
        <v>380</v>
      </c>
      <c r="B88" s="66"/>
      <c r="C88" s="66"/>
      <c r="D88" s="86"/>
      <c r="E88" s="66"/>
      <c r="F88" s="65"/>
      <c r="G88" s="68"/>
      <c r="H88" s="131"/>
      <c r="I88" s="64"/>
      <c r="J88" s="64"/>
      <c r="K88" s="64"/>
      <c r="L88" s="64"/>
      <c r="M88" s="64"/>
      <c r="N88" s="68"/>
      <c r="O88" s="68"/>
      <c r="P88" s="64"/>
      <c r="Q88" s="64"/>
      <c r="R88" s="64"/>
      <c r="S88" s="64"/>
      <c r="T88" s="64"/>
      <c r="U88" s="68"/>
      <c r="V88" s="68"/>
      <c r="W88" s="132"/>
      <c r="X88"/>
      <c r="Y88" s="64"/>
      <c r="Z88" s="64"/>
      <c r="AA88"/>
      <c r="AB88" s="68"/>
      <c r="AC88" s="68"/>
      <c r="AD88" s="64"/>
      <c r="AE88" s="64"/>
      <c r="AF88" s="64"/>
      <c r="AG88" s="64"/>
      <c r="AH88" s="64"/>
      <c r="AI88" s="68"/>
      <c r="AJ88" s="68"/>
      <c r="AK88" s="78">
        <f t="shared" ref="AK88:AK135" si="6">SUM(F88:AJ88)</f>
        <v>0</v>
      </c>
      <c r="AM88" s="62"/>
    </row>
    <row r="89" spans="1:39" s="63" customFormat="1">
      <c r="A89" s="82" t="s">
        <v>381</v>
      </c>
      <c r="B89" s="41" t="s">
        <v>107</v>
      </c>
      <c r="C89" s="66" t="s">
        <v>64</v>
      </c>
      <c r="D89" s="86" t="s">
        <v>108</v>
      </c>
      <c r="E89" s="95">
        <v>7</v>
      </c>
      <c r="F89" s="79"/>
      <c r="G89" s="120"/>
      <c r="H89" s="120"/>
      <c r="I89" s="70"/>
      <c r="J89" s="70"/>
      <c r="K89" s="70"/>
      <c r="L89" s="70"/>
      <c r="M89" s="70"/>
      <c r="N89" s="120"/>
      <c r="O89" s="68"/>
      <c r="P89" s="70"/>
      <c r="Q89" s="70"/>
      <c r="R89" s="70"/>
      <c r="S89" s="70"/>
      <c r="T89" s="70"/>
      <c r="U89" s="68"/>
      <c r="V89" s="68"/>
      <c r="W89" s="65"/>
      <c r="X89" s="64"/>
      <c r="Y89" s="70"/>
      <c r="Z89" s="70"/>
      <c r="AA89" s="70"/>
      <c r="AB89" s="120"/>
      <c r="AC89" s="68"/>
      <c r="AD89" s="70"/>
      <c r="AE89" s="64"/>
      <c r="AF89" s="70"/>
      <c r="AG89" s="70"/>
      <c r="AH89" s="70"/>
      <c r="AI89" s="68"/>
      <c r="AJ89" s="120"/>
      <c r="AK89" s="78">
        <f t="shared" si="6"/>
        <v>0</v>
      </c>
      <c r="AM89" s="62"/>
    </row>
    <row r="90" spans="1:39">
      <c r="A90" s="67" t="s">
        <v>124</v>
      </c>
      <c r="B90" s="84" t="s">
        <v>125</v>
      </c>
      <c r="C90" s="66" t="s">
        <v>64</v>
      </c>
      <c r="D90" s="66" t="s">
        <v>108</v>
      </c>
      <c r="E90" s="66">
        <v>8</v>
      </c>
      <c r="F90" s="79"/>
      <c r="G90" s="120"/>
      <c r="H90" s="120"/>
      <c r="I90" s="70"/>
      <c r="J90" s="70"/>
      <c r="K90" s="70"/>
      <c r="L90" s="70"/>
      <c r="M90" s="70"/>
      <c r="N90" s="120"/>
      <c r="O90" s="120"/>
      <c r="P90" s="70"/>
      <c r="Q90" s="70"/>
      <c r="R90" s="70"/>
      <c r="S90" s="70"/>
      <c r="T90" s="70"/>
      <c r="U90" s="120"/>
      <c r="V90" s="120"/>
      <c r="W90" s="79"/>
      <c r="X90" s="70"/>
      <c r="Y90" s="70"/>
      <c r="Z90" s="70"/>
      <c r="AA90" s="70"/>
      <c r="AB90" s="120"/>
      <c r="AC90" s="120"/>
      <c r="AD90" s="70"/>
      <c r="AE90" s="70"/>
      <c r="AF90" s="70"/>
      <c r="AG90" s="70"/>
      <c r="AH90" s="70"/>
      <c r="AI90" s="120"/>
      <c r="AJ90" s="120"/>
      <c r="AK90" s="78">
        <f t="shared" si="6"/>
        <v>0</v>
      </c>
    </row>
    <row r="91" spans="1:39">
      <c r="A91" s="82" t="s">
        <v>382</v>
      </c>
      <c r="B91" s="41" t="s">
        <v>164</v>
      </c>
      <c r="C91" s="66" t="s">
        <v>64</v>
      </c>
      <c r="D91" s="86" t="s">
        <v>108</v>
      </c>
      <c r="E91" s="66">
        <v>8</v>
      </c>
      <c r="F91" s="79"/>
      <c r="G91" s="120"/>
      <c r="H91" s="120"/>
      <c r="I91" s="70"/>
      <c r="J91" s="70"/>
      <c r="K91" s="70"/>
      <c r="L91" s="70"/>
      <c r="M91" s="70"/>
      <c r="N91" s="120"/>
      <c r="O91" s="120"/>
      <c r="P91" s="70"/>
      <c r="Q91" s="70"/>
      <c r="R91" s="70"/>
      <c r="S91" s="70"/>
      <c r="T91" s="70"/>
      <c r="U91" s="120"/>
      <c r="V91" s="120"/>
      <c r="W91" s="79"/>
      <c r="X91" s="70"/>
      <c r="Y91" s="70"/>
      <c r="Z91" s="70"/>
      <c r="AA91" s="70"/>
      <c r="AB91" s="120"/>
      <c r="AC91" s="120"/>
      <c r="AD91" s="70"/>
      <c r="AE91" s="70"/>
      <c r="AF91" s="70"/>
      <c r="AG91" s="70"/>
      <c r="AH91" s="70"/>
      <c r="AI91" s="120"/>
      <c r="AJ91" s="120"/>
      <c r="AK91" s="78">
        <f t="shared" si="6"/>
        <v>0</v>
      </c>
    </row>
    <row r="92" spans="1:39">
      <c r="A92" s="82" t="s">
        <v>383</v>
      </c>
      <c r="B92" s="41" t="s">
        <v>168</v>
      </c>
      <c r="C92" s="66" t="s">
        <v>64</v>
      </c>
      <c r="D92" s="85" t="s">
        <v>108</v>
      </c>
      <c r="E92" s="66">
        <v>8</v>
      </c>
      <c r="F92" s="79"/>
      <c r="G92" s="120"/>
      <c r="H92" s="120"/>
      <c r="I92" s="70"/>
      <c r="J92" s="70"/>
      <c r="K92" s="70"/>
      <c r="L92" s="70"/>
      <c r="M92" s="70"/>
      <c r="N92" s="120"/>
      <c r="O92" s="120"/>
      <c r="P92" s="70"/>
      <c r="Q92" s="70"/>
      <c r="R92" s="70"/>
      <c r="S92" s="70"/>
      <c r="T92" s="70"/>
      <c r="U92" s="120"/>
      <c r="V92" s="120"/>
      <c r="W92" s="79"/>
      <c r="X92" s="70"/>
      <c r="Y92" s="70"/>
      <c r="Z92" s="70"/>
      <c r="AA92" s="70"/>
      <c r="AB92" s="120"/>
      <c r="AC92" s="120"/>
      <c r="AD92" s="70"/>
      <c r="AE92" s="70"/>
      <c r="AF92" s="70"/>
      <c r="AG92" s="70"/>
      <c r="AH92" s="70"/>
      <c r="AI92" s="120"/>
      <c r="AJ92" s="120"/>
      <c r="AK92" s="78">
        <f t="shared" si="6"/>
        <v>0</v>
      </c>
    </row>
    <row r="93" spans="1:39">
      <c r="A93" s="82" t="s">
        <v>384</v>
      </c>
      <c r="B93" s="41" t="s">
        <v>220</v>
      </c>
      <c r="C93" s="66" t="s">
        <v>64</v>
      </c>
      <c r="D93" s="86" t="s">
        <v>108</v>
      </c>
      <c r="E93" s="66">
        <v>8</v>
      </c>
      <c r="F93" s="79"/>
      <c r="G93" s="120"/>
      <c r="H93" s="120"/>
      <c r="I93" s="70"/>
      <c r="J93" s="70"/>
      <c r="K93" s="70"/>
      <c r="L93" s="70"/>
      <c r="M93" s="70"/>
      <c r="N93" s="120"/>
      <c r="O93" s="120"/>
      <c r="P93" s="70"/>
      <c r="Q93" s="70"/>
      <c r="R93" s="70"/>
      <c r="S93" s="70"/>
      <c r="T93" s="70"/>
      <c r="U93" s="120"/>
      <c r="V93" s="120"/>
      <c r="W93" s="79"/>
      <c r="X93" s="70"/>
      <c r="Y93" s="70"/>
      <c r="Z93" s="70"/>
      <c r="AA93" s="70"/>
      <c r="AB93" s="120"/>
      <c r="AC93" s="120"/>
      <c r="AD93" s="70"/>
      <c r="AE93" s="70"/>
      <c r="AF93" s="70"/>
      <c r="AG93" s="70"/>
      <c r="AH93" s="70"/>
      <c r="AI93" s="120"/>
      <c r="AJ93" s="120"/>
      <c r="AK93" s="78">
        <f t="shared" si="6"/>
        <v>0</v>
      </c>
    </row>
    <row r="94" spans="1:39">
      <c r="A94" s="82" t="s">
        <v>385</v>
      </c>
      <c r="B94" s="41" t="s">
        <v>270</v>
      </c>
      <c r="C94" s="66" t="s">
        <v>64</v>
      </c>
      <c r="D94" s="85" t="s">
        <v>108</v>
      </c>
      <c r="E94" s="66">
        <v>8</v>
      </c>
      <c r="F94" s="79"/>
      <c r="G94" s="120"/>
      <c r="H94" s="120"/>
      <c r="I94" s="70"/>
      <c r="J94" s="70"/>
      <c r="K94" s="70"/>
      <c r="L94" s="70"/>
      <c r="M94" s="70"/>
      <c r="N94" s="120"/>
      <c r="O94" s="120"/>
      <c r="P94" s="70"/>
      <c r="Q94" s="70"/>
      <c r="R94" s="70"/>
      <c r="S94" s="70"/>
      <c r="T94" s="70"/>
      <c r="U94" s="120"/>
      <c r="V94" s="120"/>
      <c r="W94" s="79"/>
      <c r="X94" s="70"/>
      <c r="Y94" s="70"/>
      <c r="Z94" s="70"/>
      <c r="AA94" s="70"/>
      <c r="AB94" s="120"/>
      <c r="AC94" s="120"/>
      <c r="AD94" s="70"/>
      <c r="AE94" s="70"/>
      <c r="AF94" s="70"/>
      <c r="AG94" s="70"/>
      <c r="AH94" s="70"/>
      <c r="AI94" s="120"/>
      <c r="AJ94" s="120"/>
      <c r="AK94" s="78">
        <f t="shared" si="6"/>
        <v>0</v>
      </c>
    </row>
    <row r="95" spans="1:39">
      <c r="A95" s="82" t="s">
        <v>386</v>
      </c>
      <c r="B95" s="41" t="s">
        <v>319</v>
      </c>
      <c r="C95" s="66" t="s">
        <v>64</v>
      </c>
      <c r="D95" s="85" t="s">
        <v>108</v>
      </c>
      <c r="E95" s="66">
        <v>8</v>
      </c>
      <c r="F95" s="79"/>
      <c r="G95" s="120"/>
      <c r="H95" s="120"/>
      <c r="I95" s="70"/>
      <c r="J95" s="70"/>
      <c r="K95" s="70"/>
      <c r="L95" s="70"/>
      <c r="M95" s="70"/>
      <c r="N95" s="120"/>
      <c r="O95" s="120"/>
      <c r="P95" s="70"/>
      <c r="Q95" s="70"/>
      <c r="R95" s="70"/>
      <c r="S95" s="70"/>
      <c r="T95" s="70"/>
      <c r="U95" s="120"/>
      <c r="V95" s="120"/>
      <c r="W95" s="79"/>
      <c r="X95" s="70"/>
      <c r="Y95" s="70"/>
      <c r="Z95" s="70"/>
      <c r="AA95" s="70"/>
      <c r="AB95" s="120"/>
      <c r="AC95" s="120"/>
      <c r="AD95" s="70"/>
      <c r="AE95" s="70"/>
      <c r="AF95" s="70"/>
      <c r="AG95" s="70"/>
      <c r="AH95" s="70"/>
      <c r="AI95" s="120"/>
      <c r="AJ95" s="120"/>
      <c r="AK95" s="78">
        <f t="shared" si="6"/>
        <v>0</v>
      </c>
    </row>
    <row r="96" spans="1:39">
      <c r="A96" s="82" t="s">
        <v>387</v>
      </c>
      <c r="B96" s="41" t="s">
        <v>94</v>
      </c>
      <c r="C96" s="66" t="s">
        <v>75</v>
      </c>
      <c r="D96" s="86" t="s">
        <v>96</v>
      </c>
      <c r="E96" s="66">
        <v>8</v>
      </c>
      <c r="AK96" s="78">
        <f t="shared" si="6"/>
        <v>0</v>
      </c>
    </row>
    <row r="97" spans="1:39">
      <c r="A97" s="67" t="s">
        <v>388</v>
      </c>
      <c r="B97" s="84" t="s">
        <v>119</v>
      </c>
      <c r="C97" s="66" t="s">
        <v>75</v>
      </c>
      <c r="D97" s="66" t="s">
        <v>96</v>
      </c>
      <c r="E97" s="66">
        <v>8</v>
      </c>
      <c r="AK97" s="78">
        <f t="shared" si="6"/>
        <v>0</v>
      </c>
    </row>
    <row r="98" spans="1:39">
      <c r="A98" s="67" t="s">
        <v>389</v>
      </c>
      <c r="B98" s="84" t="s">
        <v>146</v>
      </c>
      <c r="C98" s="66" t="s">
        <v>75</v>
      </c>
      <c r="D98" s="66" t="s">
        <v>96</v>
      </c>
      <c r="E98" s="66">
        <v>8</v>
      </c>
      <c r="AK98" s="78">
        <f t="shared" si="6"/>
        <v>0</v>
      </c>
    </row>
    <row r="99" spans="1:39">
      <c r="A99" s="82" t="s">
        <v>390</v>
      </c>
      <c r="B99" s="41" t="s">
        <v>174</v>
      </c>
      <c r="C99" s="66" t="s">
        <v>75</v>
      </c>
      <c r="D99" s="86" t="s">
        <v>96</v>
      </c>
      <c r="E99" s="66">
        <v>8</v>
      </c>
      <c r="AK99" s="78">
        <f t="shared" si="6"/>
        <v>0</v>
      </c>
    </row>
    <row r="100" spans="1:39">
      <c r="A100" s="67" t="s">
        <v>391</v>
      </c>
      <c r="B100" s="84" t="s">
        <v>242</v>
      </c>
      <c r="C100" s="66" t="s">
        <v>75</v>
      </c>
      <c r="D100" s="66" t="s">
        <v>96</v>
      </c>
      <c r="E100" s="66">
        <v>8</v>
      </c>
      <c r="AK100" s="78">
        <f t="shared" si="6"/>
        <v>0</v>
      </c>
    </row>
    <row r="101" spans="1:39">
      <c r="A101" s="67" t="s">
        <v>279</v>
      </c>
      <c r="B101" s="40" t="s">
        <v>280</v>
      </c>
      <c r="C101" s="66" t="s">
        <v>75</v>
      </c>
      <c r="D101" s="85" t="s">
        <v>96</v>
      </c>
      <c r="E101" s="66">
        <v>8</v>
      </c>
      <c r="AK101" s="78">
        <f t="shared" si="6"/>
        <v>0</v>
      </c>
      <c r="AL101" s="83"/>
    </row>
    <row r="102" spans="1:39">
      <c r="A102" s="67" t="s">
        <v>392</v>
      </c>
      <c r="B102" t="s">
        <v>308</v>
      </c>
      <c r="C102" s="66" t="s">
        <v>75</v>
      </c>
      <c r="D102" s="85" t="s">
        <v>96</v>
      </c>
      <c r="E102" s="66">
        <v>9</v>
      </c>
      <c r="AK102" s="78">
        <f t="shared" si="6"/>
        <v>0</v>
      </c>
      <c r="AL102" s="83"/>
    </row>
    <row r="103" spans="1:39">
      <c r="A103" s="67" t="s">
        <v>393</v>
      </c>
      <c r="B103" s="84" t="s">
        <v>306</v>
      </c>
      <c r="C103" s="66" t="s">
        <v>75</v>
      </c>
      <c r="D103" s="86" t="s">
        <v>96</v>
      </c>
      <c r="E103" s="66">
        <v>8</v>
      </c>
      <c r="AK103" s="78">
        <f t="shared" si="6"/>
        <v>0</v>
      </c>
    </row>
    <row r="104" spans="1:39">
      <c r="A104" s="67" t="s">
        <v>324</v>
      </c>
      <c r="B104" s="84" t="s">
        <v>325</v>
      </c>
      <c r="C104" s="66" t="s">
        <v>75</v>
      </c>
      <c r="D104" s="85" t="s">
        <v>96</v>
      </c>
      <c r="E104" s="66">
        <v>4</v>
      </c>
      <c r="AK104" s="78">
        <f t="shared" si="6"/>
        <v>0</v>
      </c>
      <c r="AL104" s="83"/>
      <c r="AM104" s="69"/>
    </row>
    <row r="105" spans="1:39" s="69" customFormat="1">
      <c r="A105" s="67" t="s">
        <v>394</v>
      </c>
      <c r="B105" s="84" t="s">
        <v>79</v>
      </c>
      <c r="C105" s="66" t="s">
        <v>75</v>
      </c>
      <c r="D105" s="81" t="s">
        <v>80</v>
      </c>
      <c r="E105" s="66">
        <v>10</v>
      </c>
      <c r="F105" s="65"/>
      <c r="G105" s="68"/>
      <c r="H105" s="68"/>
      <c r="I105" s="64"/>
      <c r="J105" s="64"/>
      <c r="K105" s="64"/>
      <c r="L105" s="64"/>
      <c r="M105" s="64"/>
      <c r="N105" s="68"/>
      <c r="O105" s="68"/>
      <c r="P105" s="64"/>
      <c r="Q105" s="64"/>
      <c r="R105" s="64"/>
      <c r="S105" s="64"/>
      <c r="T105" s="64"/>
      <c r="U105" s="68"/>
      <c r="V105" s="68"/>
      <c r="W105" s="65"/>
      <c r="X105" s="64"/>
      <c r="Y105" s="64"/>
      <c r="Z105" s="64"/>
      <c r="AA105" s="64"/>
      <c r="AB105" s="68"/>
      <c r="AC105" s="68"/>
      <c r="AD105" s="64"/>
      <c r="AE105" s="64"/>
      <c r="AF105" s="64"/>
      <c r="AG105" s="64"/>
      <c r="AH105" s="64"/>
      <c r="AI105" s="68"/>
      <c r="AJ105" s="68"/>
      <c r="AK105" s="78">
        <f t="shared" si="6"/>
        <v>0</v>
      </c>
      <c r="AL105" s="83"/>
    </row>
    <row r="106" spans="1:39" s="69" customFormat="1">
      <c r="A106" s="67" t="s">
        <v>395</v>
      </c>
      <c r="B106" s="84" t="s">
        <v>121</v>
      </c>
      <c r="C106" s="66" t="s">
        <v>75</v>
      </c>
      <c r="D106" s="81" t="s">
        <v>80</v>
      </c>
      <c r="E106" s="66">
        <v>10</v>
      </c>
      <c r="F106" s="65"/>
      <c r="G106" s="68"/>
      <c r="H106" s="68"/>
      <c r="I106" s="64"/>
      <c r="J106" s="64"/>
      <c r="K106" s="64"/>
      <c r="L106" s="64"/>
      <c r="M106" s="64"/>
      <c r="N106" s="68"/>
      <c r="O106" s="68"/>
      <c r="P106" s="64"/>
      <c r="Q106" s="64"/>
      <c r="R106" s="64"/>
      <c r="S106" s="64"/>
      <c r="T106" s="64"/>
      <c r="U106" s="68"/>
      <c r="V106" s="68"/>
      <c r="W106" s="65"/>
      <c r="X106" s="64"/>
      <c r="Y106" s="64"/>
      <c r="Z106" s="64"/>
      <c r="AA106" s="64"/>
      <c r="AB106" s="68"/>
      <c r="AC106" s="68"/>
      <c r="AD106" s="64"/>
      <c r="AE106" s="64"/>
      <c r="AF106" s="64"/>
      <c r="AG106" s="64"/>
      <c r="AH106" s="64"/>
      <c r="AI106" s="68"/>
      <c r="AJ106" s="68"/>
      <c r="AK106" s="78">
        <f t="shared" si="6"/>
        <v>0</v>
      </c>
      <c r="AL106" s="83"/>
    </row>
    <row r="107" spans="1:39" s="69" customFormat="1">
      <c r="A107" s="67" t="s">
        <v>396</v>
      </c>
      <c r="B107" s="84" t="s">
        <v>170</v>
      </c>
      <c r="C107" s="66" t="s">
        <v>75</v>
      </c>
      <c r="D107" s="81" t="s">
        <v>80</v>
      </c>
      <c r="E107" s="66">
        <v>10</v>
      </c>
      <c r="F107" s="65"/>
      <c r="G107" s="68"/>
      <c r="H107" s="68"/>
      <c r="I107" s="64"/>
      <c r="J107" s="64"/>
      <c r="K107" s="64"/>
      <c r="L107" s="64"/>
      <c r="M107" s="64"/>
      <c r="N107" s="68"/>
      <c r="O107" s="68"/>
      <c r="P107" s="64"/>
      <c r="Q107" s="64"/>
      <c r="R107" s="64"/>
      <c r="S107" s="64"/>
      <c r="T107" s="64"/>
      <c r="U107" s="68"/>
      <c r="V107" s="68"/>
      <c r="W107" s="65"/>
      <c r="X107" s="64"/>
      <c r="Y107" s="64"/>
      <c r="Z107" s="64"/>
      <c r="AA107" s="64"/>
      <c r="AB107" s="68"/>
      <c r="AC107" s="68"/>
      <c r="AD107" s="64"/>
      <c r="AE107" s="64"/>
      <c r="AF107" s="64"/>
      <c r="AG107" s="64"/>
      <c r="AH107" s="64"/>
      <c r="AI107" s="68"/>
      <c r="AJ107" s="68"/>
      <c r="AK107" s="78">
        <f t="shared" si="6"/>
        <v>0</v>
      </c>
      <c r="AL107" s="83"/>
    </row>
    <row r="108" spans="1:39" s="69" customFormat="1">
      <c r="A108" s="67" t="s">
        <v>179</v>
      </c>
      <c r="B108" s="84" t="s">
        <v>180</v>
      </c>
      <c r="C108" s="66" t="s">
        <v>75</v>
      </c>
      <c r="D108" s="81" t="s">
        <v>80</v>
      </c>
      <c r="E108" s="66">
        <v>10</v>
      </c>
      <c r="F108" s="65"/>
      <c r="G108" s="68"/>
      <c r="H108" s="68"/>
      <c r="I108" s="64"/>
      <c r="J108" s="64"/>
      <c r="K108" s="64"/>
      <c r="L108" s="64"/>
      <c r="M108" s="64"/>
      <c r="N108" s="68"/>
      <c r="O108" s="68"/>
      <c r="P108" s="64"/>
      <c r="Q108" s="64"/>
      <c r="R108" s="64"/>
      <c r="S108" s="64"/>
      <c r="T108" s="64"/>
      <c r="U108" s="68"/>
      <c r="V108" s="68"/>
      <c r="W108" s="65"/>
      <c r="X108" s="64"/>
      <c r="Y108" s="64"/>
      <c r="Z108" s="64"/>
      <c r="AA108" s="64"/>
      <c r="AB108" s="68"/>
      <c r="AC108" s="68"/>
      <c r="AD108" s="64"/>
      <c r="AE108" s="64"/>
      <c r="AF108" s="64"/>
      <c r="AG108" s="64"/>
      <c r="AH108" s="64"/>
      <c r="AI108" s="68"/>
      <c r="AJ108" s="68"/>
      <c r="AK108" s="78">
        <f t="shared" si="6"/>
        <v>0</v>
      </c>
      <c r="AL108" s="83"/>
    </row>
    <row r="109" spans="1:39" s="69" customFormat="1">
      <c r="A109" s="67" t="s">
        <v>186</v>
      </c>
      <c r="B109" s="40" t="s">
        <v>187</v>
      </c>
      <c r="C109" s="66" t="s">
        <v>75</v>
      </c>
      <c r="D109" s="81" t="s">
        <v>80</v>
      </c>
      <c r="E109" s="66">
        <v>8</v>
      </c>
      <c r="F109" s="65"/>
      <c r="G109" s="68"/>
      <c r="H109" s="68"/>
      <c r="I109" s="64"/>
      <c r="J109" s="64"/>
      <c r="K109" s="64"/>
      <c r="L109" s="64"/>
      <c r="M109" s="64"/>
      <c r="N109" s="68"/>
      <c r="O109" s="68"/>
      <c r="P109" s="64"/>
      <c r="Q109" s="64"/>
      <c r="R109" s="64"/>
      <c r="S109" s="64"/>
      <c r="T109" s="64"/>
      <c r="U109" s="68"/>
      <c r="V109" s="68"/>
      <c r="W109" s="65"/>
      <c r="X109" s="64"/>
      <c r="Y109" s="64"/>
      <c r="Z109" s="64"/>
      <c r="AA109" s="64"/>
      <c r="AB109" s="68"/>
      <c r="AC109" s="68"/>
      <c r="AD109" s="64"/>
      <c r="AE109" s="64"/>
      <c r="AF109" s="64"/>
      <c r="AG109" s="64"/>
      <c r="AH109" s="64"/>
      <c r="AI109" s="68"/>
      <c r="AJ109" s="68"/>
      <c r="AK109" s="78">
        <f t="shared" si="6"/>
        <v>0</v>
      </c>
      <c r="AL109" s="83"/>
    </row>
    <row r="110" spans="1:39" s="69" customFormat="1">
      <c r="A110" s="67" t="s">
        <v>397</v>
      </c>
      <c r="B110" s="84" t="s">
        <v>194</v>
      </c>
      <c r="C110" s="66" t="s">
        <v>75</v>
      </c>
      <c r="D110" s="81" t="s">
        <v>80</v>
      </c>
      <c r="E110" s="66">
        <v>10</v>
      </c>
      <c r="F110" s="65"/>
      <c r="G110" s="68"/>
      <c r="H110" s="68"/>
      <c r="I110" s="64"/>
      <c r="J110" s="64"/>
      <c r="K110" s="64"/>
      <c r="L110" s="64"/>
      <c r="M110" s="64"/>
      <c r="N110" s="68"/>
      <c r="O110" s="68"/>
      <c r="P110" s="64"/>
      <c r="Q110" s="64"/>
      <c r="R110" s="64"/>
      <c r="S110" s="64"/>
      <c r="T110" s="64"/>
      <c r="U110" s="68"/>
      <c r="V110" s="68"/>
      <c r="W110" s="65"/>
      <c r="X110" s="64"/>
      <c r="Y110" s="64"/>
      <c r="Z110" s="64"/>
      <c r="AA110" s="64"/>
      <c r="AB110" s="68"/>
      <c r="AC110" s="68"/>
      <c r="AD110" s="64"/>
      <c r="AE110" s="64"/>
      <c r="AF110" s="64"/>
      <c r="AG110" s="64"/>
      <c r="AH110" s="64"/>
      <c r="AI110" s="68"/>
      <c r="AJ110" s="68"/>
      <c r="AK110" s="78">
        <f t="shared" si="6"/>
        <v>0</v>
      </c>
      <c r="AL110" s="83"/>
    </row>
    <row r="111" spans="1:39" s="69" customFormat="1">
      <c r="A111" s="67" t="s">
        <v>229</v>
      </c>
      <c r="B111" s="40" t="s">
        <v>230</v>
      </c>
      <c r="C111" s="66" t="s">
        <v>75</v>
      </c>
      <c r="D111" s="81" t="s">
        <v>80</v>
      </c>
      <c r="E111" s="66">
        <v>10</v>
      </c>
      <c r="F111" s="65"/>
      <c r="G111" s="68"/>
      <c r="H111" s="68"/>
      <c r="I111" s="64"/>
      <c r="J111" s="64"/>
      <c r="K111" s="64"/>
      <c r="L111" s="64"/>
      <c r="M111" s="64"/>
      <c r="N111" s="68"/>
      <c r="O111" s="68"/>
      <c r="P111" s="64"/>
      <c r="Q111" s="64"/>
      <c r="R111" s="64"/>
      <c r="S111" s="64"/>
      <c r="T111" s="64"/>
      <c r="U111" s="68"/>
      <c r="V111" s="68"/>
      <c r="W111" s="65"/>
      <c r="X111" s="64"/>
      <c r="Y111" s="64"/>
      <c r="Z111" s="64"/>
      <c r="AA111" s="64"/>
      <c r="AB111" s="68"/>
      <c r="AC111" s="68"/>
      <c r="AD111" s="64"/>
      <c r="AE111" s="64"/>
      <c r="AF111" s="64"/>
      <c r="AG111" s="64"/>
      <c r="AH111" s="64"/>
      <c r="AI111" s="68"/>
      <c r="AJ111" s="68"/>
      <c r="AK111" s="78">
        <f t="shared" si="6"/>
        <v>0</v>
      </c>
      <c r="AL111" s="83"/>
    </row>
    <row r="112" spans="1:39" s="69" customFormat="1">
      <c r="A112" s="67" t="s">
        <v>398</v>
      </c>
      <c r="B112" s="84" t="s">
        <v>236</v>
      </c>
      <c r="C112" s="66" t="s">
        <v>75</v>
      </c>
      <c r="D112" s="81" t="s">
        <v>80</v>
      </c>
      <c r="E112" s="66">
        <v>10</v>
      </c>
      <c r="F112" s="65"/>
      <c r="G112" s="68"/>
      <c r="H112" s="68"/>
      <c r="I112" s="64"/>
      <c r="J112" s="64"/>
      <c r="K112" s="64"/>
      <c r="L112" s="64"/>
      <c r="M112" s="64"/>
      <c r="N112" s="68"/>
      <c r="O112" s="68"/>
      <c r="P112" s="64"/>
      <c r="Q112" s="64"/>
      <c r="R112" s="64"/>
      <c r="S112" s="64"/>
      <c r="T112" s="64"/>
      <c r="U112" s="68"/>
      <c r="V112" s="68"/>
      <c r="W112" s="65"/>
      <c r="X112" s="64"/>
      <c r="Y112" s="64"/>
      <c r="Z112" s="64"/>
      <c r="AA112" s="64"/>
      <c r="AB112" s="68"/>
      <c r="AC112" s="68"/>
      <c r="AD112" s="64"/>
      <c r="AE112" s="64"/>
      <c r="AF112" s="64"/>
      <c r="AG112" s="64"/>
      <c r="AH112" s="64"/>
      <c r="AI112" s="68"/>
      <c r="AJ112" s="68"/>
      <c r="AK112" s="78">
        <f t="shared" si="6"/>
        <v>0</v>
      </c>
      <c r="AL112" s="83"/>
    </row>
    <row r="113" spans="1:39" s="69" customFormat="1">
      <c r="A113" s="67" t="s">
        <v>399</v>
      </c>
      <c r="B113" s="40" t="s">
        <v>288</v>
      </c>
      <c r="C113" s="66" t="s">
        <v>75</v>
      </c>
      <c r="D113" s="81" t="s">
        <v>80</v>
      </c>
      <c r="E113" s="66">
        <v>10</v>
      </c>
      <c r="F113" s="65"/>
      <c r="G113" s="68"/>
      <c r="H113" s="68"/>
      <c r="I113" s="64"/>
      <c r="J113" s="64"/>
      <c r="K113" s="64"/>
      <c r="L113" s="64"/>
      <c r="M113" s="64"/>
      <c r="N113" s="68"/>
      <c r="O113" s="68"/>
      <c r="P113" s="64"/>
      <c r="Q113" s="64"/>
      <c r="R113" s="64"/>
      <c r="S113" s="64"/>
      <c r="T113" s="64"/>
      <c r="U113" s="68"/>
      <c r="V113" s="68"/>
      <c r="W113" s="65"/>
      <c r="X113" s="64"/>
      <c r="Y113" s="64"/>
      <c r="Z113" s="64"/>
      <c r="AA113" s="64"/>
      <c r="AB113" s="68"/>
      <c r="AC113" s="68"/>
      <c r="AD113" s="64"/>
      <c r="AE113" s="64"/>
      <c r="AF113" s="64"/>
      <c r="AG113" s="64"/>
      <c r="AH113" s="64"/>
      <c r="AI113" s="68"/>
      <c r="AJ113" s="68"/>
      <c r="AK113" s="78">
        <f t="shared" si="6"/>
        <v>0</v>
      </c>
      <c r="AL113" s="83"/>
    </row>
    <row r="114" spans="1:39" s="69" customFormat="1">
      <c r="A114" s="67" t="s">
        <v>400</v>
      </c>
      <c r="B114" s="40" t="s">
        <v>292</v>
      </c>
      <c r="C114" s="66" t="s">
        <v>75</v>
      </c>
      <c r="D114" s="81" t="s">
        <v>80</v>
      </c>
      <c r="E114" s="66">
        <v>10</v>
      </c>
      <c r="F114" s="65"/>
      <c r="G114" s="68"/>
      <c r="H114" s="68"/>
      <c r="I114" s="64"/>
      <c r="J114" s="64"/>
      <c r="K114" s="64"/>
      <c r="L114" s="64"/>
      <c r="M114" s="64"/>
      <c r="N114" s="68"/>
      <c r="O114" s="68"/>
      <c r="P114" s="64"/>
      <c r="Q114" s="64"/>
      <c r="R114" s="64"/>
      <c r="S114" s="64"/>
      <c r="T114" s="64"/>
      <c r="U114" s="68"/>
      <c r="V114" s="68"/>
      <c r="W114" s="65"/>
      <c r="X114" s="64"/>
      <c r="Y114" s="64"/>
      <c r="Z114" s="64"/>
      <c r="AA114" s="64"/>
      <c r="AB114" s="68"/>
      <c r="AC114" s="68"/>
      <c r="AD114" s="64"/>
      <c r="AE114" s="64"/>
      <c r="AF114" s="64"/>
      <c r="AG114" s="64"/>
      <c r="AH114" s="64"/>
      <c r="AI114" s="68"/>
      <c r="AJ114" s="68"/>
      <c r="AK114" s="78">
        <f t="shared" si="6"/>
        <v>0</v>
      </c>
      <c r="AL114" s="83"/>
    </row>
    <row r="115" spans="1:39" s="69" customFormat="1">
      <c r="A115" s="67" t="s">
        <v>401</v>
      </c>
      <c r="B115" s="40" t="s">
        <v>300</v>
      </c>
      <c r="C115" s="66" t="s">
        <v>75</v>
      </c>
      <c r="D115" s="81" t="s">
        <v>80</v>
      </c>
      <c r="E115" s="66">
        <v>10</v>
      </c>
      <c r="F115" s="65"/>
      <c r="G115" s="68"/>
      <c r="H115" s="68"/>
      <c r="I115" s="64"/>
      <c r="J115" s="64"/>
      <c r="K115" s="64"/>
      <c r="L115" s="64"/>
      <c r="M115" s="64"/>
      <c r="N115" s="68"/>
      <c r="O115" s="68"/>
      <c r="P115" s="64"/>
      <c r="Q115" s="64"/>
      <c r="R115" s="64"/>
      <c r="S115" s="64"/>
      <c r="T115" s="64"/>
      <c r="U115" s="68"/>
      <c r="V115" s="68"/>
      <c r="W115" s="65"/>
      <c r="X115" s="64"/>
      <c r="Y115" s="64"/>
      <c r="Z115" s="64"/>
      <c r="AA115" s="64"/>
      <c r="AB115" s="68"/>
      <c r="AC115" s="68"/>
      <c r="AD115" s="64"/>
      <c r="AE115" s="64"/>
      <c r="AF115" s="64"/>
      <c r="AG115" s="64"/>
      <c r="AH115" s="64"/>
      <c r="AI115" s="68"/>
      <c r="AJ115" s="68"/>
      <c r="AK115" s="78">
        <f t="shared" si="6"/>
        <v>0</v>
      </c>
      <c r="AL115" s="83"/>
    </row>
    <row r="116" spans="1:39" s="69" customFormat="1">
      <c r="A116" s="67" t="s">
        <v>402</v>
      </c>
      <c r="B116" s="40" t="s">
        <v>317</v>
      </c>
      <c r="C116" s="66" t="s">
        <v>75</v>
      </c>
      <c r="D116" s="81" t="s">
        <v>80</v>
      </c>
      <c r="E116" s="66">
        <v>10</v>
      </c>
      <c r="F116" s="65"/>
      <c r="G116" s="68"/>
      <c r="H116" s="68"/>
      <c r="I116" s="64"/>
      <c r="J116" s="64"/>
      <c r="K116" s="64"/>
      <c r="L116" s="64"/>
      <c r="M116" s="64"/>
      <c r="N116" s="68"/>
      <c r="O116" s="68"/>
      <c r="P116" s="64"/>
      <c r="Q116" s="64"/>
      <c r="R116" s="64"/>
      <c r="S116" s="64"/>
      <c r="T116" s="64"/>
      <c r="U116" s="68"/>
      <c r="V116" s="68"/>
      <c r="W116" s="65"/>
      <c r="X116" s="64"/>
      <c r="Y116" s="64"/>
      <c r="Z116" s="64"/>
      <c r="AA116" s="64"/>
      <c r="AB116" s="68"/>
      <c r="AC116" s="68"/>
      <c r="AD116" s="64"/>
      <c r="AE116" s="64"/>
      <c r="AF116" s="64"/>
      <c r="AG116" s="64"/>
      <c r="AH116" s="64"/>
      <c r="AI116" s="68"/>
      <c r="AJ116" s="68"/>
      <c r="AK116" s="78">
        <f t="shared" si="6"/>
        <v>0</v>
      </c>
      <c r="AL116" s="83"/>
      <c r="AM116" s="62"/>
    </row>
    <row r="117" spans="1:39" ht="16.7" thickBot="1">
      <c r="A117" s="77"/>
      <c r="B117" s="75"/>
      <c r="C117" s="75"/>
      <c r="D117" s="94"/>
      <c r="E117" s="75"/>
      <c r="F117" s="93"/>
      <c r="G117" s="124"/>
      <c r="H117" s="124"/>
      <c r="I117" s="92"/>
      <c r="J117" s="92"/>
      <c r="K117" s="92"/>
      <c r="L117" s="92"/>
      <c r="M117" s="92"/>
      <c r="N117" s="124"/>
      <c r="O117" s="124"/>
      <c r="P117" s="92"/>
      <c r="Q117" s="92"/>
      <c r="R117" s="92"/>
      <c r="S117" s="92"/>
      <c r="T117" s="92"/>
      <c r="U117" s="124"/>
      <c r="V117" s="124"/>
      <c r="W117" s="93"/>
      <c r="X117" s="92"/>
      <c r="Y117" s="92"/>
      <c r="Z117" s="92"/>
      <c r="AA117" s="92"/>
      <c r="AB117" s="124"/>
      <c r="AC117" s="124"/>
      <c r="AD117" s="92"/>
      <c r="AE117" s="92"/>
      <c r="AF117" s="92"/>
      <c r="AG117" s="92"/>
      <c r="AH117" s="92"/>
      <c r="AI117" s="124"/>
      <c r="AJ117" s="124"/>
      <c r="AK117" s="91">
        <f t="shared" si="6"/>
        <v>0</v>
      </c>
      <c r="AL117" s="90"/>
    </row>
    <row r="118" spans="1:39" ht="16.7" thickBot="1">
      <c r="A118" s="89" t="s">
        <v>403</v>
      </c>
      <c r="Y118" s="70"/>
      <c r="Z118" s="70"/>
      <c r="AC118" s="120"/>
      <c r="AD118" s="70"/>
      <c r="AF118" s="70"/>
      <c r="AG118" s="70"/>
      <c r="AI118" s="120"/>
      <c r="AJ118" s="120"/>
      <c r="AK118" s="78">
        <f t="shared" si="6"/>
        <v>0</v>
      </c>
      <c r="AL118" s="83"/>
    </row>
    <row r="119" spans="1:39">
      <c r="A119" s="82" t="s">
        <v>404</v>
      </c>
      <c r="B119" s="41" t="s">
        <v>63</v>
      </c>
      <c r="C119" s="66" t="s">
        <v>64</v>
      </c>
      <c r="D119" s="85" t="s">
        <v>67</v>
      </c>
      <c r="E119" s="66">
        <v>8</v>
      </c>
      <c r="P119" s="156"/>
      <c r="S119" s="156"/>
      <c r="AE119" s="70"/>
      <c r="AK119" s="78">
        <f t="shared" si="6"/>
        <v>0</v>
      </c>
      <c r="AM119" s="69"/>
    </row>
    <row r="120" spans="1:39">
      <c r="A120" s="82" t="s">
        <v>405</v>
      </c>
      <c r="B120" s="41" t="s">
        <v>110</v>
      </c>
      <c r="C120" s="66" t="s">
        <v>64</v>
      </c>
      <c r="D120" s="86" t="s">
        <v>67</v>
      </c>
      <c r="E120" s="66">
        <v>8</v>
      </c>
      <c r="G120" s="157"/>
      <c r="H120" s="122"/>
      <c r="AK120" s="78">
        <f t="shared" si="6"/>
        <v>0</v>
      </c>
    </row>
    <row r="121" spans="1:39">
      <c r="A121" s="67" t="s">
        <v>406</v>
      </c>
      <c r="B121" s="84" t="s">
        <v>129</v>
      </c>
      <c r="C121" s="66" t="s">
        <v>75</v>
      </c>
      <c r="D121" s="87" t="s">
        <v>67</v>
      </c>
      <c r="E121" s="66">
        <v>9</v>
      </c>
      <c r="F121" s="65">
        <v>1</v>
      </c>
      <c r="W121" s="65">
        <v>1</v>
      </c>
      <c r="AK121" s="78">
        <f t="shared" si="6"/>
        <v>2</v>
      </c>
    </row>
    <row r="122" spans="1:39" s="69" customFormat="1">
      <c r="A122" s="82" t="s">
        <v>407</v>
      </c>
      <c r="B122" s="41" t="s">
        <v>144</v>
      </c>
      <c r="C122" s="66" t="s">
        <v>64</v>
      </c>
      <c r="D122" s="86" t="s">
        <v>67</v>
      </c>
      <c r="E122" s="66">
        <v>8</v>
      </c>
      <c r="F122" s="65"/>
      <c r="G122" s="68"/>
      <c r="H122" s="68"/>
      <c r="I122" s="64"/>
      <c r="J122" s="64"/>
      <c r="K122" s="64"/>
      <c r="L122" s="64"/>
      <c r="M122" s="64"/>
      <c r="N122" s="68"/>
      <c r="O122" s="68"/>
      <c r="P122" s="64"/>
      <c r="Q122" s="80"/>
      <c r="R122" s="70"/>
      <c r="S122" s="64"/>
      <c r="T122" s="64"/>
      <c r="U122" s="120"/>
      <c r="V122" s="68"/>
      <c r="W122" s="65"/>
      <c r="X122" s="64"/>
      <c r="Y122" s="64"/>
      <c r="Z122" s="64"/>
      <c r="AA122" s="64"/>
      <c r="AB122" s="68"/>
      <c r="AC122" s="122"/>
      <c r="AD122" s="64"/>
      <c r="AE122" s="64"/>
      <c r="AF122" s="64"/>
      <c r="AG122" s="64"/>
      <c r="AH122" s="64"/>
      <c r="AI122" s="68"/>
      <c r="AJ122" s="120"/>
      <c r="AK122" s="78">
        <f t="shared" si="6"/>
        <v>0</v>
      </c>
      <c r="AL122" s="83"/>
      <c r="AM122" s="62"/>
    </row>
    <row r="123" spans="1:39">
      <c r="A123" s="82" t="s">
        <v>408</v>
      </c>
      <c r="B123" s="41" t="s">
        <v>160</v>
      </c>
      <c r="C123" s="66" t="s">
        <v>64</v>
      </c>
      <c r="D123" s="86" t="s">
        <v>67</v>
      </c>
      <c r="E123" s="66">
        <v>8</v>
      </c>
      <c r="AK123" s="78">
        <f t="shared" si="6"/>
        <v>0</v>
      </c>
    </row>
    <row r="124" spans="1:39">
      <c r="A124" s="67" t="s">
        <v>409</v>
      </c>
      <c r="B124" s="41" t="s">
        <v>182</v>
      </c>
      <c r="C124" s="66" t="s">
        <v>64</v>
      </c>
      <c r="D124" s="87" t="s">
        <v>67</v>
      </c>
      <c r="E124" s="66">
        <v>8</v>
      </c>
      <c r="T124" s="64">
        <v>8</v>
      </c>
      <c r="AK124" s="78">
        <f t="shared" si="6"/>
        <v>8</v>
      </c>
      <c r="AM124" s="69"/>
    </row>
    <row r="125" spans="1:39">
      <c r="A125" s="82" t="s">
        <v>410</v>
      </c>
      <c r="B125" s="41" t="s">
        <v>198</v>
      </c>
      <c r="C125" s="66" t="s">
        <v>64</v>
      </c>
      <c r="D125" s="85" t="s">
        <v>67</v>
      </c>
      <c r="E125" s="66">
        <v>8</v>
      </c>
      <c r="M125" s="70"/>
      <c r="Q125" s="70"/>
      <c r="S125" s="70"/>
      <c r="W125" s="79"/>
      <c r="AK125" s="78">
        <f t="shared" si="6"/>
        <v>0</v>
      </c>
    </row>
    <row r="126" spans="1:39" s="69" customFormat="1">
      <c r="A126" s="82" t="s">
        <v>411</v>
      </c>
      <c r="B126" s="41" t="s">
        <v>202</v>
      </c>
      <c r="C126" s="66" t="s">
        <v>64</v>
      </c>
      <c r="D126" s="66" t="s">
        <v>67</v>
      </c>
      <c r="E126" s="66">
        <v>8</v>
      </c>
      <c r="F126" s="65"/>
      <c r="G126" s="68"/>
      <c r="H126" s="68"/>
      <c r="I126" s="64"/>
      <c r="J126" s="64"/>
      <c r="K126" s="64"/>
      <c r="L126" s="64"/>
      <c r="M126" s="70"/>
      <c r="N126" s="68"/>
      <c r="O126" s="68"/>
      <c r="P126" s="64"/>
      <c r="Q126" s="70"/>
      <c r="R126" s="64"/>
      <c r="S126" s="70"/>
      <c r="T126" s="64"/>
      <c r="U126" s="68"/>
      <c r="V126" s="68"/>
      <c r="W126" s="79"/>
      <c r="X126" s="64"/>
      <c r="Y126" s="64"/>
      <c r="Z126" s="64"/>
      <c r="AA126" s="64"/>
      <c r="AB126" s="68"/>
      <c r="AC126" s="68"/>
      <c r="AD126" s="64"/>
      <c r="AE126" s="64"/>
      <c r="AF126" s="64"/>
      <c r="AG126" s="64"/>
      <c r="AH126" s="64"/>
      <c r="AI126" s="68"/>
      <c r="AJ126" s="68"/>
      <c r="AK126" s="78">
        <f t="shared" si="6"/>
        <v>0</v>
      </c>
      <c r="AL126" s="83"/>
      <c r="AM126" s="62"/>
    </row>
    <row r="127" spans="1:39">
      <c r="A127" s="82" t="s">
        <v>412</v>
      </c>
      <c r="B127" s="41" t="s">
        <v>224</v>
      </c>
      <c r="C127" s="66" t="s">
        <v>64</v>
      </c>
      <c r="D127" s="85" t="s">
        <v>67</v>
      </c>
      <c r="E127" s="66">
        <v>8</v>
      </c>
      <c r="S127" s="70"/>
      <c r="T127" s="70"/>
      <c r="U127" s="120"/>
      <c r="AK127" s="78">
        <f t="shared" si="6"/>
        <v>0</v>
      </c>
    </row>
    <row r="128" spans="1:39">
      <c r="A128" s="82" t="s">
        <v>413</v>
      </c>
      <c r="B128" s="41" t="s">
        <v>226</v>
      </c>
      <c r="C128" s="66" t="s">
        <v>75</v>
      </c>
      <c r="D128" s="85" t="s">
        <v>67</v>
      </c>
      <c r="E128" s="66">
        <v>8</v>
      </c>
      <c r="F128" s="79"/>
      <c r="G128" s="120"/>
      <c r="H128" s="120"/>
      <c r="I128" s="70"/>
      <c r="J128" s="70"/>
      <c r="M128" s="70"/>
      <c r="N128" s="120"/>
      <c r="O128" s="120"/>
      <c r="P128" s="70"/>
      <c r="Q128" s="70"/>
      <c r="R128" s="70"/>
      <c r="S128" s="70"/>
      <c r="T128" s="70"/>
      <c r="V128" s="120"/>
      <c r="W128" s="79"/>
      <c r="X128" s="70"/>
      <c r="Z128" s="70"/>
      <c r="AA128" s="70"/>
      <c r="AB128" s="120"/>
      <c r="AC128" s="120"/>
      <c r="AD128" s="70"/>
      <c r="AE128" s="70"/>
      <c r="AF128" s="70"/>
      <c r="AG128" s="70"/>
      <c r="AH128" s="70"/>
      <c r="AI128" s="120"/>
      <c r="AJ128" s="120"/>
      <c r="AK128" s="78">
        <f t="shared" si="6"/>
        <v>0</v>
      </c>
    </row>
    <row r="129" spans="1:45">
      <c r="A129" s="67" t="s">
        <v>414</v>
      </c>
      <c r="B129" s="84" t="s">
        <v>250</v>
      </c>
      <c r="C129" s="66" t="s">
        <v>75</v>
      </c>
      <c r="D129" s="86" t="s">
        <v>67</v>
      </c>
      <c r="E129" s="66">
        <v>9</v>
      </c>
      <c r="F129" s="65">
        <v>1</v>
      </c>
      <c r="W129" s="65">
        <v>1</v>
      </c>
      <c r="AK129" s="78">
        <f t="shared" si="6"/>
        <v>2</v>
      </c>
    </row>
    <row r="130" spans="1:45">
      <c r="A130" s="82" t="s">
        <v>415</v>
      </c>
      <c r="B130" s="41" t="s">
        <v>258</v>
      </c>
      <c r="C130" s="66" t="s">
        <v>64</v>
      </c>
      <c r="D130" s="85" t="s">
        <v>67</v>
      </c>
      <c r="E130" s="66">
        <v>8</v>
      </c>
      <c r="J130" s="64">
        <v>8</v>
      </c>
      <c r="L130" s="64">
        <v>8</v>
      </c>
      <c r="P130" s="64">
        <v>8</v>
      </c>
      <c r="Q130" s="64">
        <v>8</v>
      </c>
      <c r="S130" s="64">
        <v>8</v>
      </c>
      <c r="AK130" s="78">
        <f t="shared" si="6"/>
        <v>40</v>
      </c>
    </row>
    <row r="131" spans="1:45">
      <c r="A131" s="82" t="s">
        <v>416</v>
      </c>
      <c r="B131" s="41" t="s">
        <v>260</v>
      </c>
      <c r="C131" s="66" t="s">
        <v>75</v>
      </c>
      <c r="D131" s="85" t="s">
        <v>67</v>
      </c>
      <c r="E131" s="66">
        <v>8</v>
      </c>
      <c r="S131" s="62"/>
      <c r="AK131" s="78">
        <f t="shared" si="6"/>
        <v>0</v>
      </c>
    </row>
    <row r="132" spans="1:45" ht="15" customHeight="1">
      <c r="A132" s="67" t="s">
        <v>417</v>
      </c>
      <c r="B132" s="84" t="s">
        <v>264</v>
      </c>
      <c r="C132" s="66" t="s">
        <v>64</v>
      </c>
      <c r="D132" s="81" t="s">
        <v>67</v>
      </c>
      <c r="E132" s="66">
        <v>8</v>
      </c>
      <c r="AK132" s="78">
        <f t="shared" si="6"/>
        <v>0</v>
      </c>
      <c r="AL132" s="83"/>
    </row>
    <row r="133" spans="1:45">
      <c r="A133" s="82" t="s">
        <v>418</v>
      </c>
      <c r="B133" s="41" t="s">
        <v>266</v>
      </c>
      <c r="C133" s="66" t="s">
        <v>64</v>
      </c>
      <c r="D133" s="81" t="s">
        <v>67</v>
      </c>
      <c r="E133" s="66">
        <v>8</v>
      </c>
      <c r="AK133" s="78">
        <f t="shared" si="6"/>
        <v>0</v>
      </c>
      <c r="AL133" s="83"/>
    </row>
    <row r="134" spans="1:45">
      <c r="A134" s="82" t="s">
        <v>419</v>
      </c>
      <c r="B134" s="41" t="s">
        <v>272</v>
      </c>
      <c r="C134" s="66" t="s">
        <v>75</v>
      </c>
      <c r="D134" s="81" t="s">
        <v>67</v>
      </c>
      <c r="E134" s="66">
        <v>9</v>
      </c>
      <c r="F134" s="79">
        <v>1</v>
      </c>
      <c r="G134" s="120"/>
      <c r="I134" s="70"/>
      <c r="J134" s="70"/>
      <c r="M134" s="70"/>
      <c r="N134" s="120"/>
      <c r="O134" s="120"/>
      <c r="P134" s="70"/>
      <c r="Q134" s="70"/>
      <c r="R134" s="70"/>
      <c r="T134" s="70"/>
      <c r="U134" s="120"/>
      <c r="V134" s="120"/>
      <c r="W134" s="65">
        <v>1</v>
      </c>
      <c r="Y134" s="70"/>
      <c r="Z134" s="70"/>
      <c r="AA134" s="70"/>
      <c r="AB134" s="120"/>
      <c r="AC134" s="120"/>
      <c r="AD134" s="70"/>
      <c r="AK134" s="78">
        <f t="shared" si="6"/>
        <v>2</v>
      </c>
    </row>
    <row r="135" spans="1:45">
      <c r="A135" s="82" t="s">
        <v>420</v>
      </c>
      <c r="B135" s="41" t="s">
        <v>286</v>
      </c>
      <c r="C135" s="66" t="s">
        <v>75</v>
      </c>
      <c r="D135" s="81" t="s">
        <v>67</v>
      </c>
      <c r="E135" s="66">
        <v>8</v>
      </c>
      <c r="M135" s="80"/>
      <c r="X135" s="64">
        <v>8</v>
      </c>
      <c r="AC135" s="120"/>
      <c r="AD135" s="70"/>
      <c r="AF135" s="70"/>
      <c r="AI135" s="120"/>
      <c r="AK135" s="78">
        <f t="shared" si="6"/>
        <v>8</v>
      </c>
    </row>
    <row r="136" spans="1:45" s="71" customFormat="1">
      <c r="A136" s="77"/>
      <c r="B136" s="75"/>
      <c r="C136" s="75"/>
      <c r="D136" s="76"/>
      <c r="E136" s="75"/>
      <c r="F136" s="74"/>
      <c r="G136" s="121"/>
      <c r="H136" s="121"/>
      <c r="I136" s="73"/>
      <c r="J136" s="73"/>
      <c r="K136" s="73"/>
      <c r="L136" s="73"/>
      <c r="M136" s="73"/>
      <c r="N136" s="121"/>
      <c r="O136" s="121"/>
      <c r="P136" s="73"/>
      <c r="Q136" s="73"/>
      <c r="R136" s="73"/>
      <c r="S136" s="73"/>
      <c r="T136" s="73"/>
      <c r="U136" s="121"/>
      <c r="V136" s="121"/>
      <c r="W136" s="74"/>
      <c r="X136" s="73"/>
      <c r="Y136" s="73"/>
      <c r="Z136" s="73"/>
      <c r="AA136" s="73"/>
      <c r="AB136" s="121"/>
      <c r="AC136" s="121"/>
      <c r="AD136" s="73"/>
      <c r="AE136" s="73"/>
      <c r="AF136" s="73"/>
      <c r="AG136" s="73"/>
      <c r="AH136" s="73"/>
      <c r="AI136" s="121"/>
      <c r="AJ136" s="121"/>
      <c r="AK136" s="71">
        <f>SUM(AK3:AK135)</f>
        <v>259.10000000000002</v>
      </c>
      <c r="AL136" s="72"/>
      <c r="AM136" s="62"/>
      <c r="AN136" s="69"/>
      <c r="AO136" s="69"/>
      <c r="AP136" s="69"/>
      <c r="AQ136" s="69"/>
      <c r="AR136" s="69"/>
      <c r="AS136" s="69"/>
    </row>
    <row r="137" spans="1:45" s="63" customFormat="1">
      <c r="A137" s="67"/>
      <c r="B137" s="66"/>
      <c r="C137" s="66"/>
      <c r="D137" s="66"/>
      <c r="E137" s="66"/>
      <c r="F137" s="79"/>
      <c r="G137" s="120"/>
      <c r="H137" s="120"/>
      <c r="I137" s="70"/>
      <c r="J137" s="70"/>
      <c r="K137" s="70"/>
      <c r="L137" s="70"/>
      <c r="M137" s="70"/>
      <c r="N137" s="120"/>
      <c r="O137" s="120"/>
      <c r="P137" s="70"/>
      <c r="Q137" s="70"/>
      <c r="R137" s="70"/>
      <c r="S137" s="70"/>
      <c r="T137" s="70"/>
      <c r="U137" s="120"/>
      <c r="V137" s="120"/>
      <c r="W137" s="79"/>
      <c r="X137" s="70"/>
      <c r="Y137" s="70"/>
      <c r="Z137" s="70"/>
      <c r="AA137" s="70"/>
      <c r="AB137" s="120"/>
      <c r="AC137" s="120"/>
      <c r="AD137" s="64"/>
      <c r="AE137" s="64"/>
      <c r="AF137" s="64"/>
      <c r="AG137" s="64"/>
      <c r="AH137" s="64"/>
      <c r="AI137" s="68"/>
      <c r="AJ137" s="68"/>
      <c r="AK137" s="69"/>
      <c r="AM137" s="62"/>
    </row>
    <row r="138" spans="1:45" s="63" customFormat="1">
      <c r="A138" s="67"/>
      <c r="B138" s="66"/>
      <c r="C138" s="66"/>
      <c r="D138" s="66"/>
      <c r="E138" s="66"/>
      <c r="F138" s="65"/>
      <c r="G138" s="68"/>
      <c r="H138" s="68"/>
      <c r="I138" s="64"/>
      <c r="J138" s="64"/>
      <c r="K138" s="64"/>
      <c r="L138" s="64"/>
      <c r="M138" s="64"/>
      <c r="N138" s="68"/>
      <c r="O138" s="68"/>
      <c r="P138" s="64"/>
      <c r="Q138" s="64"/>
      <c r="R138" s="64"/>
      <c r="S138" s="64"/>
      <c r="T138" s="64"/>
      <c r="U138" s="68"/>
      <c r="V138" s="68"/>
      <c r="W138" s="65"/>
      <c r="X138" s="64"/>
      <c r="Y138" s="64"/>
      <c r="Z138" s="64"/>
      <c r="AA138" s="64"/>
      <c r="AB138" s="68"/>
      <c r="AC138" s="68"/>
      <c r="AD138" s="64"/>
      <c r="AE138" s="64"/>
      <c r="AF138" s="64"/>
      <c r="AG138" s="64"/>
      <c r="AH138" s="64"/>
      <c r="AI138" s="68"/>
      <c r="AJ138" s="68"/>
      <c r="AK138" s="69"/>
      <c r="AM138" s="62"/>
    </row>
    <row r="146" spans="1:39" s="68" customFormat="1">
      <c r="A146" s="67"/>
      <c r="B146" s="66"/>
      <c r="C146" s="66"/>
      <c r="D146" s="66"/>
      <c r="E146" s="66"/>
      <c r="F146" s="65"/>
      <c r="I146" s="64"/>
      <c r="J146" s="64"/>
      <c r="K146" s="64"/>
      <c r="L146" s="64"/>
      <c r="M146" s="64"/>
      <c r="P146" s="64"/>
      <c r="Q146" s="64"/>
      <c r="R146" s="64"/>
      <c r="S146" s="64"/>
      <c r="T146" s="64"/>
      <c r="W146" s="65"/>
      <c r="X146" s="64"/>
      <c r="Y146" s="64"/>
      <c r="Z146" s="64"/>
      <c r="AA146" s="64"/>
      <c r="AD146" s="64"/>
      <c r="AE146" s="64"/>
      <c r="AF146" s="64"/>
      <c r="AG146" s="64"/>
      <c r="AH146" s="64"/>
      <c r="AK146" s="62"/>
      <c r="AL146" s="63"/>
      <c r="AM146" s="62"/>
    </row>
    <row r="147" spans="1:39" s="68" customFormat="1">
      <c r="A147" s="67"/>
      <c r="B147" s="66"/>
      <c r="C147" s="66"/>
      <c r="D147" s="66"/>
      <c r="E147" s="66"/>
      <c r="F147" s="65"/>
      <c r="I147" s="64"/>
      <c r="J147" s="64"/>
      <c r="K147" s="64"/>
      <c r="L147" s="64"/>
      <c r="M147" s="64"/>
      <c r="P147" s="64"/>
      <c r="Q147" s="64"/>
      <c r="R147" s="64"/>
      <c r="S147" s="64"/>
      <c r="T147" s="64"/>
      <c r="W147" s="65"/>
      <c r="X147" s="64"/>
      <c r="Y147" s="64"/>
      <c r="Z147" s="64"/>
      <c r="AA147" s="64"/>
      <c r="AD147" s="64"/>
      <c r="AE147" s="64"/>
      <c r="AF147" s="64"/>
      <c r="AG147" s="64"/>
      <c r="AH147" s="64"/>
      <c r="AK147" s="62"/>
      <c r="AL147" s="63"/>
      <c r="AM147" s="62"/>
    </row>
    <row r="148" spans="1:39" s="68" customFormat="1">
      <c r="A148" s="67"/>
      <c r="B148" s="66"/>
      <c r="C148" s="66"/>
      <c r="D148" s="66"/>
      <c r="E148" s="66"/>
      <c r="F148" s="65"/>
      <c r="I148" s="64"/>
      <c r="J148" s="64"/>
      <c r="K148" s="64"/>
      <c r="L148" s="64"/>
      <c r="M148" s="64"/>
      <c r="P148" s="64"/>
      <c r="Q148" s="64"/>
      <c r="R148" s="64"/>
      <c r="S148" s="64"/>
      <c r="T148" s="64"/>
      <c r="W148" s="65"/>
      <c r="X148" s="64"/>
      <c r="Y148" s="64"/>
      <c r="Z148" s="64"/>
      <c r="AA148" s="64"/>
      <c r="AD148" s="64"/>
      <c r="AE148" s="64"/>
      <c r="AF148" s="64"/>
      <c r="AG148" s="64"/>
      <c r="AH148" s="64"/>
      <c r="AK148" s="62"/>
      <c r="AL148" s="63"/>
      <c r="AM148" s="62"/>
    </row>
    <row r="149" spans="1:39" s="68" customFormat="1">
      <c r="A149" s="67"/>
      <c r="B149" s="66"/>
      <c r="C149" s="66"/>
      <c r="D149" s="66"/>
      <c r="E149" s="66"/>
      <c r="F149" s="65"/>
      <c r="I149" s="64"/>
      <c r="J149" s="64"/>
      <c r="K149" s="64"/>
      <c r="L149" s="64"/>
      <c r="M149" s="64"/>
      <c r="P149" s="64"/>
      <c r="Q149" s="64"/>
      <c r="R149" s="64"/>
      <c r="S149" s="64"/>
      <c r="T149" s="64"/>
      <c r="W149" s="65"/>
      <c r="X149" s="64"/>
      <c r="Y149" s="64"/>
      <c r="Z149" s="64"/>
      <c r="AA149" s="64"/>
      <c r="AD149" s="64"/>
      <c r="AE149" s="64"/>
      <c r="AF149" s="64"/>
      <c r="AG149" s="64"/>
      <c r="AH149" s="64"/>
      <c r="AK149" s="62"/>
      <c r="AL149" s="63"/>
      <c r="AM149" s="62"/>
    </row>
    <row r="150" spans="1:39" s="68" customFormat="1">
      <c r="A150" s="67"/>
      <c r="B150" s="66"/>
      <c r="C150" s="66"/>
      <c r="D150" s="66"/>
      <c r="E150" s="66"/>
      <c r="F150" s="65"/>
      <c r="I150" s="64"/>
      <c r="J150" s="64"/>
      <c r="K150" s="64"/>
      <c r="L150" s="64"/>
      <c r="M150" s="64"/>
      <c r="P150" s="64"/>
      <c r="Q150" s="64"/>
      <c r="R150" s="64"/>
      <c r="S150" s="64"/>
      <c r="T150" s="64"/>
      <c r="W150" s="65"/>
      <c r="X150" s="64"/>
      <c r="Y150" s="64"/>
      <c r="Z150" s="64"/>
      <c r="AA150" s="64"/>
      <c r="AD150" s="64"/>
      <c r="AE150" s="64"/>
      <c r="AF150" s="64"/>
      <c r="AG150" s="64"/>
      <c r="AH150" s="64"/>
      <c r="AK150" s="62"/>
      <c r="AL150" s="63"/>
      <c r="AM150" s="62"/>
    </row>
    <row r="151" spans="1:39" s="68" customFormat="1">
      <c r="A151" s="67"/>
      <c r="B151" s="66"/>
      <c r="C151" s="66"/>
      <c r="D151" s="66"/>
      <c r="E151" s="66"/>
      <c r="F151" s="65"/>
      <c r="I151" s="64"/>
      <c r="J151" s="64"/>
      <c r="K151" s="64"/>
      <c r="L151" s="64"/>
      <c r="M151" s="64"/>
      <c r="P151" s="64"/>
      <c r="Q151" s="64"/>
      <c r="R151" s="64"/>
      <c r="S151" s="64"/>
      <c r="T151" s="64"/>
      <c r="W151" s="65"/>
      <c r="X151" s="64"/>
      <c r="Y151" s="64"/>
      <c r="Z151" s="64"/>
      <c r="AA151" s="64"/>
      <c r="AD151" s="64"/>
      <c r="AE151" s="64"/>
      <c r="AF151" s="64"/>
      <c r="AG151" s="64"/>
      <c r="AH151" s="64"/>
      <c r="AK151" s="62"/>
      <c r="AL151" s="63"/>
      <c r="AM151" s="62"/>
    </row>
    <row r="152" spans="1:39" s="68" customFormat="1">
      <c r="A152" s="67"/>
      <c r="B152" s="66"/>
      <c r="C152" s="66"/>
      <c r="D152" s="66"/>
      <c r="E152" s="66"/>
      <c r="F152" s="65"/>
      <c r="I152" s="64"/>
      <c r="J152" s="64"/>
      <c r="K152" s="64"/>
      <c r="L152" s="64"/>
      <c r="M152" s="64"/>
      <c r="P152" s="64"/>
      <c r="Q152" s="64"/>
      <c r="R152" s="64"/>
      <c r="S152" s="64"/>
      <c r="T152" s="64"/>
      <c r="W152" s="65"/>
      <c r="X152" s="64"/>
      <c r="Y152" s="64"/>
      <c r="Z152" s="64"/>
      <c r="AA152" s="64"/>
      <c r="AD152" s="64"/>
      <c r="AE152" s="64"/>
      <c r="AF152" s="64"/>
      <c r="AG152" s="64"/>
      <c r="AH152" s="64"/>
      <c r="AK152" s="62"/>
      <c r="AL152" s="63"/>
      <c r="AM152" s="62"/>
    </row>
    <row r="153" spans="1:39" s="68" customFormat="1">
      <c r="A153" s="67"/>
      <c r="B153" s="66"/>
      <c r="C153" s="66"/>
      <c r="D153" s="66"/>
      <c r="E153" s="66"/>
      <c r="F153" s="65"/>
      <c r="I153" s="64"/>
      <c r="J153" s="64"/>
      <c r="K153" s="64"/>
      <c r="L153" s="64"/>
      <c r="M153" s="64"/>
      <c r="P153" s="64"/>
      <c r="Q153" s="64"/>
      <c r="R153" s="64"/>
      <c r="S153" s="64"/>
      <c r="T153" s="64"/>
      <c r="W153" s="65"/>
      <c r="X153" s="64"/>
      <c r="Y153" s="64"/>
      <c r="Z153" s="64"/>
      <c r="AA153" s="64"/>
      <c r="AD153" s="64"/>
      <c r="AE153" s="64"/>
      <c r="AF153" s="64"/>
      <c r="AG153" s="64"/>
      <c r="AH153" s="64"/>
      <c r="AK153" s="62"/>
      <c r="AL153" s="63"/>
      <c r="AM153" s="62"/>
    </row>
    <row r="154" spans="1:39" s="68" customFormat="1">
      <c r="A154" s="67"/>
      <c r="B154" s="66"/>
      <c r="C154" s="66"/>
      <c r="D154" s="66"/>
      <c r="E154" s="66"/>
      <c r="F154" s="65"/>
      <c r="I154" s="64"/>
      <c r="J154" s="64"/>
      <c r="K154" s="64"/>
      <c r="L154" s="64"/>
      <c r="M154" s="64"/>
      <c r="P154" s="64"/>
      <c r="Q154" s="64"/>
      <c r="R154" s="64"/>
      <c r="S154" s="64"/>
      <c r="T154" s="64"/>
      <c r="W154" s="65"/>
      <c r="X154" s="64"/>
      <c r="Y154" s="64"/>
      <c r="Z154" s="64"/>
      <c r="AA154" s="64"/>
      <c r="AD154" s="64"/>
      <c r="AE154" s="64"/>
      <c r="AF154" s="64"/>
      <c r="AG154" s="64"/>
      <c r="AH154" s="64"/>
      <c r="AK154" s="62"/>
      <c r="AL154" s="63"/>
      <c r="AM154" s="62"/>
    </row>
    <row r="155" spans="1:39" s="68" customFormat="1">
      <c r="A155" s="67"/>
      <c r="B155" s="66"/>
      <c r="C155" s="66"/>
      <c r="D155" s="66"/>
      <c r="E155" s="66"/>
      <c r="F155" s="65"/>
      <c r="I155" s="64"/>
      <c r="J155" s="64"/>
      <c r="K155" s="64"/>
      <c r="L155" s="64"/>
      <c r="M155" s="64"/>
      <c r="P155" s="64"/>
      <c r="Q155" s="64"/>
      <c r="R155" s="64"/>
      <c r="S155" s="64"/>
      <c r="T155" s="64"/>
      <c r="W155" s="65"/>
      <c r="X155" s="64"/>
      <c r="Y155" s="64"/>
      <c r="Z155" s="64"/>
      <c r="AA155" s="64"/>
      <c r="AD155" s="64"/>
      <c r="AE155" s="64"/>
      <c r="AF155" s="64"/>
      <c r="AG155" s="64"/>
      <c r="AH155" s="64"/>
      <c r="AK155" s="62"/>
      <c r="AL155" s="63"/>
      <c r="AM155" s="62"/>
    </row>
    <row r="156" spans="1:39" s="68" customFormat="1">
      <c r="A156" s="67"/>
      <c r="B156" s="66"/>
      <c r="C156" s="66"/>
      <c r="D156" s="66"/>
      <c r="E156" s="66"/>
      <c r="F156" s="65"/>
      <c r="I156" s="64"/>
      <c r="J156" s="64"/>
      <c r="K156" s="64"/>
      <c r="L156" s="64"/>
      <c r="M156" s="64"/>
      <c r="P156" s="64"/>
      <c r="Q156" s="64"/>
      <c r="R156" s="64"/>
      <c r="S156" s="64"/>
      <c r="T156" s="64"/>
      <c r="W156" s="65"/>
      <c r="X156" s="64"/>
      <c r="Y156" s="64"/>
      <c r="Z156" s="64"/>
      <c r="AA156" s="64"/>
      <c r="AD156" s="64"/>
      <c r="AE156" s="64"/>
      <c r="AF156" s="64"/>
      <c r="AG156" s="64"/>
      <c r="AH156" s="64"/>
      <c r="AK156" s="62"/>
      <c r="AL156" s="63"/>
      <c r="AM156" s="62"/>
    </row>
    <row r="157" spans="1:39" s="68" customFormat="1">
      <c r="A157" s="67"/>
      <c r="B157" s="66"/>
      <c r="C157" s="66"/>
      <c r="D157" s="66"/>
      <c r="E157" s="66"/>
      <c r="F157" s="65"/>
      <c r="I157" s="64"/>
      <c r="J157" s="64"/>
      <c r="K157" s="64"/>
      <c r="L157" s="64"/>
      <c r="M157" s="64"/>
      <c r="P157" s="64"/>
      <c r="Q157" s="64"/>
      <c r="R157" s="64"/>
      <c r="S157" s="64"/>
      <c r="T157" s="64"/>
      <c r="W157" s="65"/>
      <c r="X157" s="64"/>
      <c r="Y157" s="64"/>
      <c r="Z157" s="64"/>
      <c r="AA157" s="64"/>
      <c r="AD157" s="64"/>
      <c r="AE157" s="64"/>
      <c r="AF157" s="64"/>
      <c r="AG157" s="64"/>
      <c r="AH157" s="64"/>
      <c r="AK157" s="62"/>
      <c r="AL157" s="63"/>
      <c r="AM157" s="62"/>
    </row>
    <row r="158" spans="1:39" s="68" customFormat="1">
      <c r="A158" s="67"/>
      <c r="B158" s="66"/>
      <c r="C158" s="66"/>
      <c r="D158" s="66"/>
      <c r="E158" s="66"/>
      <c r="F158" s="65"/>
      <c r="I158" s="64"/>
      <c r="J158" s="64"/>
      <c r="K158" s="64"/>
      <c r="L158" s="64"/>
      <c r="M158" s="64"/>
      <c r="P158" s="64"/>
      <c r="Q158" s="64"/>
      <c r="R158" s="64"/>
      <c r="S158" s="64"/>
      <c r="T158" s="64"/>
      <c r="W158" s="65"/>
      <c r="X158" s="64"/>
      <c r="Y158" s="64"/>
      <c r="Z158" s="64"/>
      <c r="AA158" s="64"/>
      <c r="AD158" s="64"/>
      <c r="AE158" s="64"/>
      <c r="AF158" s="64"/>
      <c r="AG158" s="64"/>
      <c r="AH158" s="64"/>
      <c r="AK158" s="62"/>
      <c r="AL158" s="63"/>
      <c r="AM158" s="62"/>
    </row>
    <row r="159" spans="1:39" s="68" customFormat="1">
      <c r="A159" s="67"/>
      <c r="B159" s="66"/>
      <c r="C159" s="66"/>
      <c r="D159" s="66"/>
      <c r="E159" s="66"/>
      <c r="F159" s="65"/>
      <c r="I159" s="64"/>
      <c r="J159" s="64"/>
      <c r="K159" s="64"/>
      <c r="L159" s="64"/>
      <c r="M159" s="64"/>
      <c r="P159" s="64"/>
      <c r="Q159" s="64"/>
      <c r="R159" s="64"/>
      <c r="S159" s="64"/>
      <c r="T159" s="64"/>
      <c r="W159" s="65"/>
      <c r="X159" s="64"/>
      <c r="Y159" s="64"/>
      <c r="Z159" s="64"/>
      <c r="AA159" s="64"/>
      <c r="AD159" s="64"/>
      <c r="AE159" s="64"/>
      <c r="AF159" s="64"/>
      <c r="AG159" s="64"/>
      <c r="AH159" s="64"/>
      <c r="AK159" s="62"/>
      <c r="AL159" s="63"/>
      <c r="AM159" s="62"/>
    </row>
    <row r="160" spans="1:39" s="68" customFormat="1">
      <c r="A160" s="67"/>
      <c r="B160" s="66"/>
      <c r="C160" s="66"/>
      <c r="D160" s="66"/>
      <c r="E160" s="66"/>
      <c r="F160" s="65"/>
      <c r="I160" s="64"/>
      <c r="J160" s="64"/>
      <c r="K160" s="64"/>
      <c r="L160" s="64"/>
      <c r="M160" s="64"/>
      <c r="P160" s="64"/>
      <c r="Q160" s="64"/>
      <c r="R160" s="64"/>
      <c r="S160" s="64"/>
      <c r="T160" s="64"/>
      <c r="W160" s="65"/>
      <c r="X160" s="64"/>
      <c r="Y160" s="64"/>
      <c r="Z160" s="64"/>
      <c r="AA160" s="64"/>
      <c r="AD160" s="64"/>
      <c r="AE160" s="64"/>
      <c r="AF160" s="64"/>
      <c r="AG160" s="64"/>
      <c r="AH160" s="64"/>
      <c r="AK160" s="62"/>
      <c r="AL160" s="63"/>
      <c r="AM160" s="62"/>
    </row>
    <row r="161" spans="1:39" s="68" customFormat="1">
      <c r="A161" s="67"/>
      <c r="B161" s="66"/>
      <c r="C161" s="66"/>
      <c r="D161" s="66"/>
      <c r="E161" s="66"/>
      <c r="F161" s="65"/>
      <c r="I161" s="64"/>
      <c r="J161" s="64"/>
      <c r="K161" s="64"/>
      <c r="L161" s="64"/>
      <c r="M161" s="64"/>
      <c r="P161" s="64"/>
      <c r="Q161" s="64"/>
      <c r="R161" s="64"/>
      <c r="S161" s="64"/>
      <c r="T161" s="64"/>
      <c r="W161" s="65"/>
      <c r="X161" s="64"/>
      <c r="Y161" s="64"/>
      <c r="Z161" s="64"/>
      <c r="AA161" s="64"/>
      <c r="AD161" s="64"/>
      <c r="AE161" s="64"/>
      <c r="AF161" s="64"/>
      <c r="AG161" s="64"/>
      <c r="AH161" s="64"/>
      <c r="AK161" s="62"/>
      <c r="AL161" s="63"/>
      <c r="AM161" s="62"/>
    </row>
    <row r="162" spans="1:39" s="68" customFormat="1">
      <c r="A162" s="67"/>
      <c r="B162" s="66"/>
      <c r="C162" s="66"/>
      <c r="D162" s="66"/>
      <c r="E162" s="66"/>
      <c r="F162" s="65"/>
      <c r="I162" s="64"/>
      <c r="J162" s="64"/>
      <c r="K162" s="64"/>
      <c r="L162" s="64"/>
      <c r="M162" s="64"/>
      <c r="P162" s="64"/>
      <c r="Q162" s="64"/>
      <c r="R162" s="64"/>
      <c r="S162" s="64"/>
      <c r="T162" s="64"/>
      <c r="W162" s="65"/>
      <c r="X162" s="64"/>
      <c r="Y162" s="64"/>
      <c r="Z162" s="64"/>
      <c r="AA162" s="64"/>
      <c r="AD162" s="64"/>
      <c r="AE162" s="64"/>
      <c r="AF162" s="64"/>
      <c r="AG162" s="64"/>
      <c r="AH162" s="64"/>
      <c r="AK162" s="62"/>
      <c r="AL162" s="63"/>
      <c r="AM162" s="62"/>
    </row>
    <row r="163" spans="1:39" s="68" customFormat="1">
      <c r="A163" s="67"/>
      <c r="B163" s="66"/>
      <c r="C163" s="66"/>
      <c r="D163" s="66"/>
      <c r="E163" s="66"/>
      <c r="F163" s="65"/>
      <c r="I163" s="64"/>
      <c r="J163" s="64"/>
      <c r="K163" s="64"/>
      <c r="L163" s="64"/>
      <c r="M163" s="64"/>
      <c r="P163" s="64"/>
      <c r="Q163" s="64"/>
      <c r="R163" s="64"/>
      <c r="S163" s="64"/>
      <c r="T163" s="64"/>
      <c r="W163" s="65"/>
      <c r="X163" s="64"/>
      <c r="Y163" s="64"/>
      <c r="Z163" s="64"/>
      <c r="AA163" s="64"/>
      <c r="AD163" s="64"/>
      <c r="AE163" s="64"/>
      <c r="AF163" s="64"/>
      <c r="AG163" s="64"/>
      <c r="AH163" s="64"/>
      <c r="AK163" s="62"/>
      <c r="AL163" s="63"/>
      <c r="AM163" s="62"/>
    </row>
    <row r="164" spans="1:39" s="68" customFormat="1">
      <c r="A164" s="67"/>
      <c r="B164" s="66"/>
      <c r="C164" s="66"/>
      <c r="D164" s="66"/>
      <c r="E164" s="66"/>
      <c r="F164" s="65"/>
      <c r="I164" s="64"/>
      <c r="J164" s="64"/>
      <c r="K164" s="64"/>
      <c r="L164" s="64"/>
      <c r="M164" s="64"/>
      <c r="P164" s="64"/>
      <c r="Q164" s="64"/>
      <c r="R164" s="64"/>
      <c r="S164" s="64"/>
      <c r="T164" s="64"/>
      <c r="W164" s="65"/>
      <c r="X164" s="64"/>
      <c r="Y164" s="64"/>
      <c r="Z164" s="64"/>
      <c r="AA164" s="64"/>
      <c r="AD164" s="64"/>
      <c r="AE164" s="64"/>
      <c r="AF164" s="64"/>
      <c r="AG164" s="64"/>
      <c r="AH164" s="64"/>
      <c r="AK164" s="62"/>
      <c r="AL164" s="63"/>
      <c r="AM164" s="62"/>
    </row>
    <row r="165" spans="1:39" s="68" customFormat="1">
      <c r="A165" s="67"/>
      <c r="B165" s="66"/>
      <c r="C165" s="66"/>
      <c r="D165" s="66"/>
      <c r="E165" s="66"/>
      <c r="F165" s="65"/>
      <c r="I165" s="64"/>
      <c r="J165" s="64"/>
      <c r="K165" s="64"/>
      <c r="L165" s="64"/>
      <c r="M165" s="64"/>
      <c r="P165" s="64"/>
      <c r="Q165" s="64"/>
      <c r="R165" s="64"/>
      <c r="S165" s="64"/>
      <c r="T165" s="64"/>
      <c r="W165" s="65"/>
      <c r="X165" s="64"/>
      <c r="Y165" s="64"/>
      <c r="Z165" s="64"/>
      <c r="AA165" s="64"/>
      <c r="AD165" s="64"/>
      <c r="AE165" s="64"/>
      <c r="AF165" s="64"/>
      <c r="AG165" s="64"/>
      <c r="AH165" s="64"/>
      <c r="AK165" s="62"/>
      <c r="AL165" s="63"/>
      <c r="AM165" s="62"/>
    </row>
    <row r="166" spans="1:39" s="68" customFormat="1">
      <c r="A166" s="67"/>
      <c r="B166" s="66"/>
      <c r="C166" s="66"/>
      <c r="D166" s="66"/>
      <c r="E166" s="66"/>
      <c r="F166" s="65"/>
      <c r="I166" s="64"/>
      <c r="J166" s="64"/>
      <c r="K166" s="64"/>
      <c r="L166" s="64"/>
      <c r="M166" s="64"/>
      <c r="P166" s="64"/>
      <c r="Q166" s="64"/>
      <c r="R166" s="64"/>
      <c r="S166" s="64"/>
      <c r="T166" s="64"/>
      <c r="W166" s="65"/>
      <c r="X166" s="64"/>
      <c r="Y166" s="64"/>
      <c r="Z166" s="64"/>
      <c r="AA166" s="64"/>
      <c r="AD166" s="64"/>
      <c r="AE166" s="64"/>
      <c r="AF166" s="64"/>
      <c r="AG166" s="64"/>
      <c r="AH166" s="64"/>
      <c r="AK166" s="62"/>
      <c r="AL166" s="63"/>
      <c r="AM166" s="62"/>
    </row>
    <row r="167" spans="1:39" s="68" customFormat="1">
      <c r="A167" s="67"/>
      <c r="B167" s="66"/>
      <c r="C167" s="66"/>
      <c r="D167" s="66"/>
      <c r="E167" s="66"/>
      <c r="F167" s="65"/>
      <c r="I167" s="64"/>
      <c r="J167" s="64"/>
      <c r="K167" s="64"/>
      <c r="L167" s="64"/>
      <c r="M167" s="64"/>
      <c r="P167" s="64"/>
      <c r="Q167" s="64"/>
      <c r="R167" s="64"/>
      <c r="S167" s="64"/>
      <c r="T167" s="64"/>
      <c r="W167" s="65"/>
      <c r="X167" s="64"/>
      <c r="Y167" s="64"/>
      <c r="Z167" s="64"/>
      <c r="AA167" s="64"/>
      <c r="AD167" s="64"/>
      <c r="AE167" s="64"/>
      <c r="AF167" s="64"/>
      <c r="AG167" s="64"/>
      <c r="AH167" s="64"/>
      <c r="AK167" s="62"/>
      <c r="AL167" s="63"/>
      <c r="AM167" s="62"/>
    </row>
    <row r="168" spans="1:39" s="68" customFormat="1">
      <c r="A168" s="67"/>
      <c r="B168" s="66"/>
      <c r="C168" s="66"/>
      <c r="D168" s="66"/>
      <c r="E168" s="66"/>
      <c r="F168" s="65"/>
      <c r="I168" s="64"/>
      <c r="J168" s="64"/>
      <c r="K168" s="64"/>
      <c r="L168" s="64"/>
      <c r="M168" s="64"/>
      <c r="P168" s="64"/>
      <c r="Q168" s="64"/>
      <c r="R168" s="64"/>
      <c r="S168" s="64"/>
      <c r="T168" s="64"/>
      <c r="W168" s="65"/>
      <c r="X168" s="64"/>
      <c r="Y168" s="64"/>
      <c r="Z168" s="64"/>
      <c r="AA168" s="64"/>
      <c r="AD168" s="64"/>
      <c r="AE168" s="64"/>
      <c r="AF168" s="64"/>
      <c r="AG168" s="64"/>
      <c r="AH168" s="64"/>
      <c r="AK168" s="62"/>
      <c r="AL168" s="63"/>
      <c r="AM168" s="62"/>
    </row>
    <row r="169" spans="1:39" s="68" customFormat="1">
      <c r="A169" s="67"/>
      <c r="B169" s="66"/>
      <c r="C169" s="66"/>
      <c r="D169" s="66"/>
      <c r="E169" s="66"/>
      <c r="F169" s="65"/>
      <c r="I169" s="64"/>
      <c r="J169" s="64"/>
      <c r="K169" s="64"/>
      <c r="L169" s="64"/>
      <c r="M169" s="64"/>
      <c r="P169" s="64"/>
      <c r="Q169" s="64"/>
      <c r="R169" s="64"/>
      <c r="S169" s="64"/>
      <c r="T169" s="64"/>
      <c r="W169" s="65"/>
      <c r="X169" s="64"/>
      <c r="Y169" s="64"/>
      <c r="Z169" s="64"/>
      <c r="AA169" s="64"/>
      <c r="AD169" s="64"/>
      <c r="AE169" s="64"/>
      <c r="AF169" s="64"/>
      <c r="AG169" s="64"/>
      <c r="AH169" s="64"/>
      <c r="AK169" s="62"/>
      <c r="AL169" s="63"/>
      <c r="AM169" s="62"/>
    </row>
    <row r="170" spans="1:39" s="68" customFormat="1">
      <c r="A170" s="67"/>
      <c r="B170" s="66"/>
      <c r="C170" s="66"/>
      <c r="D170" s="66"/>
      <c r="E170" s="66"/>
      <c r="F170" s="65"/>
      <c r="I170" s="64"/>
      <c r="J170" s="64"/>
      <c r="K170" s="64"/>
      <c r="L170" s="64"/>
      <c r="M170" s="64"/>
      <c r="P170" s="64"/>
      <c r="Q170" s="64"/>
      <c r="R170" s="64"/>
      <c r="S170" s="64"/>
      <c r="T170" s="64"/>
      <c r="W170" s="65"/>
      <c r="X170" s="64"/>
      <c r="Y170" s="64"/>
      <c r="Z170" s="64"/>
      <c r="AA170" s="64"/>
      <c r="AD170" s="64"/>
      <c r="AE170" s="64"/>
      <c r="AF170" s="64"/>
      <c r="AG170" s="64"/>
      <c r="AH170" s="64"/>
      <c r="AK170" s="62"/>
      <c r="AL170" s="63"/>
      <c r="AM170" s="62"/>
    </row>
    <row r="171" spans="1:39" s="68" customFormat="1">
      <c r="A171" s="67"/>
      <c r="B171" s="66"/>
      <c r="C171" s="66"/>
      <c r="D171" s="66"/>
      <c r="E171" s="66"/>
      <c r="F171" s="65"/>
      <c r="I171" s="64"/>
      <c r="J171" s="64"/>
      <c r="K171" s="64"/>
      <c r="L171" s="64"/>
      <c r="M171" s="64"/>
      <c r="P171" s="64"/>
      <c r="Q171" s="64"/>
      <c r="R171" s="64"/>
      <c r="S171" s="64"/>
      <c r="T171" s="64"/>
      <c r="W171" s="65"/>
      <c r="X171" s="64"/>
      <c r="Y171" s="64"/>
      <c r="Z171" s="64"/>
      <c r="AA171" s="64"/>
      <c r="AD171" s="64"/>
      <c r="AE171" s="64"/>
      <c r="AF171" s="64"/>
      <c r="AG171" s="64"/>
      <c r="AH171" s="64"/>
      <c r="AK171" s="62"/>
      <c r="AL171" s="63"/>
      <c r="AM171" s="62"/>
    </row>
    <row r="172" spans="1:39" s="68" customFormat="1">
      <c r="A172" s="67"/>
      <c r="B172" s="66"/>
      <c r="C172" s="66"/>
      <c r="D172" s="66"/>
      <c r="E172" s="66"/>
      <c r="F172" s="65"/>
      <c r="I172" s="64"/>
      <c r="J172" s="64"/>
      <c r="K172" s="64"/>
      <c r="L172" s="64"/>
      <c r="M172" s="64"/>
      <c r="P172" s="64"/>
      <c r="Q172" s="64"/>
      <c r="R172" s="64"/>
      <c r="S172" s="64"/>
      <c r="T172" s="64"/>
      <c r="W172" s="65"/>
      <c r="X172" s="64"/>
      <c r="Y172" s="64"/>
      <c r="Z172" s="64"/>
      <c r="AA172" s="64"/>
      <c r="AD172" s="64"/>
      <c r="AE172" s="64"/>
      <c r="AF172" s="64"/>
      <c r="AG172" s="64"/>
      <c r="AH172" s="64"/>
      <c r="AK172" s="62"/>
      <c r="AL172" s="63"/>
      <c r="AM172" s="62"/>
    </row>
    <row r="173" spans="1:39" s="68" customFormat="1">
      <c r="A173" s="67"/>
      <c r="B173" s="66"/>
      <c r="C173" s="66"/>
      <c r="D173" s="66"/>
      <c r="E173" s="66"/>
      <c r="F173" s="65"/>
      <c r="I173" s="64"/>
      <c r="J173" s="64"/>
      <c r="K173" s="64"/>
      <c r="L173" s="64"/>
      <c r="M173" s="64"/>
      <c r="P173" s="64"/>
      <c r="Q173" s="64"/>
      <c r="R173" s="64"/>
      <c r="S173" s="64"/>
      <c r="T173" s="64"/>
      <c r="W173" s="65"/>
      <c r="X173" s="64"/>
      <c r="Y173" s="64"/>
      <c r="Z173" s="64"/>
      <c r="AA173" s="64"/>
      <c r="AD173" s="64"/>
      <c r="AE173" s="64"/>
      <c r="AF173" s="64"/>
      <c r="AG173" s="64"/>
      <c r="AH173" s="64"/>
      <c r="AK173" s="62"/>
      <c r="AL173" s="63"/>
      <c r="AM173" s="62"/>
    </row>
    <row r="174" spans="1:39" s="68" customFormat="1">
      <c r="A174" s="67"/>
      <c r="B174" s="66"/>
      <c r="C174" s="66"/>
      <c r="D174" s="66"/>
      <c r="E174" s="66"/>
      <c r="F174" s="65"/>
      <c r="I174" s="64"/>
      <c r="J174" s="64"/>
      <c r="K174" s="64"/>
      <c r="L174" s="64"/>
      <c r="M174" s="64"/>
      <c r="P174" s="64"/>
      <c r="Q174" s="64"/>
      <c r="R174" s="64"/>
      <c r="S174" s="64"/>
      <c r="T174" s="64"/>
      <c r="W174" s="65"/>
      <c r="X174" s="64"/>
      <c r="Y174" s="64"/>
      <c r="Z174" s="64"/>
      <c r="AA174" s="64"/>
      <c r="AD174" s="64"/>
      <c r="AE174" s="64"/>
      <c r="AF174" s="64"/>
      <c r="AG174" s="64"/>
      <c r="AH174" s="64"/>
      <c r="AK174" s="62"/>
      <c r="AL174" s="63"/>
      <c r="AM174" s="62"/>
    </row>
    <row r="175" spans="1:39" s="68" customFormat="1">
      <c r="A175" s="67"/>
      <c r="B175" s="66"/>
      <c r="C175" s="66"/>
      <c r="D175" s="66"/>
      <c r="E175" s="66"/>
      <c r="F175" s="65"/>
      <c r="I175" s="64"/>
      <c r="J175" s="64"/>
      <c r="K175" s="64"/>
      <c r="L175" s="64"/>
      <c r="M175" s="64"/>
      <c r="P175" s="64"/>
      <c r="Q175" s="64"/>
      <c r="R175" s="64"/>
      <c r="S175" s="64"/>
      <c r="T175" s="64"/>
      <c r="W175" s="65"/>
      <c r="X175" s="64"/>
      <c r="Y175" s="64"/>
      <c r="Z175" s="64"/>
      <c r="AA175" s="64"/>
      <c r="AD175" s="64"/>
      <c r="AE175" s="64"/>
      <c r="AF175" s="64"/>
      <c r="AG175" s="64"/>
      <c r="AH175" s="64"/>
      <c r="AK175" s="62"/>
      <c r="AL175" s="63"/>
      <c r="AM175" s="62"/>
    </row>
    <row r="176" spans="1:39" s="68" customFormat="1">
      <c r="A176" s="67"/>
      <c r="B176" s="66"/>
      <c r="C176" s="66"/>
      <c r="D176" s="66"/>
      <c r="E176" s="66"/>
      <c r="F176" s="65"/>
      <c r="I176" s="64"/>
      <c r="J176" s="64"/>
      <c r="K176" s="64"/>
      <c r="L176" s="64"/>
      <c r="M176" s="64"/>
      <c r="P176" s="64"/>
      <c r="Q176" s="64"/>
      <c r="R176" s="64"/>
      <c r="S176" s="64"/>
      <c r="T176" s="64"/>
      <c r="W176" s="65"/>
      <c r="X176" s="64"/>
      <c r="Y176" s="64"/>
      <c r="Z176" s="64"/>
      <c r="AA176" s="64"/>
      <c r="AD176" s="64"/>
      <c r="AE176" s="64"/>
      <c r="AF176" s="64"/>
      <c r="AG176" s="64"/>
      <c r="AH176" s="64"/>
      <c r="AK176" s="62"/>
      <c r="AL176" s="63"/>
      <c r="AM176" s="62"/>
    </row>
    <row r="177" spans="1:39" s="68" customFormat="1">
      <c r="A177" s="67"/>
      <c r="B177" s="66"/>
      <c r="C177" s="66"/>
      <c r="D177" s="66"/>
      <c r="E177" s="66"/>
      <c r="F177" s="65"/>
      <c r="I177" s="64"/>
      <c r="J177" s="64"/>
      <c r="K177" s="64"/>
      <c r="L177" s="64"/>
      <c r="M177" s="64"/>
      <c r="P177" s="64"/>
      <c r="Q177" s="64"/>
      <c r="R177" s="64"/>
      <c r="S177" s="64"/>
      <c r="T177" s="64"/>
      <c r="W177" s="65"/>
      <c r="X177" s="64"/>
      <c r="Y177" s="64"/>
      <c r="Z177" s="64"/>
      <c r="AA177" s="64"/>
      <c r="AD177" s="64"/>
      <c r="AE177" s="64"/>
      <c r="AF177" s="64"/>
      <c r="AG177" s="64"/>
      <c r="AH177" s="64"/>
      <c r="AK177" s="62"/>
      <c r="AL177" s="63"/>
      <c r="AM177" s="62"/>
    </row>
    <row r="178" spans="1:39" s="68" customFormat="1">
      <c r="A178" s="67"/>
      <c r="B178" s="66"/>
      <c r="C178" s="66"/>
      <c r="D178" s="66"/>
      <c r="E178" s="66"/>
      <c r="F178" s="65"/>
      <c r="I178" s="64"/>
      <c r="J178" s="64"/>
      <c r="K178" s="64"/>
      <c r="L178" s="64"/>
      <c r="M178" s="64"/>
      <c r="P178" s="64"/>
      <c r="Q178" s="64"/>
      <c r="R178" s="64"/>
      <c r="S178" s="64"/>
      <c r="T178" s="64"/>
      <c r="W178" s="65"/>
      <c r="X178" s="64"/>
      <c r="Y178" s="64"/>
      <c r="Z178" s="64"/>
      <c r="AA178" s="64"/>
      <c r="AD178" s="64"/>
      <c r="AE178" s="64"/>
      <c r="AF178" s="64"/>
      <c r="AG178" s="64"/>
      <c r="AH178" s="64"/>
      <c r="AK178" s="62"/>
      <c r="AL178" s="63"/>
      <c r="AM178" s="62"/>
    </row>
    <row r="179" spans="1:39" s="68" customFormat="1">
      <c r="A179" s="67"/>
      <c r="B179" s="66"/>
      <c r="C179" s="66"/>
      <c r="D179" s="66"/>
      <c r="E179" s="66"/>
      <c r="F179" s="65"/>
      <c r="I179" s="64"/>
      <c r="J179" s="64"/>
      <c r="K179" s="64"/>
      <c r="L179" s="64"/>
      <c r="M179" s="64"/>
      <c r="P179" s="64"/>
      <c r="Q179" s="64"/>
      <c r="R179" s="64"/>
      <c r="S179" s="64"/>
      <c r="T179" s="64"/>
      <c r="W179" s="65"/>
      <c r="X179" s="64"/>
      <c r="Y179" s="64"/>
      <c r="Z179" s="64"/>
      <c r="AA179" s="64"/>
      <c r="AD179" s="64"/>
      <c r="AE179" s="64"/>
      <c r="AF179" s="64"/>
      <c r="AG179" s="64"/>
      <c r="AH179" s="64"/>
      <c r="AK179" s="62"/>
      <c r="AL179" s="63"/>
      <c r="AM179" s="62"/>
    </row>
    <row r="180" spans="1:39" s="68" customFormat="1">
      <c r="A180" s="67"/>
      <c r="B180" s="66"/>
      <c r="C180" s="66"/>
      <c r="D180" s="66"/>
      <c r="E180" s="66"/>
      <c r="F180" s="65"/>
      <c r="I180" s="64"/>
      <c r="J180" s="64"/>
      <c r="K180" s="64"/>
      <c r="L180" s="64"/>
      <c r="M180" s="64"/>
      <c r="P180" s="64"/>
      <c r="Q180" s="64"/>
      <c r="R180" s="64"/>
      <c r="S180" s="64"/>
      <c r="T180" s="64"/>
      <c r="W180" s="65"/>
      <c r="X180" s="64"/>
      <c r="Y180" s="64"/>
      <c r="Z180" s="64"/>
      <c r="AA180" s="64"/>
      <c r="AD180" s="64"/>
      <c r="AE180" s="64"/>
      <c r="AF180" s="64"/>
      <c r="AG180" s="64"/>
      <c r="AH180" s="64"/>
      <c r="AK180" s="62"/>
      <c r="AL180" s="63"/>
      <c r="AM180" s="62"/>
    </row>
    <row r="181" spans="1:39" s="68" customFormat="1">
      <c r="A181" s="67"/>
      <c r="B181" s="66"/>
      <c r="C181" s="66"/>
      <c r="D181" s="66"/>
      <c r="E181" s="66"/>
      <c r="F181" s="65"/>
      <c r="I181" s="64"/>
      <c r="J181" s="64"/>
      <c r="K181" s="64"/>
      <c r="L181" s="64"/>
      <c r="M181" s="64"/>
      <c r="P181" s="64"/>
      <c r="Q181" s="64"/>
      <c r="R181" s="64"/>
      <c r="S181" s="64"/>
      <c r="T181" s="64"/>
      <c r="W181" s="65"/>
      <c r="X181" s="64"/>
      <c r="Y181" s="64"/>
      <c r="Z181" s="64"/>
      <c r="AA181" s="64"/>
      <c r="AD181" s="64"/>
      <c r="AE181" s="64"/>
      <c r="AF181" s="64"/>
      <c r="AG181" s="64"/>
      <c r="AH181" s="64"/>
      <c r="AK181" s="62"/>
      <c r="AL181" s="63"/>
      <c r="AM181" s="62"/>
    </row>
    <row r="182" spans="1:39" s="68" customFormat="1">
      <c r="A182" s="67"/>
      <c r="B182" s="66"/>
      <c r="C182" s="66"/>
      <c r="D182" s="66"/>
      <c r="E182" s="66"/>
      <c r="F182" s="65"/>
      <c r="I182" s="64"/>
      <c r="J182" s="64"/>
      <c r="K182" s="64"/>
      <c r="L182" s="64"/>
      <c r="M182" s="64"/>
      <c r="P182" s="64"/>
      <c r="Q182" s="64"/>
      <c r="R182" s="64"/>
      <c r="S182" s="64"/>
      <c r="T182" s="64"/>
      <c r="W182" s="65"/>
      <c r="X182" s="64"/>
      <c r="Y182" s="64"/>
      <c r="Z182" s="64"/>
      <c r="AA182" s="64"/>
      <c r="AD182" s="64"/>
      <c r="AE182" s="64"/>
      <c r="AF182" s="64"/>
      <c r="AG182" s="64"/>
      <c r="AH182" s="64"/>
      <c r="AK182" s="62"/>
      <c r="AL182" s="63"/>
      <c r="AM182" s="62"/>
    </row>
    <row r="183" spans="1:39" s="68" customFormat="1">
      <c r="A183" s="67"/>
      <c r="B183" s="66"/>
      <c r="C183" s="66"/>
      <c r="D183" s="66"/>
      <c r="E183" s="66"/>
      <c r="F183" s="65"/>
      <c r="I183" s="64"/>
      <c r="J183" s="64"/>
      <c r="K183" s="64"/>
      <c r="L183" s="64"/>
      <c r="M183" s="64"/>
      <c r="P183" s="64"/>
      <c r="Q183" s="64"/>
      <c r="R183" s="64"/>
      <c r="S183" s="64"/>
      <c r="T183" s="64"/>
      <c r="W183" s="65"/>
      <c r="X183" s="64"/>
      <c r="Y183" s="64"/>
      <c r="Z183" s="64"/>
      <c r="AA183" s="64"/>
      <c r="AD183" s="64"/>
      <c r="AE183" s="64"/>
      <c r="AF183" s="64"/>
      <c r="AG183" s="64"/>
      <c r="AH183" s="64"/>
      <c r="AK183" s="62"/>
      <c r="AL183" s="63"/>
      <c r="AM183" s="62"/>
    </row>
    <row r="184" spans="1:39" s="68" customFormat="1">
      <c r="A184" s="67"/>
      <c r="B184" s="66"/>
      <c r="C184" s="66"/>
      <c r="D184" s="66"/>
      <c r="E184" s="66"/>
      <c r="F184" s="65"/>
      <c r="I184" s="64"/>
      <c r="J184" s="64"/>
      <c r="K184" s="64"/>
      <c r="L184" s="64"/>
      <c r="M184" s="64"/>
      <c r="P184" s="64"/>
      <c r="Q184" s="64"/>
      <c r="R184" s="64"/>
      <c r="S184" s="64"/>
      <c r="T184" s="64"/>
      <c r="W184" s="65"/>
      <c r="X184" s="64"/>
      <c r="Y184" s="64"/>
      <c r="Z184" s="64"/>
      <c r="AA184" s="64"/>
      <c r="AD184" s="64"/>
      <c r="AE184" s="64"/>
      <c r="AF184" s="64"/>
      <c r="AG184" s="64"/>
      <c r="AH184" s="64"/>
      <c r="AK184" s="62"/>
      <c r="AL184" s="63"/>
      <c r="AM184" s="62"/>
    </row>
    <row r="185" spans="1:39" s="68" customFormat="1">
      <c r="A185" s="67"/>
      <c r="B185" s="66"/>
      <c r="C185" s="66"/>
      <c r="D185" s="66"/>
      <c r="E185" s="66"/>
      <c r="F185" s="65"/>
      <c r="I185" s="64"/>
      <c r="J185" s="64"/>
      <c r="K185" s="64"/>
      <c r="L185" s="64"/>
      <c r="M185" s="64"/>
      <c r="P185" s="64"/>
      <c r="Q185" s="64"/>
      <c r="R185" s="64"/>
      <c r="S185" s="64"/>
      <c r="T185" s="64"/>
      <c r="W185" s="65"/>
      <c r="X185" s="64"/>
      <c r="Y185" s="64"/>
      <c r="Z185" s="64"/>
      <c r="AA185" s="64"/>
      <c r="AD185" s="64"/>
      <c r="AE185" s="64"/>
      <c r="AF185" s="64"/>
      <c r="AG185" s="64"/>
      <c r="AH185" s="64"/>
      <c r="AK185" s="62"/>
      <c r="AL185" s="63"/>
      <c r="AM185" s="62"/>
    </row>
    <row r="186" spans="1:39" s="68" customFormat="1">
      <c r="A186" s="67"/>
      <c r="B186" s="66"/>
      <c r="C186" s="66"/>
      <c r="D186" s="66"/>
      <c r="E186" s="66"/>
      <c r="F186" s="65"/>
      <c r="I186" s="64"/>
      <c r="J186" s="64"/>
      <c r="K186" s="64"/>
      <c r="L186" s="64"/>
      <c r="M186" s="64"/>
      <c r="P186" s="64"/>
      <c r="Q186" s="64"/>
      <c r="R186" s="64"/>
      <c r="S186" s="64"/>
      <c r="T186" s="64"/>
      <c r="W186" s="65"/>
      <c r="X186" s="64"/>
      <c r="Y186" s="64"/>
      <c r="Z186" s="64"/>
      <c r="AA186" s="64"/>
      <c r="AD186" s="64"/>
      <c r="AE186" s="64"/>
      <c r="AF186" s="64"/>
      <c r="AG186" s="64"/>
      <c r="AH186" s="64"/>
      <c r="AK186" s="62"/>
      <c r="AL186" s="63"/>
      <c r="AM186" s="62"/>
    </row>
    <row r="187" spans="1:39" s="68" customFormat="1">
      <c r="A187" s="67"/>
      <c r="B187" s="66"/>
      <c r="C187" s="66"/>
      <c r="D187" s="66"/>
      <c r="E187" s="66"/>
      <c r="F187" s="65"/>
      <c r="I187" s="64"/>
      <c r="J187" s="64"/>
      <c r="K187" s="64"/>
      <c r="L187" s="64"/>
      <c r="M187" s="64"/>
      <c r="P187" s="64"/>
      <c r="Q187" s="64"/>
      <c r="R187" s="64"/>
      <c r="S187" s="64"/>
      <c r="T187" s="64"/>
      <c r="W187" s="65"/>
      <c r="X187" s="64"/>
      <c r="Y187" s="64"/>
      <c r="Z187" s="64"/>
      <c r="AA187" s="64"/>
      <c r="AD187" s="64"/>
      <c r="AE187" s="64"/>
      <c r="AF187" s="64"/>
      <c r="AG187" s="64"/>
      <c r="AH187" s="64"/>
      <c r="AK187" s="62"/>
      <c r="AL187" s="63"/>
      <c r="AM187" s="62"/>
    </row>
    <row r="188" spans="1:39" s="68" customFormat="1">
      <c r="A188" s="67"/>
      <c r="B188" s="66"/>
      <c r="C188" s="66"/>
      <c r="D188" s="66"/>
      <c r="E188" s="66"/>
      <c r="F188" s="65"/>
      <c r="I188" s="64"/>
      <c r="J188" s="64"/>
      <c r="K188" s="64"/>
      <c r="L188" s="64"/>
      <c r="M188" s="64"/>
      <c r="P188" s="64"/>
      <c r="Q188" s="64"/>
      <c r="R188" s="64"/>
      <c r="S188" s="64"/>
      <c r="T188" s="64"/>
      <c r="W188" s="65"/>
      <c r="X188" s="64"/>
      <c r="Y188" s="64"/>
      <c r="Z188" s="64"/>
      <c r="AA188" s="64"/>
      <c r="AD188" s="64"/>
      <c r="AE188" s="64"/>
      <c r="AF188" s="64"/>
      <c r="AG188" s="64"/>
      <c r="AH188" s="64"/>
      <c r="AK188" s="62"/>
      <c r="AL188" s="63"/>
      <c r="AM188" s="62"/>
    </row>
    <row r="189" spans="1:39" s="68" customFormat="1">
      <c r="A189" s="67"/>
      <c r="B189" s="66"/>
      <c r="C189" s="66"/>
      <c r="D189" s="66"/>
      <c r="E189" s="66"/>
      <c r="F189" s="65"/>
      <c r="I189" s="64"/>
      <c r="J189" s="64"/>
      <c r="K189" s="64"/>
      <c r="L189" s="64"/>
      <c r="M189" s="64"/>
      <c r="P189" s="64"/>
      <c r="Q189" s="64"/>
      <c r="R189" s="64"/>
      <c r="S189" s="64"/>
      <c r="T189" s="64"/>
      <c r="W189" s="65"/>
      <c r="X189" s="64"/>
      <c r="Y189" s="64"/>
      <c r="Z189" s="64"/>
      <c r="AA189" s="64"/>
      <c r="AD189" s="64"/>
      <c r="AE189" s="64"/>
      <c r="AF189" s="64"/>
      <c r="AG189" s="64"/>
      <c r="AH189" s="64"/>
      <c r="AK189" s="62"/>
      <c r="AL189" s="63"/>
      <c r="AM189" s="62"/>
    </row>
    <row r="190" spans="1:39" s="68" customFormat="1">
      <c r="A190" s="67"/>
      <c r="B190" s="66"/>
      <c r="C190" s="66"/>
      <c r="D190" s="66"/>
      <c r="E190" s="66"/>
      <c r="F190" s="65"/>
      <c r="I190" s="64"/>
      <c r="J190" s="64"/>
      <c r="K190" s="64"/>
      <c r="L190" s="64"/>
      <c r="M190" s="64"/>
      <c r="P190" s="64"/>
      <c r="Q190" s="64"/>
      <c r="R190" s="64"/>
      <c r="S190" s="64"/>
      <c r="T190" s="64"/>
      <c r="W190" s="65"/>
      <c r="X190" s="64"/>
      <c r="Y190" s="64"/>
      <c r="Z190" s="64"/>
      <c r="AA190" s="64"/>
      <c r="AD190" s="64"/>
      <c r="AE190" s="64"/>
      <c r="AF190" s="64"/>
      <c r="AG190" s="64"/>
      <c r="AH190" s="64"/>
      <c r="AK190" s="62"/>
      <c r="AL190" s="63"/>
      <c r="AM190" s="62"/>
    </row>
    <row r="191" spans="1:39" s="68" customFormat="1">
      <c r="A191" s="67"/>
      <c r="B191" s="66"/>
      <c r="C191" s="66"/>
      <c r="D191" s="66"/>
      <c r="E191" s="66"/>
      <c r="F191" s="65"/>
      <c r="I191" s="64"/>
      <c r="J191" s="64"/>
      <c r="K191" s="64"/>
      <c r="L191" s="64"/>
      <c r="M191" s="64"/>
      <c r="P191" s="64"/>
      <c r="Q191" s="64"/>
      <c r="R191" s="64"/>
      <c r="S191" s="64"/>
      <c r="T191" s="64"/>
      <c r="W191" s="65"/>
      <c r="X191" s="64"/>
      <c r="Y191" s="64"/>
      <c r="Z191" s="64"/>
      <c r="AA191" s="64"/>
      <c r="AD191" s="64"/>
      <c r="AE191" s="64"/>
      <c r="AF191" s="64"/>
      <c r="AG191" s="64"/>
      <c r="AH191" s="64"/>
      <c r="AK191" s="62"/>
      <c r="AL191" s="63"/>
      <c r="AM191" s="62"/>
    </row>
    <row r="192" spans="1:39" s="68" customFormat="1">
      <c r="A192" s="67"/>
      <c r="B192" s="66"/>
      <c r="C192" s="66"/>
      <c r="D192" s="66"/>
      <c r="E192" s="66"/>
      <c r="F192" s="65"/>
      <c r="I192" s="64"/>
      <c r="J192" s="64"/>
      <c r="K192" s="64"/>
      <c r="L192" s="64"/>
      <c r="M192" s="64"/>
      <c r="P192" s="64"/>
      <c r="Q192" s="64"/>
      <c r="R192" s="64"/>
      <c r="S192" s="64"/>
      <c r="T192" s="64"/>
      <c r="W192" s="65"/>
      <c r="X192" s="64"/>
      <c r="Y192" s="64"/>
      <c r="Z192" s="64"/>
      <c r="AA192" s="64"/>
      <c r="AD192" s="64"/>
      <c r="AE192" s="64"/>
      <c r="AF192" s="64"/>
      <c r="AG192" s="64"/>
      <c r="AH192" s="64"/>
      <c r="AK192" s="62"/>
      <c r="AL192" s="63"/>
      <c r="AM192" s="62"/>
    </row>
    <row r="193" spans="1:39" s="68" customFormat="1">
      <c r="A193" s="67"/>
      <c r="B193" s="66"/>
      <c r="C193" s="66"/>
      <c r="D193" s="66"/>
      <c r="E193" s="66"/>
      <c r="F193" s="65"/>
      <c r="I193" s="64"/>
      <c r="J193" s="64"/>
      <c r="K193" s="64"/>
      <c r="L193" s="64"/>
      <c r="M193" s="64"/>
      <c r="P193" s="64"/>
      <c r="Q193" s="64"/>
      <c r="R193" s="64"/>
      <c r="S193" s="64"/>
      <c r="T193" s="64"/>
      <c r="W193" s="65"/>
      <c r="X193" s="64"/>
      <c r="Y193" s="64"/>
      <c r="Z193" s="64"/>
      <c r="AA193" s="64"/>
      <c r="AD193" s="64"/>
      <c r="AE193" s="64"/>
      <c r="AF193" s="64"/>
      <c r="AG193" s="64"/>
      <c r="AH193" s="64"/>
      <c r="AK193" s="62"/>
      <c r="AL193" s="63"/>
      <c r="AM193" s="62"/>
    </row>
    <row r="194" spans="1:39" s="68" customFormat="1">
      <c r="A194" s="67"/>
      <c r="B194" s="66"/>
      <c r="C194" s="66"/>
      <c r="D194" s="66"/>
      <c r="E194" s="66"/>
      <c r="F194" s="65"/>
      <c r="I194" s="64"/>
      <c r="J194" s="64"/>
      <c r="K194" s="64"/>
      <c r="L194" s="64"/>
      <c r="M194" s="64"/>
      <c r="P194" s="64"/>
      <c r="Q194" s="64"/>
      <c r="R194" s="64"/>
      <c r="S194" s="64"/>
      <c r="T194" s="64"/>
      <c r="W194" s="65"/>
      <c r="X194" s="64"/>
      <c r="Y194" s="64"/>
      <c r="Z194" s="64"/>
      <c r="AA194" s="64"/>
      <c r="AD194" s="64"/>
      <c r="AE194" s="64"/>
      <c r="AF194" s="64"/>
      <c r="AG194" s="64"/>
      <c r="AH194" s="64"/>
      <c r="AK194" s="62"/>
      <c r="AL194" s="63"/>
      <c r="AM194" s="62"/>
    </row>
    <row r="195" spans="1:39" s="68" customFormat="1">
      <c r="A195" s="67"/>
      <c r="B195" s="66"/>
      <c r="C195" s="66"/>
      <c r="D195" s="66"/>
      <c r="E195" s="66"/>
      <c r="F195" s="65"/>
      <c r="I195" s="64"/>
      <c r="J195" s="64"/>
      <c r="K195" s="64"/>
      <c r="L195" s="64"/>
      <c r="M195" s="64"/>
      <c r="P195" s="64"/>
      <c r="Q195" s="64"/>
      <c r="R195" s="64"/>
      <c r="S195" s="64"/>
      <c r="T195" s="64"/>
      <c r="W195" s="65"/>
      <c r="X195" s="64"/>
      <c r="Y195" s="64"/>
      <c r="Z195" s="64"/>
      <c r="AA195" s="64"/>
      <c r="AD195" s="64"/>
      <c r="AE195" s="64"/>
      <c r="AF195" s="64"/>
      <c r="AG195" s="64"/>
      <c r="AH195" s="64"/>
      <c r="AK195" s="62"/>
      <c r="AL195" s="63"/>
      <c r="AM195" s="62"/>
    </row>
    <row r="196" spans="1:39" s="68" customFormat="1">
      <c r="A196" s="67"/>
      <c r="B196" s="66"/>
      <c r="C196" s="66"/>
      <c r="D196" s="66"/>
      <c r="E196" s="66"/>
      <c r="F196" s="65"/>
      <c r="I196" s="64"/>
      <c r="J196" s="64"/>
      <c r="K196" s="64"/>
      <c r="L196" s="64"/>
      <c r="M196" s="64"/>
      <c r="P196" s="64"/>
      <c r="Q196" s="64"/>
      <c r="R196" s="64"/>
      <c r="S196" s="64"/>
      <c r="T196" s="64"/>
      <c r="W196" s="65"/>
      <c r="X196" s="64"/>
      <c r="Y196" s="64"/>
      <c r="Z196" s="64"/>
      <c r="AA196" s="64"/>
      <c r="AD196" s="64"/>
      <c r="AE196" s="64"/>
      <c r="AF196" s="64"/>
      <c r="AG196" s="64"/>
      <c r="AH196" s="64"/>
      <c r="AK196" s="62"/>
      <c r="AL196" s="63"/>
      <c r="AM196" s="62"/>
    </row>
    <row r="197" spans="1:39" s="68" customFormat="1">
      <c r="A197" s="67"/>
      <c r="B197" s="66"/>
      <c r="C197" s="66"/>
      <c r="D197" s="66"/>
      <c r="E197" s="66"/>
      <c r="F197" s="65"/>
      <c r="I197" s="64"/>
      <c r="J197" s="64"/>
      <c r="K197" s="64"/>
      <c r="L197" s="64"/>
      <c r="M197" s="64"/>
      <c r="P197" s="64"/>
      <c r="Q197" s="64"/>
      <c r="R197" s="64"/>
      <c r="S197" s="64"/>
      <c r="T197" s="64"/>
      <c r="W197" s="65"/>
      <c r="X197" s="64"/>
      <c r="Y197" s="64"/>
      <c r="Z197" s="64"/>
      <c r="AA197" s="64"/>
      <c r="AD197" s="64"/>
      <c r="AE197" s="64"/>
      <c r="AF197" s="64"/>
      <c r="AG197" s="64"/>
      <c r="AH197" s="64"/>
      <c r="AK197" s="62"/>
      <c r="AL197" s="63"/>
      <c r="AM197" s="62"/>
    </row>
    <row r="198" spans="1:39" s="68" customFormat="1">
      <c r="A198" s="67"/>
      <c r="B198" s="66"/>
      <c r="C198" s="66"/>
      <c r="D198" s="66"/>
      <c r="E198" s="66"/>
      <c r="F198" s="65"/>
      <c r="I198" s="64"/>
      <c r="J198" s="64"/>
      <c r="K198" s="64"/>
      <c r="L198" s="64"/>
      <c r="M198" s="64"/>
      <c r="P198" s="64"/>
      <c r="Q198" s="64"/>
      <c r="R198" s="64"/>
      <c r="S198" s="64"/>
      <c r="T198" s="64"/>
      <c r="W198" s="65"/>
      <c r="X198" s="64"/>
      <c r="Y198" s="64"/>
      <c r="Z198" s="64"/>
      <c r="AA198" s="64"/>
      <c r="AD198" s="64"/>
      <c r="AE198" s="64"/>
      <c r="AF198" s="64"/>
      <c r="AG198" s="64"/>
      <c r="AH198" s="64"/>
      <c r="AK198" s="62"/>
      <c r="AL198" s="63"/>
      <c r="AM198" s="62"/>
    </row>
    <row r="199" spans="1:39" s="68" customFormat="1">
      <c r="A199" s="67"/>
      <c r="B199" s="66"/>
      <c r="C199" s="66"/>
      <c r="D199" s="66"/>
      <c r="E199" s="66"/>
      <c r="F199" s="65"/>
      <c r="I199" s="64"/>
      <c r="J199" s="64"/>
      <c r="K199" s="64"/>
      <c r="L199" s="64"/>
      <c r="M199" s="64"/>
      <c r="P199" s="64"/>
      <c r="Q199" s="64"/>
      <c r="R199" s="64"/>
      <c r="S199" s="64"/>
      <c r="T199" s="64"/>
      <c r="W199" s="65"/>
      <c r="X199" s="64"/>
      <c r="Y199" s="64"/>
      <c r="Z199" s="64"/>
      <c r="AA199" s="64"/>
      <c r="AD199" s="64"/>
      <c r="AE199" s="64"/>
      <c r="AF199" s="64"/>
      <c r="AG199" s="64"/>
      <c r="AH199" s="64"/>
      <c r="AK199" s="62"/>
      <c r="AL199" s="63"/>
      <c r="AM199" s="62"/>
    </row>
    <row r="200" spans="1:39" s="68" customFormat="1">
      <c r="A200" s="67"/>
      <c r="B200" s="66"/>
      <c r="C200" s="66"/>
      <c r="D200" s="66"/>
      <c r="E200" s="66"/>
      <c r="F200" s="65"/>
      <c r="I200" s="64"/>
      <c r="J200" s="64"/>
      <c r="K200" s="64"/>
      <c r="L200" s="64"/>
      <c r="M200" s="64"/>
      <c r="P200" s="64"/>
      <c r="Q200" s="64"/>
      <c r="R200" s="64"/>
      <c r="S200" s="64"/>
      <c r="T200" s="64"/>
      <c r="W200" s="65"/>
      <c r="X200" s="64"/>
      <c r="Y200" s="64"/>
      <c r="Z200" s="64"/>
      <c r="AA200" s="64"/>
      <c r="AD200" s="64"/>
      <c r="AE200" s="64"/>
      <c r="AF200" s="64"/>
      <c r="AG200" s="64"/>
      <c r="AH200" s="64"/>
      <c r="AK200" s="62"/>
      <c r="AL200" s="63"/>
      <c r="AM200" s="62"/>
    </row>
    <row r="201" spans="1:39" s="68" customFormat="1">
      <c r="A201" s="67"/>
      <c r="B201" s="66"/>
      <c r="C201" s="66"/>
      <c r="D201" s="66"/>
      <c r="E201" s="66"/>
      <c r="F201" s="65"/>
      <c r="I201" s="64"/>
      <c r="J201" s="64"/>
      <c r="K201" s="64"/>
      <c r="L201" s="64"/>
      <c r="M201" s="64"/>
      <c r="P201" s="64"/>
      <c r="Q201" s="64"/>
      <c r="R201" s="64"/>
      <c r="S201" s="64"/>
      <c r="T201" s="64"/>
      <c r="W201" s="65"/>
      <c r="X201" s="64"/>
      <c r="Y201" s="64"/>
      <c r="Z201" s="64"/>
      <c r="AA201" s="64"/>
      <c r="AD201" s="64"/>
      <c r="AE201" s="64"/>
      <c r="AF201" s="64"/>
      <c r="AG201" s="64"/>
      <c r="AH201" s="64"/>
      <c r="AK201" s="62"/>
      <c r="AL201" s="63"/>
      <c r="AM201" s="62"/>
    </row>
    <row r="202" spans="1:39" s="68" customFormat="1">
      <c r="A202" s="67"/>
      <c r="B202" s="66"/>
      <c r="C202" s="66"/>
      <c r="D202" s="66"/>
      <c r="E202" s="66"/>
      <c r="F202" s="65"/>
      <c r="I202" s="64"/>
      <c r="J202" s="64"/>
      <c r="K202" s="64"/>
      <c r="L202" s="64"/>
      <c r="M202" s="64"/>
      <c r="P202" s="64"/>
      <c r="Q202" s="64"/>
      <c r="R202" s="64"/>
      <c r="S202" s="64"/>
      <c r="T202" s="64"/>
      <c r="W202" s="65"/>
      <c r="X202" s="64"/>
      <c r="Y202" s="64"/>
      <c r="Z202" s="64"/>
      <c r="AA202" s="64"/>
      <c r="AD202" s="64"/>
      <c r="AE202" s="64"/>
      <c r="AF202" s="64"/>
      <c r="AG202" s="64"/>
      <c r="AH202" s="64"/>
      <c r="AK202" s="62"/>
      <c r="AL202" s="63"/>
      <c r="AM202" s="62"/>
    </row>
    <row r="203" spans="1:39" s="68" customFormat="1">
      <c r="A203" s="67"/>
      <c r="B203" s="66"/>
      <c r="C203" s="66"/>
      <c r="D203" s="66"/>
      <c r="E203" s="66"/>
      <c r="F203" s="65"/>
      <c r="I203" s="64"/>
      <c r="J203" s="64"/>
      <c r="K203" s="64"/>
      <c r="L203" s="64"/>
      <c r="M203" s="64"/>
      <c r="P203" s="64"/>
      <c r="Q203" s="64"/>
      <c r="R203" s="64"/>
      <c r="S203" s="64"/>
      <c r="T203" s="64"/>
      <c r="W203" s="65"/>
      <c r="X203" s="64"/>
      <c r="Y203" s="64"/>
      <c r="Z203" s="64"/>
      <c r="AA203" s="64"/>
      <c r="AD203" s="64"/>
      <c r="AE203" s="64"/>
      <c r="AF203" s="64"/>
      <c r="AG203" s="64"/>
      <c r="AH203" s="64"/>
      <c r="AK203" s="62"/>
      <c r="AL203" s="63"/>
      <c r="AM203" s="62"/>
    </row>
    <row r="204" spans="1:39" s="68" customFormat="1">
      <c r="A204" s="67"/>
      <c r="B204" s="66"/>
      <c r="C204" s="66"/>
      <c r="D204" s="66"/>
      <c r="E204" s="66"/>
      <c r="F204" s="65"/>
      <c r="I204" s="64"/>
      <c r="J204" s="64"/>
      <c r="K204" s="64"/>
      <c r="L204" s="64"/>
      <c r="M204" s="64"/>
      <c r="P204" s="64"/>
      <c r="Q204" s="64"/>
      <c r="R204" s="64"/>
      <c r="S204" s="64"/>
      <c r="T204" s="64"/>
      <c r="W204" s="65"/>
      <c r="X204" s="64"/>
      <c r="Y204" s="64"/>
      <c r="Z204" s="64"/>
      <c r="AA204" s="64"/>
      <c r="AD204" s="64"/>
      <c r="AE204" s="64"/>
      <c r="AF204" s="64"/>
      <c r="AG204" s="64"/>
      <c r="AH204" s="64"/>
      <c r="AK204" s="62"/>
      <c r="AL204" s="63"/>
      <c r="AM204" s="62"/>
    </row>
    <row r="205" spans="1:39" s="68" customFormat="1">
      <c r="A205" s="67"/>
      <c r="B205" s="66"/>
      <c r="C205" s="66"/>
      <c r="D205" s="66"/>
      <c r="E205" s="66"/>
      <c r="F205" s="65"/>
      <c r="I205" s="64"/>
      <c r="J205" s="64"/>
      <c r="K205" s="64"/>
      <c r="L205" s="64"/>
      <c r="M205" s="64"/>
      <c r="P205" s="64"/>
      <c r="Q205" s="64"/>
      <c r="R205" s="64"/>
      <c r="S205" s="64"/>
      <c r="T205" s="64"/>
      <c r="W205" s="65"/>
      <c r="X205" s="64"/>
      <c r="Y205" s="64"/>
      <c r="Z205" s="64"/>
      <c r="AA205" s="64"/>
      <c r="AD205" s="64"/>
      <c r="AE205" s="64"/>
      <c r="AF205" s="64"/>
      <c r="AG205" s="64"/>
      <c r="AH205" s="64"/>
      <c r="AK205" s="62"/>
      <c r="AL205" s="63"/>
      <c r="AM205" s="62"/>
    </row>
    <row r="206" spans="1:39" s="68" customFormat="1">
      <c r="A206" s="67"/>
      <c r="B206" s="66"/>
      <c r="C206" s="66"/>
      <c r="D206" s="66"/>
      <c r="E206" s="66"/>
      <c r="F206" s="65"/>
      <c r="I206" s="64"/>
      <c r="J206" s="64"/>
      <c r="K206" s="64"/>
      <c r="L206" s="64"/>
      <c r="M206" s="64"/>
      <c r="P206" s="64"/>
      <c r="Q206" s="64"/>
      <c r="R206" s="64"/>
      <c r="S206" s="64"/>
      <c r="T206" s="64"/>
      <c r="W206" s="65"/>
      <c r="X206" s="64"/>
      <c r="Y206" s="64"/>
      <c r="Z206" s="64"/>
      <c r="AA206" s="64"/>
      <c r="AD206" s="64"/>
      <c r="AE206" s="64"/>
      <c r="AF206" s="64"/>
      <c r="AG206" s="64"/>
      <c r="AH206" s="64"/>
      <c r="AK206" s="62"/>
      <c r="AL206" s="63"/>
      <c r="AM206" s="62"/>
    </row>
    <row r="207" spans="1:39" s="68" customFormat="1">
      <c r="A207" s="67"/>
      <c r="B207" s="66"/>
      <c r="C207" s="66"/>
      <c r="D207" s="66"/>
      <c r="E207" s="66"/>
      <c r="F207" s="65"/>
      <c r="I207" s="64"/>
      <c r="J207" s="64"/>
      <c r="K207" s="64"/>
      <c r="L207" s="64"/>
      <c r="M207" s="64"/>
      <c r="P207" s="64"/>
      <c r="Q207" s="64"/>
      <c r="R207" s="64"/>
      <c r="S207" s="64"/>
      <c r="T207" s="64"/>
      <c r="W207" s="65"/>
      <c r="X207" s="64"/>
      <c r="Y207" s="64"/>
      <c r="Z207" s="64"/>
      <c r="AA207" s="64"/>
      <c r="AD207" s="64"/>
      <c r="AE207" s="64"/>
      <c r="AF207" s="64"/>
      <c r="AG207" s="64"/>
      <c r="AH207" s="64"/>
      <c r="AK207" s="62"/>
      <c r="AL207" s="63"/>
      <c r="AM207" s="62"/>
    </row>
    <row r="208" spans="1:39" s="68" customFormat="1">
      <c r="A208" s="67"/>
      <c r="B208" s="66"/>
      <c r="C208" s="66"/>
      <c r="D208" s="66"/>
      <c r="E208" s="66"/>
      <c r="F208" s="65"/>
      <c r="I208" s="64"/>
      <c r="J208" s="64"/>
      <c r="K208" s="64"/>
      <c r="L208" s="64"/>
      <c r="M208" s="64"/>
      <c r="P208" s="64"/>
      <c r="Q208" s="64"/>
      <c r="R208" s="64"/>
      <c r="S208" s="64"/>
      <c r="T208" s="64"/>
      <c r="W208" s="65"/>
      <c r="X208" s="64"/>
      <c r="Y208" s="64"/>
      <c r="Z208" s="64"/>
      <c r="AA208" s="64"/>
      <c r="AD208" s="64"/>
      <c r="AE208" s="64"/>
      <c r="AF208" s="64"/>
      <c r="AG208" s="64"/>
      <c r="AH208" s="64"/>
      <c r="AK208" s="62"/>
      <c r="AL208" s="63"/>
      <c r="AM208" s="62"/>
    </row>
    <row r="209" spans="1:39" s="68" customFormat="1">
      <c r="A209" s="67"/>
      <c r="B209" s="66"/>
      <c r="C209" s="66"/>
      <c r="D209" s="66"/>
      <c r="E209" s="66"/>
      <c r="F209" s="65"/>
      <c r="I209" s="64"/>
      <c r="J209" s="64"/>
      <c r="K209" s="64"/>
      <c r="L209" s="64"/>
      <c r="M209" s="64"/>
      <c r="P209" s="64"/>
      <c r="Q209" s="64"/>
      <c r="R209" s="64"/>
      <c r="S209" s="64"/>
      <c r="T209" s="64"/>
      <c r="W209" s="65"/>
      <c r="X209" s="64"/>
      <c r="Y209" s="64"/>
      <c r="Z209" s="64"/>
      <c r="AA209" s="64"/>
      <c r="AD209" s="64"/>
      <c r="AE209" s="64"/>
      <c r="AF209" s="64"/>
      <c r="AG209" s="64"/>
      <c r="AH209" s="64"/>
      <c r="AK209" s="62"/>
      <c r="AL209" s="63"/>
      <c r="AM209" s="62"/>
    </row>
    <row r="210" spans="1:39" s="68" customFormat="1">
      <c r="A210" s="67"/>
      <c r="B210" s="66"/>
      <c r="C210" s="66"/>
      <c r="D210" s="66"/>
      <c r="E210" s="66"/>
      <c r="F210" s="65"/>
      <c r="I210" s="64"/>
      <c r="J210" s="64"/>
      <c r="K210" s="64"/>
      <c r="L210" s="64"/>
      <c r="M210" s="64"/>
      <c r="P210" s="64"/>
      <c r="Q210" s="64"/>
      <c r="R210" s="64"/>
      <c r="S210" s="64"/>
      <c r="T210" s="64"/>
      <c r="W210" s="65"/>
      <c r="X210" s="64"/>
      <c r="Y210" s="64"/>
      <c r="Z210" s="64"/>
      <c r="AA210" s="64"/>
      <c r="AD210" s="64"/>
      <c r="AE210" s="64"/>
      <c r="AF210" s="64"/>
      <c r="AG210" s="64"/>
      <c r="AH210" s="64"/>
      <c r="AK210" s="62"/>
      <c r="AL210" s="63"/>
      <c r="AM210" s="62"/>
    </row>
    <row r="211" spans="1:39" s="68" customFormat="1">
      <c r="A211" s="67"/>
      <c r="B211" s="66"/>
      <c r="C211" s="66"/>
      <c r="D211" s="66"/>
      <c r="E211" s="66"/>
      <c r="F211" s="65"/>
      <c r="I211" s="64"/>
      <c r="J211" s="64"/>
      <c r="K211" s="64"/>
      <c r="L211" s="64"/>
      <c r="M211" s="64"/>
      <c r="P211" s="64"/>
      <c r="Q211" s="64"/>
      <c r="R211" s="64"/>
      <c r="S211" s="64"/>
      <c r="T211" s="64"/>
      <c r="W211" s="65"/>
      <c r="X211" s="64"/>
      <c r="Y211" s="64"/>
      <c r="Z211" s="64"/>
      <c r="AA211" s="64"/>
      <c r="AD211" s="64"/>
      <c r="AE211" s="64"/>
      <c r="AF211" s="64"/>
      <c r="AG211" s="64"/>
      <c r="AH211" s="64"/>
      <c r="AK211" s="62"/>
      <c r="AL211" s="63"/>
      <c r="AM211" s="62"/>
    </row>
    <row r="212" spans="1:39" s="68" customFormat="1">
      <c r="A212" s="67"/>
      <c r="B212" s="66"/>
      <c r="C212" s="66"/>
      <c r="D212" s="66"/>
      <c r="E212" s="66"/>
      <c r="F212" s="65"/>
      <c r="I212" s="64"/>
      <c r="J212" s="64"/>
      <c r="K212" s="64"/>
      <c r="L212" s="64"/>
      <c r="M212" s="64"/>
      <c r="P212" s="64"/>
      <c r="Q212" s="64"/>
      <c r="R212" s="64"/>
      <c r="S212" s="64"/>
      <c r="T212" s="64"/>
      <c r="W212" s="65"/>
      <c r="X212" s="64"/>
      <c r="Y212" s="64"/>
      <c r="Z212" s="64"/>
      <c r="AA212" s="64"/>
      <c r="AD212" s="64"/>
      <c r="AE212" s="64"/>
      <c r="AF212" s="64"/>
      <c r="AG212" s="64"/>
      <c r="AH212" s="64"/>
      <c r="AK212" s="62"/>
      <c r="AL212" s="63"/>
      <c r="AM212" s="62"/>
    </row>
    <row r="213" spans="1:39" s="68" customFormat="1">
      <c r="A213" s="67"/>
      <c r="B213" s="66"/>
      <c r="C213" s="66"/>
      <c r="D213" s="66"/>
      <c r="E213" s="66"/>
      <c r="F213" s="65"/>
      <c r="I213" s="64"/>
      <c r="J213" s="64"/>
      <c r="K213" s="64"/>
      <c r="L213" s="64"/>
      <c r="M213" s="64"/>
      <c r="P213" s="64"/>
      <c r="Q213" s="64"/>
      <c r="R213" s="64"/>
      <c r="S213" s="64"/>
      <c r="T213" s="64"/>
      <c r="W213" s="65"/>
      <c r="X213" s="64"/>
      <c r="Y213" s="64"/>
      <c r="Z213" s="64"/>
      <c r="AA213" s="64"/>
      <c r="AD213" s="64"/>
      <c r="AE213" s="64"/>
      <c r="AF213" s="64"/>
      <c r="AG213" s="64"/>
      <c r="AH213" s="64"/>
      <c r="AK213" s="62"/>
      <c r="AL213" s="63"/>
      <c r="AM213" s="62"/>
    </row>
    <row r="214" spans="1:39" s="68" customFormat="1">
      <c r="A214" s="67"/>
      <c r="B214" s="66"/>
      <c r="C214" s="66"/>
      <c r="D214" s="66"/>
      <c r="E214" s="66"/>
      <c r="F214" s="65"/>
      <c r="I214" s="64"/>
      <c r="J214" s="64"/>
      <c r="K214" s="64"/>
      <c r="L214" s="64"/>
      <c r="M214" s="64"/>
      <c r="P214" s="64"/>
      <c r="Q214" s="64"/>
      <c r="R214" s="64"/>
      <c r="S214" s="64"/>
      <c r="T214" s="64"/>
      <c r="W214" s="65"/>
      <c r="X214" s="64"/>
      <c r="Y214" s="64"/>
      <c r="Z214" s="64"/>
      <c r="AA214" s="64"/>
      <c r="AD214" s="64"/>
      <c r="AE214" s="64"/>
      <c r="AF214" s="64"/>
      <c r="AG214" s="64"/>
      <c r="AH214" s="64"/>
      <c r="AK214" s="62"/>
      <c r="AL214" s="63"/>
      <c r="AM214" s="62"/>
    </row>
    <row r="215" spans="1:39" s="68" customFormat="1">
      <c r="A215" s="67"/>
      <c r="B215" s="66"/>
      <c r="C215" s="66"/>
      <c r="D215" s="66"/>
      <c r="E215" s="66"/>
      <c r="F215" s="65"/>
      <c r="I215" s="64"/>
      <c r="J215" s="64"/>
      <c r="K215" s="64"/>
      <c r="L215" s="64"/>
      <c r="M215" s="64"/>
      <c r="P215" s="64"/>
      <c r="Q215" s="64"/>
      <c r="R215" s="64"/>
      <c r="S215" s="64"/>
      <c r="T215" s="64"/>
      <c r="W215" s="65"/>
      <c r="X215" s="64"/>
      <c r="Y215" s="64"/>
      <c r="Z215" s="64"/>
      <c r="AA215" s="64"/>
      <c r="AD215" s="64"/>
      <c r="AE215" s="64"/>
      <c r="AF215" s="64"/>
      <c r="AG215" s="64"/>
      <c r="AH215" s="64"/>
      <c r="AK215" s="62"/>
      <c r="AL215" s="63"/>
      <c r="AM215" s="62"/>
    </row>
    <row r="216" spans="1:39" s="68" customFormat="1">
      <c r="A216" s="67"/>
      <c r="B216" s="66"/>
      <c r="C216" s="66"/>
      <c r="D216" s="66"/>
      <c r="E216" s="66"/>
      <c r="F216" s="65"/>
      <c r="I216" s="64"/>
      <c r="J216" s="64"/>
      <c r="K216" s="64"/>
      <c r="L216" s="64"/>
      <c r="M216" s="64"/>
      <c r="P216" s="64"/>
      <c r="Q216" s="64"/>
      <c r="R216" s="64"/>
      <c r="S216" s="64"/>
      <c r="T216" s="64"/>
      <c r="W216" s="65"/>
      <c r="X216" s="64"/>
      <c r="Y216" s="64"/>
      <c r="Z216" s="64"/>
      <c r="AA216" s="64"/>
      <c r="AD216" s="64"/>
      <c r="AE216" s="64"/>
      <c r="AF216" s="64"/>
      <c r="AG216" s="64"/>
      <c r="AH216" s="64"/>
      <c r="AK216" s="62"/>
      <c r="AL216" s="63"/>
      <c r="AM216" s="62"/>
    </row>
    <row r="217" spans="1:39" s="68" customFormat="1">
      <c r="A217" s="67"/>
      <c r="B217" s="66"/>
      <c r="C217" s="66"/>
      <c r="D217" s="66"/>
      <c r="E217" s="66"/>
      <c r="F217" s="65"/>
      <c r="I217" s="64"/>
      <c r="J217" s="64"/>
      <c r="K217" s="64"/>
      <c r="L217" s="64"/>
      <c r="M217" s="64"/>
      <c r="P217" s="64"/>
      <c r="Q217" s="64"/>
      <c r="R217" s="64"/>
      <c r="S217" s="64"/>
      <c r="T217" s="64"/>
      <c r="W217" s="65"/>
      <c r="X217" s="64"/>
      <c r="Y217" s="64"/>
      <c r="Z217" s="64"/>
      <c r="AA217" s="64"/>
      <c r="AD217" s="64"/>
      <c r="AE217" s="64"/>
      <c r="AF217" s="64"/>
      <c r="AG217" s="64"/>
      <c r="AH217" s="64"/>
      <c r="AK217" s="62"/>
      <c r="AL217" s="63"/>
      <c r="AM217" s="62"/>
    </row>
    <row r="218" spans="1:39" s="68" customFormat="1">
      <c r="A218" s="67"/>
      <c r="B218" s="66"/>
      <c r="C218" s="66"/>
      <c r="D218" s="66"/>
      <c r="E218" s="66"/>
      <c r="F218" s="65"/>
      <c r="I218" s="64"/>
      <c r="J218" s="64"/>
      <c r="K218" s="64"/>
      <c r="L218" s="64"/>
      <c r="M218" s="64"/>
      <c r="P218" s="64"/>
      <c r="Q218" s="64"/>
      <c r="R218" s="64"/>
      <c r="S218" s="64"/>
      <c r="T218" s="64"/>
      <c r="W218" s="65"/>
      <c r="X218" s="64"/>
      <c r="Y218" s="64"/>
      <c r="Z218" s="64"/>
      <c r="AA218" s="64"/>
      <c r="AD218" s="64"/>
      <c r="AE218" s="64"/>
      <c r="AF218" s="64"/>
      <c r="AG218" s="64"/>
      <c r="AH218" s="64"/>
      <c r="AK218" s="62"/>
      <c r="AL218" s="63"/>
      <c r="AM218" s="62"/>
    </row>
    <row r="219" spans="1:39" s="68" customFormat="1">
      <c r="A219" s="67"/>
      <c r="B219" s="66"/>
      <c r="C219" s="66"/>
      <c r="D219" s="66"/>
      <c r="E219" s="66"/>
      <c r="F219" s="65"/>
      <c r="I219" s="64"/>
      <c r="J219" s="64"/>
      <c r="K219" s="64"/>
      <c r="L219" s="64"/>
      <c r="M219" s="64"/>
      <c r="P219" s="64"/>
      <c r="Q219" s="64"/>
      <c r="R219" s="64"/>
      <c r="S219" s="64"/>
      <c r="T219" s="64"/>
      <c r="W219" s="65"/>
      <c r="X219" s="64"/>
      <c r="Y219" s="64"/>
      <c r="Z219" s="64"/>
      <c r="AA219" s="64"/>
      <c r="AD219" s="64"/>
      <c r="AE219" s="64"/>
      <c r="AF219" s="64"/>
      <c r="AG219" s="64"/>
      <c r="AH219" s="64"/>
      <c r="AK219" s="62"/>
      <c r="AL219" s="63"/>
      <c r="AM219" s="62"/>
    </row>
    <row r="220" spans="1:39" s="68" customFormat="1">
      <c r="A220" s="67"/>
      <c r="B220" s="66"/>
      <c r="C220" s="66"/>
      <c r="D220" s="66"/>
      <c r="E220" s="66"/>
      <c r="F220" s="65"/>
      <c r="I220" s="64"/>
      <c r="J220" s="64"/>
      <c r="K220" s="64"/>
      <c r="L220" s="64"/>
      <c r="M220" s="64"/>
      <c r="P220" s="64"/>
      <c r="Q220" s="64"/>
      <c r="R220" s="64"/>
      <c r="S220" s="64"/>
      <c r="T220" s="64"/>
      <c r="W220" s="65"/>
      <c r="X220" s="64"/>
      <c r="Y220" s="64"/>
      <c r="Z220" s="64"/>
      <c r="AA220" s="64"/>
      <c r="AD220" s="64"/>
      <c r="AE220" s="64"/>
      <c r="AF220" s="64"/>
      <c r="AG220" s="64"/>
      <c r="AH220" s="64"/>
      <c r="AK220" s="62"/>
      <c r="AL220" s="63"/>
      <c r="AM220" s="62"/>
    </row>
    <row r="221" spans="1:39" s="68" customFormat="1">
      <c r="A221" s="67"/>
      <c r="B221" s="66"/>
      <c r="C221" s="66"/>
      <c r="D221" s="66"/>
      <c r="E221" s="66"/>
      <c r="F221" s="65"/>
      <c r="I221" s="64"/>
      <c r="J221" s="64"/>
      <c r="K221" s="64"/>
      <c r="L221" s="64"/>
      <c r="M221" s="64"/>
      <c r="P221" s="64"/>
      <c r="Q221" s="64"/>
      <c r="R221" s="64"/>
      <c r="S221" s="64"/>
      <c r="T221" s="64"/>
      <c r="W221" s="65"/>
      <c r="X221" s="64"/>
      <c r="Y221" s="64"/>
      <c r="Z221" s="64"/>
      <c r="AA221" s="64"/>
      <c r="AD221" s="64"/>
      <c r="AE221" s="64"/>
      <c r="AF221" s="64"/>
      <c r="AG221" s="64"/>
      <c r="AH221" s="64"/>
      <c r="AK221" s="62"/>
      <c r="AL221" s="63"/>
      <c r="AM221" s="62"/>
    </row>
    <row r="222" spans="1:39" s="68" customFormat="1">
      <c r="A222" s="67"/>
      <c r="B222" s="66"/>
      <c r="C222" s="66"/>
      <c r="D222" s="66"/>
      <c r="E222" s="66"/>
      <c r="F222" s="65"/>
      <c r="I222" s="64"/>
      <c r="J222" s="64"/>
      <c r="K222" s="64"/>
      <c r="L222" s="64"/>
      <c r="M222" s="64"/>
      <c r="P222" s="64"/>
      <c r="Q222" s="64"/>
      <c r="R222" s="64"/>
      <c r="S222" s="64"/>
      <c r="T222" s="64"/>
      <c r="W222" s="65"/>
      <c r="X222" s="64"/>
      <c r="Y222" s="64"/>
      <c r="Z222" s="64"/>
      <c r="AA222" s="64"/>
      <c r="AD222" s="64"/>
      <c r="AE222" s="64"/>
      <c r="AF222" s="64"/>
      <c r="AG222" s="64"/>
      <c r="AH222" s="64"/>
      <c r="AK222" s="62"/>
      <c r="AL222" s="63"/>
      <c r="AM222" s="62"/>
    </row>
    <row r="223" spans="1:39" s="68" customFormat="1">
      <c r="A223" s="67"/>
      <c r="B223" s="66"/>
      <c r="C223" s="66"/>
      <c r="D223" s="66"/>
      <c r="E223" s="66"/>
      <c r="F223" s="65"/>
      <c r="I223" s="64"/>
      <c r="J223" s="64"/>
      <c r="K223" s="64"/>
      <c r="L223" s="64"/>
      <c r="M223" s="64"/>
      <c r="P223" s="64"/>
      <c r="Q223" s="64"/>
      <c r="R223" s="64"/>
      <c r="S223" s="64"/>
      <c r="T223" s="64"/>
      <c r="W223" s="65"/>
      <c r="X223" s="64"/>
      <c r="Y223" s="64"/>
      <c r="Z223" s="64"/>
      <c r="AA223" s="64"/>
      <c r="AD223" s="64"/>
      <c r="AE223" s="64"/>
      <c r="AF223" s="64"/>
      <c r="AG223" s="64"/>
      <c r="AH223" s="64"/>
      <c r="AK223" s="62"/>
      <c r="AL223" s="63"/>
      <c r="AM223" s="62"/>
    </row>
    <row r="224" spans="1:39" s="68" customFormat="1">
      <c r="A224" s="67"/>
      <c r="B224" s="66"/>
      <c r="C224" s="66"/>
      <c r="D224" s="66"/>
      <c r="E224" s="66"/>
      <c r="F224" s="65"/>
      <c r="I224" s="64"/>
      <c r="J224" s="64"/>
      <c r="K224" s="64"/>
      <c r="L224" s="64"/>
      <c r="M224" s="64"/>
      <c r="P224" s="64"/>
      <c r="Q224" s="64"/>
      <c r="R224" s="64"/>
      <c r="S224" s="64"/>
      <c r="T224" s="64"/>
      <c r="W224" s="65"/>
      <c r="X224" s="64"/>
      <c r="Y224" s="64"/>
      <c r="Z224" s="64"/>
      <c r="AA224" s="64"/>
      <c r="AD224" s="64"/>
      <c r="AE224" s="64"/>
      <c r="AF224" s="64"/>
      <c r="AG224" s="64"/>
      <c r="AH224" s="64"/>
      <c r="AK224" s="62"/>
      <c r="AL224" s="63"/>
      <c r="AM224" s="62"/>
    </row>
    <row r="225" spans="1:39" s="68" customFormat="1">
      <c r="A225" s="67"/>
      <c r="B225" s="66"/>
      <c r="C225" s="66"/>
      <c r="D225" s="66"/>
      <c r="E225" s="66"/>
      <c r="F225" s="65"/>
      <c r="I225" s="64"/>
      <c r="J225" s="64"/>
      <c r="K225" s="64"/>
      <c r="L225" s="64"/>
      <c r="M225" s="64"/>
      <c r="P225" s="64"/>
      <c r="Q225" s="64"/>
      <c r="R225" s="64"/>
      <c r="S225" s="64"/>
      <c r="T225" s="64"/>
      <c r="W225" s="65"/>
      <c r="X225" s="64"/>
      <c r="Y225" s="64"/>
      <c r="Z225" s="64"/>
      <c r="AA225" s="64"/>
      <c r="AD225" s="64"/>
      <c r="AE225" s="64"/>
      <c r="AF225" s="64"/>
      <c r="AG225" s="64"/>
      <c r="AH225" s="64"/>
      <c r="AK225" s="62"/>
      <c r="AL225" s="63"/>
      <c r="AM225" s="62"/>
    </row>
    <row r="226" spans="1:39" s="68" customFormat="1">
      <c r="A226" s="67"/>
      <c r="B226" s="66"/>
      <c r="C226" s="66"/>
      <c r="D226" s="66"/>
      <c r="E226" s="66"/>
      <c r="F226" s="65"/>
      <c r="I226" s="64"/>
      <c r="J226" s="64"/>
      <c r="K226" s="64"/>
      <c r="L226" s="64"/>
      <c r="M226" s="64"/>
      <c r="P226" s="64"/>
      <c r="Q226" s="64"/>
      <c r="R226" s="64"/>
      <c r="S226" s="64"/>
      <c r="T226" s="64"/>
      <c r="W226" s="65"/>
      <c r="X226" s="64"/>
      <c r="Y226" s="64"/>
      <c r="Z226" s="64"/>
      <c r="AA226" s="64"/>
      <c r="AD226" s="64"/>
      <c r="AE226" s="64"/>
      <c r="AF226" s="64"/>
      <c r="AG226" s="64"/>
      <c r="AH226" s="64"/>
      <c r="AK226" s="62"/>
      <c r="AL226" s="63"/>
      <c r="AM226" s="62"/>
    </row>
    <row r="227" spans="1:39" s="68" customFormat="1">
      <c r="A227" s="67"/>
      <c r="B227" s="66"/>
      <c r="C227" s="66"/>
      <c r="D227" s="66"/>
      <c r="E227" s="66"/>
      <c r="F227" s="65"/>
      <c r="I227" s="64"/>
      <c r="J227" s="64"/>
      <c r="K227" s="64"/>
      <c r="L227" s="64"/>
      <c r="M227" s="64"/>
      <c r="P227" s="64"/>
      <c r="Q227" s="64"/>
      <c r="R227" s="64"/>
      <c r="S227" s="64"/>
      <c r="T227" s="64"/>
      <c r="W227" s="65"/>
      <c r="X227" s="64"/>
      <c r="Y227" s="64"/>
      <c r="Z227" s="64"/>
      <c r="AA227" s="64"/>
      <c r="AD227" s="64"/>
      <c r="AE227" s="64"/>
      <c r="AF227" s="64"/>
      <c r="AG227" s="64"/>
      <c r="AH227" s="64"/>
      <c r="AK227" s="62"/>
      <c r="AL227" s="63"/>
      <c r="AM227" s="62"/>
    </row>
    <row r="228" spans="1:39" s="68" customFormat="1">
      <c r="A228" s="67"/>
      <c r="B228" s="66"/>
      <c r="C228" s="66"/>
      <c r="D228" s="66"/>
      <c r="E228" s="66"/>
      <c r="F228" s="65"/>
      <c r="I228" s="64"/>
      <c r="J228" s="64"/>
      <c r="K228" s="64"/>
      <c r="L228" s="64"/>
      <c r="M228" s="64"/>
      <c r="P228" s="64"/>
      <c r="Q228" s="64"/>
      <c r="R228" s="64"/>
      <c r="S228" s="64"/>
      <c r="T228" s="64"/>
      <c r="W228" s="65"/>
      <c r="X228" s="64"/>
      <c r="Y228" s="64"/>
      <c r="Z228" s="64"/>
      <c r="AA228" s="64"/>
      <c r="AD228" s="64"/>
      <c r="AE228" s="64"/>
      <c r="AF228" s="64"/>
      <c r="AG228" s="64"/>
      <c r="AH228" s="64"/>
      <c r="AK228" s="62"/>
      <c r="AL228" s="63"/>
      <c r="AM228" s="62"/>
    </row>
    <row r="229" spans="1:39" s="68" customFormat="1">
      <c r="A229" s="67"/>
      <c r="B229" s="66"/>
      <c r="C229" s="66"/>
      <c r="D229" s="66"/>
      <c r="E229" s="66"/>
      <c r="F229" s="65"/>
      <c r="I229" s="64"/>
      <c r="J229" s="64"/>
      <c r="K229" s="64"/>
      <c r="L229" s="64"/>
      <c r="M229" s="64"/>
      <c r="P229" s="64"/>
      <c r="Q229" s="64"/>
      <c r="R229" s="64"/>
      <c r="S229" s="64"/>
      <c r="T229" s="64"/>
      <c r="W229" s="65"/>
      <c r="X229" s="64"/>
      <c r="Y229" s="64"/>
      <c r="Z229" s="64"/>
      <c r="AA229" s="64"/>
      <c r="AD229" s="64"/>
      <c r="AE229" s="64"/>
      <c r="AF229" s="64"/>
      <c r="AG229" s="64"/>
      <c r="AH229" s="64"/>
      <c r="AK229" s="62"/>
      <c r="AL229" s="63"/>
      <c r="AM229" s="62"/>
    </row>
    <row r="230" spans="1:39" s="68" customFormat="1">
      <c r="A230" s="67"/>
      <c r="B230" s="66"/>
      <c r="C230" s="66"/>
      <c r="D230" s="66"/>
      <c r="E230" s="66"/>
      <c r="F230" s="65"/>
      <c r="I230" s="64"/>
      <c r="J230" s="64"/>
      <c r="K230" s="64"/>
      <c r="L230" s="64"/>
      <c r="M230" s="64"/>
      <c r="P230" s="64"/>
      <c r="Q230" s="64"/>
      <c r="R230" s="64"/>
      <c r="S230" s="64"/>
      <c r="T230" s="64"/>
      <c r="W230" s="65"/>
      <c r="X230" s="64"/>
      <c r="Y230" s="64"/>
      <c r="Z230" s="64"/>
      <c r="AA230" s="64"/>
      <c r="AD230" s="64"/>
      <c r="AE230" s="64"/>
      <c r="AF230" s="64"/>
      <c r="AG230" s="64"/>
      <c r="AH230" s="64"/>
      <c r="AK230" s="62"/>
      <c r="AL230" s="63"/>
      <c r="AM230" s="62"/>
    </row>
    <row r="231" spans="1:39" s="68" customFormat="1">
      <c r="A231" s="67"/>
      <c r="B231" s="66"/>
      <c r="C231" s="66"/>
      <c r="D231" s="66"/>
      <c r="E231" s="66"/>
      <c r="F231" s="65"/>
      <c r="I231" s="64"/>
      <c r="J231" s="64"/>
      <c r="K231" s="64"/>
      <c r="L231" s="64"/>
      <c r="M231" s="64"/>
      <c r="P231" s="64"/>
      <c r="Q231" s="64"/>
      <c r="R231" s="64"/>
      <c r="S231" s="64"/>
      <c r="T231" s="64"/>
      <c r="W231" s="65"/>
      <c r="X231" s="64"/>
      <c r="Y231" s="64"/>
      <c r="Z231" s="64"/>
      <c r="AA231" s="64"/>
      <c r="AD231" s="64"/>
      <c r="AE231" s="64"/>
      <c r="AF231" s="64"/>
      <c r="AG231" s="64"/>
      <c r="AH231" s="64"/>
      <c r="AK231" s="62"/>
      <c r="AL231" s="63"/>
      <c r="AM231" s="62"/>
    </row>
    <row r="232" spans="1:39" s="68" customFormat="1">
      <c r="A232" s="67"/>
      <c r="B232" s="66"/>
      <c r="C232" s="66"/>
      <c r="D232" s="66"/>
      <c r="E232" s="66"/>
      <c r="F232" s="65"/>
      <c r="I232" s="64"/>
      <c r="J232" s="64"/>
      <c r="K232" s="64"/>
      <c r="L232" s="64"/>
      <c r="M232" s="64"/>
      <c r="P232" s="64"/>
      <c r="Q232" s="64"/>
      <c r="R232" s="64"/>
      <c r="S232" s="64"/>
      <c r="T232" s="64"/>
      <c r="W232" s="65"/>
      <c r="X232" s="64"/>
      <c r="Y232" s="64"/>
      <c r="Z232" s="64"/>
      <c r="AA232" s="64"/>
      <c r="AD232" s="64"/>
      <c r="AE232" s="64"/>
      <c r="AF232" s="64"/>
      <c r="AG232" s="64"/>
      <c r="AH232" s="64"/>
      <c r="AK232" s="62"/>
      <c r="AL232" s="63"/>
      <c r="AM232" s="62"/>
    </row>
    <row r="233" spans="1:39" s="68" customFormat="1">
      <c r="A233" s="67"/>
      <c r="B233" s="66"/>
      <c r="C233" s="66"/>
      <c r="D233" s="66"/>
      <c r="E233" s="66"/>
      <c r="F233" s="65"/>
      <c r="I233" s="64"/>
      <c r="J233" s="64"/>
      <c r="K233" s="64"/>
      <c r="L233" s="64"/>
      <c r="M233" s="64"/>
      <c r="P233" s="64"/>
      <c r="Q233" s="64"/>
      <c r="R233" s="64"/>
      <c r="S233" s="64"/>
      <c r="T233" s="64"/>
      <c r="W233" s="65"/>
      <c r="X233" s="64"/>
      <c r="Y233" s="64"/>
      <c r="Z233" s="64"/>
      <c r="AA233" s="64"/>
      <c r="AD233" s="64"/>
      <c r="AE233" s="64"/>
      <c r="AF233" s="64"/>
      <c r="AG233" s="64"/>
      <c r="AH233" s="64"/>
      <c r="AK233" s="62"/>
      <c r="AL233" s="63"/>
      <c r="AM233" s="62"/>
    </row>
    <row r="234" spans="1:39" s="68" customFormat="1">
      <c r="A234" s="67"/>
      <c r="B234" s="66"/>
      <c r="C234" s="66"/>
      <c r="D234" s="66"/>
      <c r="E234" s="66"/>
      <c r="F234" s="65"/>
      <c r="I234" s="64"/>
      <c r="J234" s="64"/>
      <c r="K234" s="64"/>
      <c r="L234" s="64"/>
      <c r="M234" s="64"/>
      <c r="P234" s="64"/>
      <c r="Q234" s="64"/>
      <c r="R234" s="64"/>
      <c r="S234" s="64"/>
      <c r="T234" s="64"/>
      <c r="W234" s="65"/>
      <c r="X234" s="64"/>
      <c r="Y234" s="64"/>
      <c r="Z234" s="64"/>
      <c r="AA234" s="64"/>
      <c r="AD234" s="64"/>
      <c r="AE234" s="64"/>
      <c r="AF234" s="64"/>
      <c r="AG234" s="64"/>
      <c r="AH234" s="64"/>
      <c r="AK234" s="62"/>
      <c r="AL234" s="63"/>
      <c r="AM234" s="62"/>
    </row>
    <row r="235" spans="1:39" s="68" customFormat="1">
      <c r="A235" s="67"/>
      <c r="B235" s="66"/>
      <c r="C235" s="66"/>
      <c r="D235" s="66"/>
      <c r="E235" s="66"/>
      <c r="F235" s="65"/>
      <c r="I235" s="64"/>
      <c r="J235" s="64"/>
      <c r="K235" s="64"/>
      <c r="L235" s="64"/>
      <c r="M235" s="64"/>
      <c r="P235" s="64"/>
      <c r="Q235" s="64"/>
      <c r="R235" s="64"/>
      <c r="S235" s="64"/>
      <c r="T235" s="64"/>
      <c r="W235" s="65"/>
      <c r="X235" s="64"/>
      <c r="Y235" s="64"/>
      <c r="Z235" s="64"/>
      <c r="AA235" s="64"/>
      <c r="AD235" s="64"/>
      <c r="AE235" s="64"/>
      <c r="AF235" s="64"/>
      <c r="AG235" s="64"/>
      <c r="AH235" s="64"/>
      <c r="AK235" s="62"/>
      <c r="AL235" s="63"/>
      <c r="AM235" s="62"/>
    </row>
    <row r="236" spans="1:39" s="68" customFormat="1">
      <c r="A236" s="67"/>
      <c r="B236" s="66"/>
      <c r="C236" s="66"/>
      <c r="D236" s="66"/>
      <c r="E236" s="66"/>
      <c r="F236" s="65"/>
      <c r="I236" s="64"/>
      <c r="J236" s="64"/>
      <c r="K236" s="64"/>
      <c r="L236" s="64"/>
      <c r="M236" s="64"/>
      <c r="P236" s="64"/>
      <c r="Q236" s="64"/>
      <c r="R236" s="64"/>
      <c r="S236" s="64"/>
      <c r="T236" s="64"/>
      <c r="W236" s="65"/>
      <c r="X236" s="64"/>
      <c r="Y236" s="64"/>
      <c r="Z236" s="64"/>
      <c r="AA236" s="64"/>
      <c r="AD236" s="64"/>
      <c r="AE236" s="64"/>
      <c r="AF236" s="64"/>
      <c r="AG236" s="64"/>
      <c r="AH236" s="64"/>
      <c r="AK236" s="62"/>
      <c r="AL236" s="63"/>
      <c r="AM236" s="62"/>
    </row>
    <row r="237" spans="1:39" s="68" customFormat="1">
      <c r="A237" s="67"/>
      <c r="B237" s="66"/>
      <c r="C237" s="66"/>
      <c r="D237" s="66"/>
      <c r="E237" s="66"/>
      <c r="F237" s="65"/>
      <c r="I237" s="64"/>
      <c r="J237" s="64"/>
      <c r="K237" s="64"/>
      <c r="L237" s="64"/>
      <c r="M237" s="64"/>
      <c r="P237" s="64"/>
      <c r="Q237" s="64"/>
      <c r="R237" s="64"/>
      <c r="S237" s="64"/>
      <c r="T237" s="64"/>
      <c r="W237" s="65"/>
      <c r="X237" s="64"/>
      <c r="Y237" s="64"/>
      <c r="Z237" s="64"/>
      <c r="AA237" s="64"/>
      <c r="AD237" s="64"/>
      <c r="AE237" s="64"/>
      <c r="AF237" s="64"/>
      <c r="AG237" s="64"/>
      <c r="AH237" s="64"/>
      <c r="AK237" s="62"/>
      <c r="AL237" s="63"/>
      <c r="AM237" s="62"/>
    </row>
    <row r="238" spans="1:39" s="68" customFormat="1">
      <c r="A238" s="67"/>
      <c r="B238" s="66"/>
      <c r="C238" s="66"/>
      <c r="D238" s="66"/>
      <c r="E238" s="66"/>
      <c r="F238" s="65"/>
      <c r="I238" s="64"/>
      <c r="J238" s="64"/>
      <c r="K238" s="64"/>
      <c r="L238" s="64"/>
      <c r="M238" s="64"/>
      <c r="P238" s="64"/>
      <c r="Q238" s="64"/>
      <c r="R238" s="64"/>
      <c r="S238" s="64"/>
      <c r="T238" s="64"/>
      <c r="W238" s="65"/>
      <c r="X238" s="64"/>
      <c r="Y238" s="64"/>
      <c r="Z238" s="64"/>
      <c r="AA238" s="64"/>
      <c r="AD238" s="64"/>
      <c r="AE238" s="64"/>
      <c r="AF238" s="64"/>
      <c r="AG238" s="64"/>
      <c r="AH238" s="64"/>
      <c r="AK238" s="62"/>
      <c r="AL238" s="63"/>
      <c r="AM238" s="62"/>
    </row>
    <row r="239" spans="1:39" s="68" customFormat="1">
      <c r="A239" s="67"/>
      <c r="B239" s="66"/>
      <c r="C239" s="66"/>
      <c r="D239" s="66"/>
      <c r="E239" s="66"/>
      <c r="F239" s="65"/>
      <c r="I239" s="64"/>
      <c r="J239" s="64"/>
      <c r="K239" s="64"/>
      <c r="L239" s="64"/>
      <c r="M239" s="64"/>
      <c r="P239" s="64"/>
      <c r="Q239" s="64"/>
      <c r="R239" s="64"/>
      <c r="S239" s="64"/>
      <c r="T239" s="64"/>
      <c r="W239" s="65"/>
      <c r="X239" s="64"/>
      <c r="Y239" s="64"/>
      <c r="Z239" s="64"/>
      <c r="AA239" s="64"/>
      <c r="AD239" s="64"/>
      <c r="AE239" s="64"/>
      <c r="AF239" s="64"/>
      <c r="AG239" s="64"/>
      <c r="AH239" s="64"/>
      <c r="AK239" s="62"/>
      <c r="AL239" s="63"/>
      <c r="AM239" s="62"/>
    </row>
    <row r="240" spans="1:39" s="68" customFormat="1">
      <c r="A240" s="67"/>
      <c r="B240" s="66"/>
      <c r="C240" s="66"/>
      <c r="D240" s="66"/>
      <c r="E240" s="66"/>
      <c r="F240" s="65"/>
      <c r="I240" s="64"/>
      <c r="J240" s="64"/>
      <c r="K240" s="64"/>
      <c r="L240" s="64"/>
      <c r="M240" s="64"/>
      <c r="P240" s="64"/>
      <c r="Q240" s="64"/>
      <c r="R240" s="64"/>
      <c r="S240" s="64"/>
      <c r="T240" s="64"/>
      <c r="W240" s="65"/>
      <c r="X240" s="64"/>
      <c r="Y240" s="64"/>
      <c r="Z240" s="64"/>
      <c r="AA240" s="64"/>
      <c r="AD240" s="64"/>
      <c r="AE240" s="64"/>
      <c r="AF240" s="64"/>
      <c r="AG240" s="64"/>
      <c r="AH240" s="64"/>
      <c r="AK240" s="62"/>
      <c r="AL240" s="63"/>
      <c r="AM240" s="62"/>
    </row>
    <row r="241" spans="1:39" s="68" customFormat="1">
      <c r="A241" s="67"/>
      <c r="B241" s="66"/>
      <c r="C241" s="66"/>
      <c r="D241" s="66"/>
      <c r="E241" s="66"/>
      <c r="F241" s="65"/>
      <c r="I241" s="64"/>
      <c r="J241" s="64"/>
      <c r="K241" s="64"/>
      <c r="L241" s="64"/>
      <c r="M241" s="64"/>
      <c r="P241" s="64"/>
      <c r="Q241" s="64"/>
      <c r="R241" s="64"/>
      <c r="S241" s="64"/>
      <c r="T241" s="64"/>
      <c r="W241" s="65"/>
      <c r="X241" s="64"/>
      <c r="Y241" s="64"/>
      <c r="Z241" s="64"/>
      <c r="AA241" s="64"/>
      <c r="AD241" s="64"/>
      <c r="AE241" s="64"/>
      <c r="AF241" s="64"/>
      <c r="AG241" s="64"/>
      <c r="AH241" s="64"/>
      <c r="AK241" s="62"/>
      <c r="AL241" s="63"/>
      <c r="AM241" s="62"/>
    </row>
    <row r="242" spans="1:39" s="68" customFormat="1">
      <c r="A242" s="67"/>
      <c r="B242" s="66"/>
      <c r="C242" s="66"/>
      <c r="D242" s="66"/>
      <c r="E242" s="66"/>
      <c r="F242" s="65"/>
      <c r="I242" s="64"/>
      <c r="J242" s="64"/>
      <c r="K242" s="64"/>
      <c r="L242" s="64"/>
      <c r="M242" s="64"/>
      <c r="P242" s="64"/>
      <c r="Q242" s="64"/>
      <c r="R242" s="64"/>
      <c r="S242" s="64"/>
      <c r="T242" s="64"/>
      <c r="W242" s="65"/>
      <c r="X242" s="64"/>
      <c r="Y242" s="64"/>
      <c r="Z242" s="64"/>
      <c r="AA242" s="64"/>
      <c r="AD242" s="64"/>
      <c r="AE242" s="64"/>
      <c r="AF242" s="64"/>
      <c r="AG242" s="64"/>
      <c r="AH242" s="64"/>
      <c r="AK242" s="62"/>
      <c r="AL242" s="63"/>
      <c r="AM242" s="62"/>
    </row>
    <row r="243" spans="1:39" s="68" customFormat="1">
      <c r="A243" s="67"/>
      <c r="B243" s="66"/>
      <c r="C243" s="66"/>
      <c r="D243" s="66"/>
      <c r="E243" s="66"/>
      <c r="F243" s="65"/>
      <c r="I243" s="64"/>
      <c r="J243" s="64"/>
      <c r="K243" s="64"/>
      <c r="L243" s="64"/>
      <c r="M243" s="64"/>
      <c r="P243" s="64"/>
      <c r="Q243" s="64"/>
      <c r="R243" s="64"/>
      <c r="S243" s="64"/>
      <c r="T243" s="64"/>
      <c r="W243" s="65"/>
      <c r="X243" s="64"/>
      <c r="Y243" s="64"/>
      <c r="Z243" s="64"/>
      <c r="AA243" s="64"/>
      <c r="AD243" s="64"/>
      <c r="AE243" s="64"/>
      <c r="AF243" s="64"/>
      <c r="AG243" s="64"/>
      <c r="AH243" s="64"/>
      <c r="AK243" s="62"/>
      <c r="AL243" s="63"/>
      <c r="AM243" s="62"/>
    </row>
    <row r="244" spans="1:39" s="68" customFormat="1">
      <c r="A244" s="67"/>
      <c r="B244" s="66"/>
      <c r="C244" s="66"/>
      <c r="D244" s="66"/>
      <c r="E244" s="66"/>
      <c r="F244" s="65"/>
      <c r="I244" s="64"/>
      <c r="J244" s="64"/>
      <c r="K244" s="64"/>
      <c r="L244" s="64"/>
      <c r="M244" s="64"/>
      <c r="P244" s="64"/>
      <c r="Q244" s="64"/>
      <c r="R244" s="64"/>
      <c r="S244" s="64"/>
      <c r="T244" s="64"/>
      <c r="W244" s="65"/>
      <c r="X244" s="64"/>
      <c r="Y244" s="64"/>
      <c r="Z244" s="64"/>
      <c r="AA244" s="64"/>
      <c r="AD244" s="64"/>
      <c r="AE244" s="64"/>
      <c r="AF244" s="64"/>
      <c r="AG244" s="64"/>
      <c r="AH244" s="64"/>
      <c r="AK244" s="62"/>
      <c r="AL244" s="63"/>
      <c r="AM244" s="62"/>
    </row>
    <row r="245" spans="1:39" s="68" customFormat="1">
      <c r="A245" s="67"/>
      <c r="B245" s="66"/>
      <c r="C245" s="66"/>
      <c r="D245" s="66"/>
      <c r="E245" s="66"/>
      <c r="F245" s="65"/>
      <c r="I245" s="64"/>
      <c r="J245" s="64"/>
      <c r="K245" s="64"/>
      <c r="L245" s="64"/>
      <c r="M245" s="64"/>
      <c r="P245" s="64"/>
      <c r="Q245" s="64"/>
      <c r="R245" s="64"/>
      <c r="S245" s="64"/>
      <c r="T245" s="64"/>
      <c r="W245" s="65"/>
      <c r="X245" s="64"/>
      <c r="Y245" s="64"/>
      <c r="Z245" s="64"/>
      <c r="AA245" s="64"/>
      <c r="AD245" s="64"/>
      <c r="AE245" s="64"/>
      <c r="AF245" s="64"/>
      <c r="AG245" s="64"/>
      <c r="AH245" s="64"/>
      <c r="AK245" s="62"/>
      <c r="AL245" s="63"/>
      <c r="AM245" s="62"/>
    </row>
    <row r="246" spans="1:39" s="68" customFormat="1">
      <c r="A246" s="67"/>
      <c r="B246" s="66"/>
      <c r="C246" s="66"/>
      <c r="D246" s="66"/>
      <c r="E246" s="66"/>
      <c r="F246" s="65"/>
      <c r="I246" s="64"/>
      <c r="J246" s="64"/>
      <c r="K246" s="64"/>
      <c r="L246" s="64"/>
      <c r="M246" s="64"/>
      <c r="P246" s="64"/>
      <c r="Q246" s="64"/>
      <c r="R246" s="64"/>
      <c r="S246" s="64"/>
      <c r="T246" s="64"/>
      <c r="W246" s="65"/>
      <c r="X246" s="64"/>
      <c r="Y246" s="64"/>
      <c r="Z246" s="64"/>
      <c r="AA246" s="64"/>
      <c r="AD246" s="64"/>
      <c r="AE246" s="64"/>
      <c r="AF246" s="64"/>
      <c r="AG246" s="64"/>
      <c r="AH246" s="64"/>
      <c r="AK246" s="62"/>
      <c r="AL246" s="63"/>
      <c r="AM246" s="62"/>
    </row>
    <row r="247" spans="1:39" s="68" customFormat="1">
      <c r="A247" s="67"/>
      <c r="B247" s="66"/>
      <c r="C247" s="66"/>
      <c r="D247" s="66"/>
      <c r="E247" s="66"/>
      <c r="F247" s="65"/>
      <c r="I247" s="64"/>
      <c r="J247" s="64"/>
      <c r="K247" s="64"/>
      <c r="L247" s="64"/>
      <c r="M247" s="64"/>
      <c r="P247" s="64"/>
      <c r="Q247" s="64"/>
      <c r="R247" s="64"/>
      <c r="S247" s="64"/>
      <c r="T247" s="64"/>
      <c r="W247" s="65"/>
      <c r="X247" s="64"/>
      <c r="Y247" s="64"/>
      <c r="Z247" s="64"/>
      <c r="AA247" s="64"/>
      <c r="AD247" s="64"/>
      <c r="AE247" s="64"/>
      <c r="AF247" s="64"/>
      <c r="AG247" s="64"/>
      <c r="AH247" s="64"/>
      <c r="AK247" s="62"/>
      <c r="AL247" s="63"/>
      <c r="AM247" s="62"/>
    </row>
    <row r="248" spans="1:39" s="68" customFormat="1">
      <c r="A248" s="67"/>
      <c r="B248" s="66"/>
      <c r="C248" s="66"/>
      <c r="D248" s="66"/>
      <c r="E248" s="66"/>
      <c r="F248" s="65"/>
      <c r="I248" s="64"/>
      <c r="J248" s="64"/>
      <c r="K248" s="64"/>
      <c r="L248" s="64"/>
      <c r="M248" s="64"/>
      <c r="P248" s="64"/>
      <c r="Q248" s="64"/>
      <c r="R248" s="64"/>
      <c r="S248" s="64"/>
      <c r="T248" s="64"/>
      <c r="W248" s="65"/>
      <c r="X248" s="64"/>
      <c r="Y248" s="64"/>
      <c r="Z248" s="64"/>
      <c r="AA248" s="64"/>
      <c r="AD248" s="64"/>
      <c r="AE248" s="64"/>
      <c r="AF248" s="64"/>
      <c r="AG248" s="64"/>
      <c r="AH248" s="64"/>
      <c r="AK248" s="62"/>
      <c r="AL248" s="63"/>
      <c r="AM248" s="62"/>
    </row>
    <row r="249" spans="1:39" s="68" customFormat="1">
      <c r="A249" s="67"/>
      <c r="B249" s="66"/>
      <c r="C249" s="66"/>
      <c r="D249" s="66"/>
      <c r="E249" s="66"/>
      <c r="F249" s="65"/>
      <c r="I249" s="64"/>
      <c r="J249" s="64"/>
      <c r="K249" s="64"/>
      <c r="L249" s="64"/>
      <c r="M249" s="64"/>
      <c r="P249" s="64"/>
      <c r="Q249" s="64"/>
      <c r="R249" s="64"/>
      <c r="S249" s="64"/>
      <c r="T249" s="64"/>
      <c r="W249" s="65"/>
      <c r="X249" s="64"/>
      <c r="Y249" s="64"/>
      <c r="Z249" s="64"/>
      <c r="AA249" s="64"/>
      <c r="AD249" s="64"/>
      <c r="AE249" s="64"/>
      <c r="AF249" s="64"/>
      <c r="AG249" s="64"/>
      <c r="AH249" s="64"/>
      <c r="AK249" s="62"/>
      <c r="AL249" s="63"/>
      <c r="AM249" s="62"/>
    </row>
    <row r="250" spans="1:39" s="68" customFormat="1">
      <c r="A250" s="67"/>
      <c r="B250" s="66"/>
      <c r="C250" s="66"/>
      <c r="D250" s="66"/>
      <c r="E250" s="66"/>
      <c r="F250" s="65"/>
      <c r="I250" s="64"/>
      <c r="J250" s="64"/>
      <c r="K250" s="64"/>
      <c r="L250" s="64"/>
      <c r="M250" s="64"/>
      <c r="P250" s="64"/>
      <c r="Q250" s="64"/>
      <c r="R250" s="64"/>
      <c r="S250" s="64"/>
      <c r="T250" s="64"/>
      <c r="W250" s="65"/>
      <c r="X250" s="64"/>
      <c r="Y250" s="64"/>
      <c r="Z250" s="64"/>
      <c r="AA250" s="64"/>
      <c r="AD250" s="64"/>
      <c r="AE250" s="64"/>
      <c r="AF250" s="64"/>
      <c r="AG250" s="64"/>
      <c r="AH250" s="64"/>
      <c r="AK250" s="62"/>
      <c r="AL250" s="63"/>
      <c r="AM250" s="62"/>
    </row>
    <row r="251" spans="1:39" s="68" customFormat="1">
      <c r="A251" s="67"/>
      <c r="B251" s="66"/>
      <c r="C251" s="66"/>
      <c r="D251" s="66"/>
      <c r="E251" s="66"/>
      <c r="F251" s="65"/>
      <c r="I251" s="64"/>
      <c r="J251" s="64"/>
      <c r="K251" s="64"/>
      <c r="L251" s="64"/>
      <c r="M251" s="64"/>
      <c r="P251" s="64"/>
      <c r="Q251" s="64"/>
      <c r="R251" s="64"/>
      <c r="S251" s="64"/>
      <c r="T251" s="64"/>
      <c r="W251" s="65"/>
      <c r="X251" s="64"/>
      <c r="Y251" s="64"/>
      <c r="Z251" s="64"/>
      <c r="AA251" s="64"/>
      <c r="AD251" s="64"/>
      <c r="AE251" s="64"/>
      <c r="AF251" s="64"/>
      <c r="AG251" s="64"/>
      <c r="AH251" s="64"/>
      <c r="AK251" s="62"/>
      <c r="AL251" s="63"/>
      <c r="AM251" s="62"/>
    </row>
    <row r="252" spans="1:39" s="68" customFormat="1">
      <c r="A252" s="67"/>
      <c r="B252" s="66"/>
      <c r="C252" s="66"/>
      <c r="D252" s="66"/>
      <c r="E252" s="66"/>
      <c r="F252" s="65"/>
      <c r="I252" s="64"/>
      <c r="J252" s="64"/>
      <c r="K252" s="64"/>
      <c r="L252" s="64"/>
      <c r="M252" s="64"/>
      <c r="P252" s="64"/>
      <c r="Q252" s="64"/>
      <c r="R252" s="64"/>
      <c r="S252" s="64"/>
      <c r="T252" s="64"/>
      <c r="W252" s="65"/>
      <c r="X252" s="64"/>
      <c r="Y252" s="64"/>
      <c r="Z252" s="64"/>
      <c r="AA252" s="64"/>
      <c r="AD252" s="64"/>
      <c r="AE252" s="64"/>
      <c r="AF252" s="64"/>
      <c r="AG252" s="64"/>
      <c r="AH252" s="64"/>
      <c r="AK252" s="62"/>
      <c r="AL252" s="63"/>
      <c r="AM252" s="62"/>
    </row>
    <row r="253" spans="1:39" s="68" customFormat="1">
      <c r="A253" s="67"/>
      <c r="B253" s="66"/>
      <c r="C253" s="66"/>
      <c r="D253" s="66"/>
      <c r="E253" s="66"/>
      <c r="F253" s="65"/>
      <c r="I253" s="64"/>
      <c r="J253" s="64"/>
      <c r="K253" s="64"/>
      <c r="L253" s="64"/>
      <c r="M253" s="64"/>
      <c r="P253" s="64"/>
      <c r="Q253" s="64"/>
      <c r="R253" s="64"/>
      <c r="S253" s="64"/>
      <c r="T253" s="64"/>
      <c r="W253" s="65"/>
      <c r="X253" s="64"/>
      <c r="Y253" s="64"/>
      <c r="Z253" s="64"/>
      <c r="AA253" s="64"/>
      <c r="AD253" s="64"/>
      <c r="AE253" s="64"/>
      <c r="AF253" s="64"/>
      <c r="AG253" s="64"/>
      <c r="AH253" s="64"/>
      <c r="AK253" s="62"/>
      <c r="AL253" s="63"/>
      <c r="AM253" s="62"/>
    </row>
    <row r="254" spans="1:39" s="68" customFormat="1">
      <c r="A254" s="67"/>
      <c r="B254" s="66"/>
      <c r="C254" s="66"/>
      <c r="D254" s="66"/>
      <c r="E254" s="66"/>
      <c r="F254" s="65"/>
      <c r="I254" s="64"/>
      <c r="J254" s="64"/>
      <c r="K254" s="64"/>
      <c r="L254" s="64"/>
      <c r="M254" s="64"/>
      <c r="P254" s="64"/>
      <c r="Q254" s="64"/>
      <c r="R254" s="64"/>
      <c r="S254" s="64"/>
      <c r="T254" s="64"/>
      <c r="W254" s="65"/>
      <c r="X254" s="64"/>
      <c r="Y254" s="64"/>
      <c r="Z254" s="64"/>
      <c r="AA254" s="64"/>
      <c r="AD254" s="64"/>
      <c r="AE254" s="64"/>
      <c r="AF254" s="64"/>
      <c r="AG254" s="64"/>
      <c r="AH254" s="64"/>
      <c r="AK254" s="62"/>
      <c r="AL254" s="63"/>
      <c r="AM254" s="62"/>
    </row>
    <row r="255" spans="1:39" s="68" customFormat="1">
      <c r="A255" s="67"/>
      <c r="B255" s="66"/>
      <c r="C255" s="66"/>
      <c r="D255" s="66"/>
      <c r="E255" s="66"/>
      <c r="F255" s="65"/>
      <c r="I255" s="64"/>
      <c r="J255" s="64"/>
      <c r="K255" s="64"/>
      <c r="L255" s="64"/>
      <c r="M255" s="64"/>
      <c r="P255" s="64"/>
      <c r="Q255" s="64"/>
      <c r="R255" s="64"/>
      <c r="S255" s="64"/>
      <c r="T255" s="64"/>
      <c r="W255" s="65"/>
      <c r="X255" s="64"/>
      <c r="Y255" s="64"/>
      <c r="Z255" s="64"/>
      <c r="AA255" s="64"/>
      <c r="AD255" s="64"/>
      <c r="AE255" s="64"/>
      <c r="AF255" s="64"/>
      <c r="AG255" s="64"/>
      <c r="AH255" s="64"/>
      <c r="AK255" s="62"/>
      <c r="AL255" s="63"/>
      <c r="AM255" s="62"/>
    </row>
    <row r="256" spans="1:39" s="68" customFormat="1">
      <c r="A256" s="67"/>
      <c r="B256" s="66"/>
      <c r="C256" s="66"/>
      <c r="D256" s="66"/>
      <c r="E256" s="66"/>
      <c r="F256" s="65"/>
      <c r="I256" s="64"/>
      <c r="J256" s="64"/>
      <c r="K256" s="64"/>
      <c r="L256" s="64"/>
      <c r="M256" s="64"/>
      <c r="P256" s="64"/>
      <c r="Q256" s="64"/>
      <c r="R256" s="64"/>
      <c r="S256" s="64"/>
      <c r="T256" s="64"/>
      <c r="W256" s="65"/>
      <c r="X256" s="64"/>
      <c r="Y256" s="64"/>
      <c r="Z256" s="64"/>
      <c r="AA256" s="64"/>
      <c r="AD256" s="64"/>
      <c r="AE256" s="64"/>
      <c r="AF256" s="64"/>
      <c r="AG256" s="64"/>
      <c r="AH256" s="64"/>
      <c r="AK256" s="62"/>
      <c r="AL256" s="63"/>
      <c r="AM256" s="62"/>
    </row>
    <row r="257" spans="1:39" s="68" customFormat="1">
      <c r="A257" s="67"/>
      <c r="B257" s="66"/>
      <c r="C257" s="66"/>
      <c r="D257" s="66"/>
      <c r="E257" s="66"/>
      <c r="F257" s="65"/>
      <c r="I257" s="64"/>
      <c r="J257" s="64"/>
      <c r="K257" s="64"/>
      <c r="L257" s="64"/>
      <c r="M257" s="64"/>
      <c r="P257" s="64"/>
      <c r="Q257" s="64"/>
      <c r="R257" s="64"/>
      <c r="S257" s="64"/>
      <c r="T257" s="64"/>
      <c r="W257" s="65"/>
      <c r="X257" s="64"/>
      <c r="Y257" s="64"/>
      <c r="Z257" s="64"/>
      <c r="AA257" s="64"/>
      <c r="AD257" s="64"/>
      <c r="AE257" s="64"/>
      <c r="AF257" s="64"/>
      <c r="AG257" s="64"/>
      <c r="AH257" s="64"/>
      <c r="AK257" s="62"/>
      <c r="AL257" s="63"/>
      <c r="AM257" s="62"/>
    </row>
    <row r="258" spans="1:39" s="68" customFormat="1">
      <c r="A258" s="67"/>
      <c r="B258" s="66"/>
      <c r="C258" s="66"/>
      <c r="D258" s="66"/>
      <c r="E258" s="66"/>
      <c r="F258" s="65"/>
      <c r="I258" s="64"/>
      <c r="J258" s="64"/>
      <c r="K258" s="64"/>
      <c r="L258" s="64"/>
      <c r="M258" s="64"/>
      <c r="P258" s="64"/>
      <c r="Q258" s="64"/>
      <c r="R258" s="64"/>
      <c r="S258" s="64"/>
      <c r="T258" s="64"/>
      <c r="W258" s="65"/>
      <c r="X258" s="64"/>
      <c r="Y258" s="64"/>
      <c r="Z258" s="64"/>
      <c r="AA258" s="64"/>
      <c r="AD258" s="64"/>
      <c r="AE258" s="64"/>
      <c r="AF258" s="64"/>
      <c r="AG258" s="64"/>
      <c r="AH258" s="64"/>
      <c r="AK258" s="62"/>
      <c r="AL258" s="63"/>
      <c r="AM258" s="62"/>
    </row>
    <row r="259" spans="1:39" s="68" customFormat="1">
      <c r="A259" s="67"/>
      <c r="B259" s="66"/>
      <c r="C259" s="66"/>
      <c r="D259" s="66"/>
      <c r="E259" s="66"/>
      <c r="F259" s="65"/>
      <c r="I259" s="64"/>
      <c r="J259" s="64"/>
      <c r="K259" s="64"/>
      <c r="L259" s="64"/>
      <c r="M259" s="64"/>
      <c r="P259" s="64"/>
      <c r="Q259" s="64"/>
      <c r="R259" s="64"/>
      <c r="S259" s="64"/>
      <c r="T259" s="64"/>
      <c r="W259" s="65"/>
      <c r="X259" s="64"/>
      <c r="Y259" s="64"/>
      <c r="Z259" s="64"/>
      <c r="AA259" s="64"/>
      <c r="AD259" s="64"/>
      <c r="AE259" s="64"/>
      <c r="AF259" s="64"/>
      <c r="AG259" s="64"/>
      <c r="AH259" s="64"/>
      <c r="AK259" s="62"/>
      <c r="AL259" s="63"/>
      <c r="AM259" s="62"/>
    </row>
    <row r="260" spans="1:39" s="68" customFormat="1">
      <c r="A260" s="67"/>
      <c r="B260" s="66"/>
      <c r="C260" s="66"/>
      <c r="D260" s="66"/>
      <c r="E260" s="66"/>
      <c r="F260" s="65"/>
      <c r="I260" s="64"/>
      <c r="J260" s="64"/>
      <c r="K260" s="64"/>
      <c r="L260" s="64"/>
      <c r="M260" s="64"/>
      <c r="P260" s="64"/>
      <c r="Q260" s="64"/>
      <c r="R260" s="64"/>
      <c r="S260" s="64"/>
      <c r="T260" s="64"/>
      <c r="W260" s="65"/>
      <c r="X260" s="64"/>
      <c r="Y260" s="64"/>
      <c r="Z260" s="64"/>
      <c r="AA260" s="64"/>
      <c r="AD260" s="64"/>
      <c r="AE260" s="64"/>
      <c r="AF260" s="64"/>
      <c r="AG260" s="64"/>
      <c r="AH260" s="64"/>
      <c r="AK260" s="62"/>
      <c r="AL260" s="63"/>
      <c r="AM260" s="62"/>
    </row>
    <row r="261" spans="1:39" s="68" customFormat="1">
      <c r="A261" s="67"/>
      <c r="B261" s="66"/>
      <c r="C261" s="66"/>
      <c r="D261" s="66"/>
      <c r="E261" s="66"/>
      <c r="F261" s="65"/>
      <c r="I261" s="64"/>
      <c r="J261" s="64"/>
      <c r="K261" s="64"/>
      <c r="L261" s="64"/>
      <c r="M261" s="64"/>
      <c r="P261" s="64"/>
      <c r="Q261" s="64"/>
      <c r="R261" s="64"/>
      <c r="S261" s="64"/>
      <c r="T261" s="64"/>
      <c r="W261" s="65"/>
      <c r="X261" s="64"/>
      <c r="Y261" s="64"/>
      <c r="Z261" s="64"/>
      <c r="AA261" s="64"/>
      <c r="AD261" s="64"/>
      <c r="AE261" s="64"/>
      <c r="AF261" s="64"/>
      <c r="AG261" s="64"/>
      <c r="AH261" s="64"/>
      <c r="AK261" s="62"/>
      <c r="AL261" s="63"/>
      <c r="AM261" s="62"/>
    </row>
    <row r="262" spans="1:39" s="68" customFormat="1">
      <c r="A262" s="67"/>
      <c r="B262" s="66"/>
      <c r="C262" s="66"/>
      <c r="D262" s="66"/>
      <c r="E262" s="66"/>
      <c r="F262" s="65"/>
      <c r="I262" s="64"/>
      <c r="J262" s="64"/>
      <c r="K262" s="64"/>
      <c r="L262" s="64"/>
      <c r="M262" s="64"/>
      <c r="P262" s="64"/>
      <c r="Q262" s="64"/>
      <c r="R262" s="64"/>
      <c r="S262" s="64"/>
      <c r="T262" s="64"/>
      <c r="W262" s="65"/>
      <c r="X262" s="64"/>
      <c r="Y262" s="64"/>
      <c r="Z262" s="64"/>
      <c r="AA262" s="64"/>
      <c r="AD262" s="64"/>
      <c r="AE262" s="64"/>
      <c r="AF262" s="64"/>
      <c r="AG262" s="64"/>
      <c r="AH262" s="64"/>
      <c r="AK262" s="62"/>
      <c r="AL262" s="63"/>
      <c r="AM262" s="62"/>
    </row>
    <row r="263" spans="1:39" s="68" customFormat="1">
      <c r="A263" s="67"/>
      <c r="B263" s="66"/>
      <c r="C263" s="66"/>
      <c r="D263" s="66"/>
      <c r="E263" s="66"/>
      <c r="F263" s="65"/>
      <c r="I263" s="64"/>
      <c r="J263" s="64"/>
      <c r="K263" s="64"/>
      <c r="L263" s="64"/>
      <c r="M263" s="64"/>
      <c r="P263" s="64"/>
      <c r="Q263" s="64"/>
      <c r="R263" s="64"/>
      <c r="S263" s="64"/>
      <c r="T263" s="64"/>
      <c r="W263" s="65"/>
      <c r="X263" s="64"/>
      <c r="Y263" s="64"/>
      <c r="Z263" s="64"/>
      <c r="AA263" s="64"/>
      <c r="AD263" s="64"/>
      <c r="AE263" s="64"/>
      <c r="AF263" s="64"/>
      <c r="AG263" s="64"/>
      <c r="AH263" s="64"/>
      <c r="AK263" s="62"/>
      <c r="AL263" s="63"/>
      <c r="AM263" s="62"/>
    </row>
    <row r="264" spans="1:39" s="68" customFormat="1">
      <c r="A264" s="67"/>
      <c r="B264" s="66"/>
      <c r="C264" s="66"/>
      <c r="D264" s="66"/>
      <c r="E264" s="66"/>
      <c r="F264" s="65"/>
      <c r="I264" s="64"/>
      <c r="J264" s="64"/>
      <c r="K264" s="64"/>
      <c r="L264" s="64"/>
      <c r="M264" s="64"/>
      <c r="P264" s="64"/>
      <c r="Q264" s="64"/>
      <c r="R264" s="64"/>
      <c r="S264" s="64"/>
      <c r="T264" s="64"/>
      <c r="W264" s="65"/>
      <c r="X264" s="64"/>
      <c r="Y264" s="64"/>
      <c r="Z264" s="64"/>
      <c r="AA264" s="64"/>
      <c r="AD264" s="64"/>
      <c r="AE264" s="64"/>
      <c r="AF264" s="64"/>
      <c r="AG264" s="64"/>
      <c r="AH264" s="64"/>
      <c r="AK264" s="62"/>
      <c r="AL264" s="63"/>
      <c r="AM264" s="62"/>
    </row>
    <row r="265" spans="1:39" s="68" customFormat="1">
      <c r="A265" s="67"/>
      <c r="B265" s="66"/>
      <c r="C265" s="66"/>
      <c r="D265" s="66"/>
      <c r="E265" s="66"/>
      <c r="F265" s="65"/>
      <c r="I265" s="64"/>
      <c r="J265" s="64"/>
      <c r="K265" s="64"/>
      <c r="L265" s="64"/>
      <c r="M265" s="64"/>
      <c r="P265" s="64"/>
      <c r="Q265" s="64"/>
      <c r="R265" s="64"/>
      <c r="S265" s="64"/>
      <c r="T265" s="64"/>
      <c r="W265" s="65"/>
      <c r="X265" s="64"/>
      <c r="Y265" s="64"/>
      <c r="Z265" s="64"/>
      <c r="AA265" s="64"/>
      <c r="AD265" s="64"/>
      <c r="AE265" s="64"/>
      <c r="AF265" s="64"/>
      <c r="AG265" s="64"/>
      <c r="AH265" s="64"/>
      <c r="AK265" s="62"/>
      <c r="AL265" s="63"/>
      <c r="AM265" s="62"/>
    </row>
    <row r="266" spans="1:39" s="68" customFormat="1">
      <c r="A266" s="67"/>
      <c r="B266" s="66"/>
      <c r="C266" s="66"/>
      <c r="D266" s="66"/>
      <c r="E266" s="66"/>
      <c r="F266" s="65"/>
      <c r="I266" s="64"/>
      <c r="J266" s="64"/>
      <c r="K266" s="64"/>
      <c r="L266" s="64"/>
      <c r="M266" s="64"/>
      <c r="P266" s="64"/>
      <c r="Q266" s="64"/>
      <c r="R266" s="64"/>
      <c r="S266" s="64"/>
      <c r="T266" s="64"/>
      <c r="W266" s="65"/>
      <c r="X266" s="64"/>
      <c r="Y266" s="64"/>
      <c r="Z266" s="64"/>
      <c r="AA266" s="64"/>
      <c r="AD266" s="64"/>
      <c r="AE266" s="64"/>
      <c r="AF266" s="64"/>
      <c r="AG266" s="64"/>
      <c r="AH266" s="64"/>
      <c r="AK266" s="62"/>
      <c r="AL266" s="63"/>
      <c r="AM266" s="62"/>
    </row>
    <row r="267" spans="1:39" s="68" customFormat="1">
      <c r="A267" s="67"/>
      <c r="B267" s="66"/>
      <c r="C267" s="66"/>
      <c r="D267" s="66"/>
      <c r="E267" s="66"/>
      <c r="F267" s="65"/>
      <c r="I267" s="64"/>
      <c r="J267" s="64"/>
      <c r="K267" s="64"/>
      <c r="L267" s="64"/>
      <c r="M267" s="64"/>
      <c r="P267" s="64"/>
      <c r="Q267" s="64"/>
      <c r="R267" s="64"/>
      <c r="S267" s="64"/>
      <c r="T267" s="64"/>
      <c r="W267" s="65"/>
      <c r="X267" s="64"/>
      <c r="Y267" s="64"/>
      <c r="Z267" s="64"/>
      <c r="AA267" s="64"/>
      <c r="AD267" s="64"/>
      <c r="AE267" s="64"/>
      <c r="AF267" s="64"/>
      <c r="AG267" s="64"/>
      <c r="AH267" s="64"/>
      <c r="AK267" s="62"/>
      <c r="AL267" s="63"/>
      <c r="AM267" s="62"/>
    </row>
    <row r="268" spans="1:39" s="68" customFormat="1">
      <c r="A268" s="67"/>
      <c r="B268" s="66"/>
      <c r="C268" s="66"/>
      <c r="D268" s="66"/>
      <c r="E268" s="66"/>
      <c r="F268" s="65"/>
      <c r="I268" s="64"/>
      <c r="J268" s="64"/>
      <c r="K268" s="64"/>
      <c r="L268" s="64"/>
      <c r="M268" s="64"/>
      <c r="P268" s="64"/>
      <c r="Q268" s="64"/>
      <c r="R268" s="64"/>
      <c r="S268" s="64"/>
      <c r="T268" s="64"/>
      <c r="W268" s="65"/>
      <c r="X268" s="64"/>
      <c r="Y268" s="64"/>
      <c r="Z268" s="64"/>
      <c r="AA268" s="64"/>
      <c r="AD268" s="64"/>
      <c r="AE268" s="64"/>
      <c r="AF268" s="64"/>
      <c r="AG268" s="64"/>
      <c r="AH268" s="64"/>
      <c r="AK268" s="62"/>
      <c r="AL268" s="63"/>
      <c r="AM268" s="62"/>
    </row>
    <row r="269" spans="1:39" s="68" customFormat="1">
      <c r="A269" s="67"/>
      <c r="B269" s="66"/>
      <c r="C269" s="66"/>
      <c r="D269" s="66"/>
      <c r="E269" s="66"/>
      <c r="F269" s="65"/>
      <c r="I269" s="64"/>
      <c r="J269" s="64"/>
      <c r="K269" s="64"/>
      <c r="L269" s="64"/>
      <c r="M269" s="64"/>
      <c r="P269" s="64"/>
      <c r="Q269" s="64"/>
      <c r="R269" s="64"/>
      <c r="S269" s="64"/>
      <c r="T269" s="64"/>
      <c r="W269" s="65"/>
      <c r="X269" s="64"/>
      <c r="Y269" s="64"/>
      <c r="Z269" s="64"/>
      <c r="AA269" s="64"/>
      <c r="AD269" s="64"/>
      <c r="AE269" s="64"/>
      <c r="AF269" s="64"/>
      <c r="AG269" s="64"/>
      <c r="AH269" s="64"/>
      <c r="AK269" s="62"/>
      <c r="AL269" s="63"/>
      <c r="AM269" s="62"/>
    </row>
    <row r="270" spans="1:39" s="68" customFormat="1">
      <c r="A270" s="67"/>
      <c r="B270" s="66"/>
      <c r="C270" s="66"/>
      <c r="D270" s="66"/>
      <c r="E270" s="66"/>
      <c r="F270" s="65"/>
      <c r="I270" s="64"/>
      <c r="J270" s="64"/>
      <c r="K270" s="64"/>
      <c r="L270" s="64"/>
      <c r="M270" s="64"/>
      <c r="P270" s="64"/>
      <c r="Q270" s="64"/>
      <c r="R270" s="64"/>
      <c r="S270" s="64"/>
      <c r="T270" s="64"/>
      <c r="W270" s="65"/>
      <c r="X270" s="64"/>
      <c r="Y270" s="64"/>
      <c r="Z270" s="64"/>
      <c r="AA270" s="64"/>
      <c r="AD270" s="64"/>
      <c r="AE270" s="64"/>
      <c r="AF270" s="64"/>
      <c r="AG270" s="64"/>
      <c r="AH270" s="64"/>
      <c r="AK270" s="62"/>
      <c r="AL270" s="63"/>
      <c r="AM270" s="62"/>
    </row>
    <row r="271" spans="1:39" s="68" customFormat="1">
      <c r="A271" s="67"/>
      <c r="B271" s="66"/>
      <c r="C271" s="66"/>
      <c r="D271" s="66"/>
      <c r="E271" s="66"/>
      <c r="F271" s="65"/>
      <c r="I271" s="64"/>
      <c r="J271" s="64"/>
      <c r="K271" s="64"/>
      <c r="L271" s="64"/>
      <c r="M271" s="64"/>
      <c r="P271" s="64"/>
      <c r="Q271" s="64"/>
      <c r="R271" s="64"/>
      <c r="S271" s="64"/>
      <c r="T271" s="64"/>
      <c r="W271" s="65"/>
      <c r="X271" s="64"/>
      <c r="Y271" s="64"/>
      <c r="Z271" s="64"/>
      <c r="AA271" s="64"/>
      <c r="AD271" s="64"/>
      <c r="AE271" s="64"/>
      <c r="AF271" s="64"/>
      <c r="AG271" s="64"/>
      <c r="AH271" s="64"/>
      <c r="AK271" s="62"/>
      <c r="AL271" s="63"/>
      <c r="AM271" s="62"/>
    </row>
    <row r="272" spans="1:39" s="68" customFormat="1">
      <c r="A272" s="67"/>
      <c r="B272" s="66"/>
      <c r="C272" s="66"/>
      <c r="D272" s="66"/>
      <c r="E272" s="66"/>
      <c r="F272" s="65"/>
      <c r="I272" s="64"/>
      <c r="J272" s="64"/>
      <c r="K272" s="64"/>
      <c r="L272" s="64"/>
      <c r="M272" s="64"/>
      <c r="P272" s="64"/>
      <c r="Q272" s="64"/>
      <c r="R272" s="64"/>
      <c r="S272" s="64"/>
      <c r="T272" s="64"/>
      <c r="W272" s="65"/>
      <c r="X272" s="64"/>
      <c r="Y272" s="64"/>
      <c r="Z272" s="64"/>
      <c r="AA272" s="64"/>
      <c r="AD272" s="64"/>
      <c r="AE272" s="64"/>
      <c r="AF272" s="64"/>
      <c r="AG272" s="64"/>
      <c r="AH272" s="64"/>
      <c r="AK272" s="62"/>
      <c r="AL272" s="63"/>
      <c r="AM272" s="62"/>
    </row>
    <row r="273" spans="1:39" s="68" customFormat="1">
      <c r="A273" s="67"/>
      <c r="B273" s="66"/>
      <c r="C273" s="66"/>
      <c r="D273" s="66"/>
      <c r="E273" s="66"/>
      <c r="F273" s="65"/>
      <c r="I273" s="64"/>
      <c r="J273" s="64"/>
      <c r="K273" s="64"/>
      <c r="L273" s="64"/>
      <c r="M273" s="64"/>
      <c r="P273" s="64"/>
      <c r="Q273" s="64"/>
      <c r="R273" s="64"/>
      <c r="S273" s="64"/>
      <c r="T273" s="64"/>
      <c r="W273" s="65"/>
      <c r="X273" s="64"/>
      <c r="Y273" s="64"/>
      <c r="Z273" s="64"/>
      <c r="AA273" s="64"/>
      <c r="AD273" s="64"/>
      <c r="AE273" s="64"/>
      <c r="AF273" s="64"/>
      <c r="AG273" s="64"/>
      <c r="AH273" s="64"/>
      <c r="AK273" s="62"/>
      <c r="AL273" s="63"/>
      <c r="AM273" s="62"/>
    </row>
    <row r="274" spans="1:39" s="68" customFormat="1">
      <c r="A274" s="67"/>
      <c r="B274" s="66"/>
      <c r="C274" s="66"/>
      <c r="D274" s="66"/>
      <c r="E274" s="66"/>
      <c r="F274" s="65"/>
      <c r="I274" s="64"/>
      <c r="J274" s="64"/>
      <c r="K274" s="64"/>
      <c r="L274" s="64"/>
      <c r="M274" s="64"/>
      <c r="P274" s="64"/>
      <c r="Q274" s="64"/>
      <c r="R274" s="64"/>
      <c r="S274" s="64"/>
      <c r="T274" s="64"/>
      <c r="W274" s="65"/>
      <c r="X274" s="64"/>
      <c r="Y274" s="64"/>
      <c r="Z274" s="64"/>
      <c r="AA274" s="64"/>
      <c r="AD274" s="64"/>
      <c r="AE274" s="64"/>
      <c r="AF274" s="64"/>
      <c r="AG274" s="64"/>
      <c r="AH274" s="64"/>
      <c r="AK274" s="62"/>
      <c r="AL274" s="63"/>
      <c r="AM274" s="62"/>
    </row>
    <row r="275" spans="1:39" s="68" customFormat="1">
      <c r="A275" s="67"/>
      <c r="B275" s="66"/>
      <c r="C275" s="66"/>
      <c r="D275" s="66"/>
      <c r="E275" s="66"/>
      <c r="F275" s="65"/>
      <c r="I275" s="64"/>
      <c r="J275" s="64"/>
      <c r="K275" s="64"/>
      <c r="L275" s="64"/>
      <c r="M275" s="64"/>
      <c r="P275" s="64"/>
      <c r="Q275" s="64"/>
      <c r="R275" s="64"/>
      <c r="S275" s="64"/>
      <c r="T275" s="64"/>
      <c r="W275" s="65"/>
      <c r="X275" s="64"/>
      <c r="Y275" s="64"/>
      <c r="Z275" s="64"/>
      <c r="AA275" s="64"/>
      <c r="AD275" s="64"/>
      <c r="AE275" s="64"/>
      <c r="AF275" s="64"/>
      <c r="AG275" s="64"/>
      <c r="AH275" s="64"/>
      <c r="AK275" s="62"/>
      <c r="AL275" s="63"/>
      <c r="AM275" s="62"/>
    </row>
    <row r="276" spans="1:39" s="68" customFormat="1">
      <c r="A276" s="67"/>
      <c r="B276" s="66"/>
      <c r="C276" s="66"/>
      <c r="D276" s="66"/>
      <c r="E276" s="66"/>
      <c r="F276" s="65"/>
      <c r="I276" s="64"/>
      <c r="J276" s="64"/>
      <c r="K276" s="64"/>
      <c r="L276" s="64"/>
      <c r="M276" s="64"/>
      <c r="P276" s="64"/>
      <c r="Q276" s="64"/>
      <c r="R276" s="64"/>
      <c r="S276" s="64"/>
      <c r="T276" s="64"/>
      <c r="W276" s="65"/>
      <c r="X276" s="64"/>
      <c r="Y276" s="64"/>
      <c r="Z276" s="64"/>
      <c r="AA276" s="64"/>
      <c r="AD276" s="64"/>
      <c r="AE276" s="64"/>
      <c r="AF276" s="64"/>
      <c r="AG276" s="64"/>
      <c r="AH276" s="64"/>
      <c r="AK276" s="62"/>
      <c r="AL276" s="63"/>
      <c r="AM276" s="62"/>
    </row>
    <row r="277" spans="1:39" s="68" customFormat="1">
      <c r="A277" s="67"/>
      <c r="B277" s="66"/>
      <c r="C277" s="66"/>
      <c r="D277" s="66"/>
      <c r="E277" s="66"/>
      <c r="F277" s="65"/>
      <c r="I277" s="64"/>
      <c r="J277" s="64"/>
      <c r="K277" s="64"/>
      <c r="L277" s="64"/>
      <c r="M277" s="64"/>
      <c r="P277" s="64"/>
      <c r="Q277" s="64"/>
      <c r="R277" s="64"/>
      <c r="S277" s="64"/>
      <c r="T277" s="64"/>
      <c r="W277" s="65"/>
      <c r="X277" s="64"/>
      <c r="Y277" s="64"/>
      <c r="Z277" s="64"/>
      <c r="AA277" s="64"/>
      <c r="AD277" s="64"/>
      <c r="AE277" s="64"/>
      <c r="AF277" s="64"/>
      <c r="AG277" s="64"/>
      <c r="AH277" s="64"/>
      <c r="AK277" s="62"/>
      <c r="AL277" s="63"/>
      <c r="AM277" s="62"/>
    </row>
    <row r="278" spans="1:39" s="68" customFormat="1">
      <c r="A278" s="67"/>
      <c r="B278" s="66"/>
      <c r="C278" s="66"/>
      <c r="D278" s="66"/>
      <c r="E278" s="66"/>
      <c r="F278" s="65"/>
      <c r="I278" s="64"/>
      <c r="J278" s="64"/>
      <c r="K278" s="64"/>
      <c r="L278" s="64"/>
      <c r="M278" s="64"/>
      <c r="P278" s="64"/>
      <c r="Q278" s="64"/>
      <c r="R278" s="64"/>
      <c r="S278" s="64"/>
      <c r="T278" s="64"/>
      <c r="W278" s="65"/>
      <c r="X278" s="64"/>
      <c r="Y278" s="64"/>
      <c r="Z278" s="64"/>
      <c r="AA278" s="64"/>
      <c r="AD278" s="64"/>
      <c r="AE278" s="64"/>
      <c r="AF278" s="64"/>
      <c r="AG278" s="64"/>
      <c r="AH278" s="64"/>
      <c r="AK278" s="62"/>
      <c r="AL278" s="63"/>
      <c r="AM278" s="62"/>
    </row>
    <row r="279" spans="1:39" s="68" customFormat="1">
      <c r="A279" s="67"/>
      <c r="B279" s="66"/>
      <c r="C279" s="66"/>
      <c r="D279" s="66"/>
      <c r="E279" s="66"/>
      <c r="F279" s="65"/>
      <c r="I279" s="64"/>
      <c r="J279" s="64"/>
      <c r="K279" s="64"/>
      <c r="L279" s="64"/>
      <c r="M279" s="64"/>
      <c r="P279" s="64"/>
      <c r="Q279" s="64"/>
      <c r="R279" s="64"/>
      <c r="S279" s="64"/>
      <c r="T279" s="64"/>
      <c r="W279" s="65"/>
      <c r="X279" s="64"/>
      <c r="Y279" s="64"/>
      <c r="Z279" s="64"/>
      <c r="AA279" s="64"/>
      <c r="AD279" s="64"/>
      <c r="AE279" s="64"/>
      <c r="AF279" s="64"/>
      <c r="AG279" s="64"/>
      <c r="AH279" s="64"/>
      <c r="AK279" s="62"/>
      <c r="AL279" s="63"/>
      <c r="AM279" s="62"/>
    </row>
    <row r="280" spans="1:39" s="68" customFormat="1">
      <c r="A280" s="67"/>
      <c r="B280" s="66"/>
      <c r="C280" s="66"/>
      <c r="D280" s="66"/>
      <c r="E280" s="66"/>
      <c r="F280" s="65"/>
      <c r="I280" s="64"/>
      <c r="J280" s="64"/>
      <c r="K280" s="64"/>
      <c r="L280" s="64"/>
      <c r="M280" s="64"/>
      <c r="P280" s="64"/>
      <c r="Q280" s="64"/>
      <c r="R280" s="64"/>
      <c r="S280" s="64"/>
      <c r="T280" s="64"/>
      <c r="W280" s="65"/>
      <c r="X280" s="64"/>
      <c r="Y280" s="64"/>
      <c r="Z280" s="64"/>
      <c r="AA280" s="64"/>
      <c r="AD280" s="64"/>
      <c r="AE280" s="64"/>
      <c r="AF280" s="64"/>
      <c r="AG280" s="64"/>
      <c r="AH280" s="64"/>
      <c r="AK280" s="62"/>
      <c r="AL280" s="63"/>
      <c r="AM280" s="62"/>
    </row>
    <row r="281" spans="1:39" s="68" customFormat="1">
      <c r="A281" s="67"/>
      <c r="B281" s="66"/>
      <c r="C281" s="66"/>
      <c r="D281" s="66"/>
      <c r="E281" s="66"/>
      <c r="F281" s="65"/>
      <c r="I281" s="64"/>
      <c r="J281" s="64"/>
      <c r="K281" s="64"/>
      <c r="L281" s="64"/>
      <c r="M281" s="64"/>
      <c r="P281" s="64"/>
      <c r="Q281" s="64"/>
      <c r="R281" s="64"/>
      <c r="S281" s="64"/>
      <c r="T281" s="64"/>
      <c r="W281" s="65"/>
      <c r="X281" s="64"/>
      <c r="Y281" s="64"/>
      <c r="Z281" s="64"/>
      <c r="AA281" s="64"/>
      <c r="AD281" s="64"/>
      <c r="AE281" s="64"/>
      <c r="AF281" s="64"/>
      <c r="AG281" s="64"/>
      <c r="AH281" s="64"/>
      <c r="AK281" s="62"/>
      <c r="AL281" s="63"/>
      <c r="AM281" s="62"/>
    </row>
    <row r="282" spans="1:39" s="68" customFormat="1">
      <c r="A282" s="67"/>
      <c r="B282" s="66"/>
      <c r="C282" s="66"/>
      <c r="D282" s="66"/>
      <c r="E282" s="66"/>
      <c r="F282" s="65"/>
      <c r="I282" s="64"/>
      <c r="J282" s="64"/>
      <c r="K282" s="64"/>
      <c r="L282" s="64"/>
      <c r="M282" s="64"/>
      <c r="P282" s="64"/>
      <c r="Q282" s="64"/>
      <c r="R282" s="64"/>
      <c r="S282" s="64"/>
      <c r="T282" s="64"/>
      <c r="W282" s="65"/>
      <c r="X282" s="64"/>
      <c r="Y282" s="64"/>
      <c r="Z282" s="64"/>
      <c r="AA282" s="64"/>
      <c r="AD282" s="64"/>
      <c r="AE282" s="64"/>
      <c r="AF282" s="64"/>
      <c r="AG282" s="64"/>
      <c r="AH282" s="64"/>
      <c r="AK282" s="62"/>
      <c r="AL282" s="63"/>
      <c r="AM282" s="62"/>
    </row>
    <row r="283" spans="1:39" s="68" customFormat="1">
      <c r="A283" s="67"/>
      <c r="B283" s="66"/>
      <c r="C283" s="66"/>
      <c r="D283" s="66"/>
      <c r="E283" s="66"/>
      <c r="F283" s="65"/>
      <c r="I283" s="64"/>
      <c r="J283" s="64"/>
      <c r="K283" s="64"/>
      <c r="L283" s="64"/>
      <c r="M283" s="64"/>
      <c r="P283" s="64"/>
      <c r="Q283" s="64"/>
      <c r="R283" s="64"/>
      <c r="S283" s="64"/>
      <c r="T283" s="64"/>
      <c r="W283" s="65"/>
      <c r="X283" s="64"/>
      <c r="Y283" s="64"/>
      <c r="Z283" s="64"/>
      <c r="AA283" s="64"/>
      <c r="AD283" s="64"/>
      <c r="AE283" s="64"/>
      <c r="AF283" s="64"/>
      <c r="AG283" s="64"/>
      <c r="AH283" s="64"/>
      <c r="AK283" s="62"/>
      <c r="AL283" s="63"/>
      <c r="AM283" s="62"/>
    </row>
    <row r="284" spans="1:39" s="68" customFormat="1">
      <c r="A284" s="67"/>
      <c r="B284" s="66"/>
      <c r="C284" s="66"/>
      <c r="D284" s="66"/>
      <c r="E284" s="66"/>
      <c r="F284" s="65"/>
      <c r="I284" s="64"/>
      <c r="J284" s="64"/>
      <c r="K284" s="64"/>
      <c r="L284" s="64"/>
      <c r="M284" s="64"/>
      <c r="P284" s="64"/>
      <c r="Q284" s="64"/>
      <c r="R284" s="64"/>
      <c r="S284" s="64"/>
      <c r="T284" s="64"/>
      <c r="W284" s="65"/>
      <c r="X284" s="64"/>
      <c r="Y284" s="64"/>
      <c r="Z284" s="64"/>
      <c r="AA284" s="64"/>
      <c r="AD284" s="64"/>
      <c r="AE284" s="64"/>
      <c r="AF284" s="64"/>
      <c r="AG284" s="64"/>
      <c r="AH284" s="64"/>
      <c r="AK284" s="62"/>
      <c r="AL284" s="63"/>
      <c r="AM284" s="62"/>
    </row>
    <row r="285" spans="1:39" s="68" customFormat="1">
      <c r="A285" s="67"/>
      <c r="B285" s="66"/>
      <c r="C285" s="66"/>
      <c r="D285" s="66"/>
      <c r="E285" s="66"/>
      <c r="F285" s="65"/>
      <c r="I285" s="64"/>
      <c r="J285" s="64"/>
      <c r="K285" s="64"/>
      <c r="L285" s="64"/>
      <c r="M285" s="64"/>
      <c r="P285" s="64"/>
      <c r="Q285" s="64"/>
      <c r="R285" s="64"/>
      <c r="S285" s="64"/>
      <c r="T285" s="64"/>
      <c r="W285" s="65"/>
      <c r="X285" s="64"/>
      <c r="Y285" s="64"/>
      <c r="Z285" s="64"/>
      <c r="AA285" s="64"/>
      <c r="AD285" s="64"/>
      <c r="AE285" s="64"/>
      <c r="AF285" s="64"/>
      <c r="AG285" s="64"/>
      <c r="AH285" s="64"/>
      <c r="AK285" s="62"/>
      <c r="AL285" s="63"/>
      <c r="AM285" s="62"/>
    </row>
    <row r="286" spans="1:39" s="68" customFormat="1">
      <c r="A286" s="67"/>
      <c r="B286" s="66"/>
      <c r="C286" s="66"/>
      <c r="D286" s="66"/>
      <c r="E286" s="66"/>
      <c r="F286" s="65"/>
      <c r="I286" s="64"/>
      <c r="J286" s="64"/>
      <c r="K286" s="64"/>
      <c r="L286" s="64"/>
      <c r="M286" s="64"/>
      <c r="P286" s="64"/>
      <c r="Q286" s="64"/>
      <c r="R286" s="64"/>
      <c r="S286" s="64"/>
      <c r="T286" s="64"/>
      <c r="W286" s="65"/>
      <c r="X286" s="64"/>
      <c r="Y286" s="64"/>
      <c r="Z286" s="64"/>
      <c r="AA286" s="64"/>
      <c r="AD286" s="64"/>
      <c r="AE286" s="64"/>
      <c r="AF286" s="64"/>
      <c r="AG286" s="64"/>
      <c r="AH286" s="64"/>
      <c r="AK286" s="62"/>
      <c r="AL286" s="63"/>
      <c r="AM286" s="62"/>
    </row>
    <row r="287" spans="1:39" s="68" customFormat="1">
      <c r="A287" s="67"/>
      <c r="B287" s="66"/>
      <c r="C287" s="66"/>
      <c r="D287" s="66"/>
      <c r="E287" s="66"/>
      <c r="F287" s="65"/>
      <c r="I287" s="64"/>
      <c r="J287" s="64"/>
      <c r="K287" s="64"/>
      <c r="L287" s="64"/>
      <c r="M287" s="64"/>
      <c r="P287" s="64"/>
      <c r="Q287" s="64"/>
      <c r="R287" s="64"/>
      <c r="S287" s="64"/>
      <c r="T287" s="64"/>
      <c r="W287" s="65"/>
      <c r="X287" s="64"/>
      <c r="Y287" s="64"/>
      <c r="Z287" s="64"/>
      <c r="AA287" s="64"/>
      <c r="AD287" s="64"/>
      <c r="AE287" s="64"/>
      <c r="AF287" s="64"/>
      <c r="AG287" s="64"/>
      <c r="AH287" s="64"/>
      <c r="AK287" s="62"/>
      <c r="AL287" s="63"/>
      <c r="AM287" s="62"/>
    </row>
    <row r="288" spans="1:39" s="68" customFormat="1">
      <c r="A288" s="67"/>
      <c r="B288" s="66"/>
      <c r="C288" s="66"/>
      <c r="D288" s="66"/>
      <c r="E288" s="66"/>
      <c r="F288" s="65"/>
      <c r="I288" s="64"/>
      <c r="J288" s="64"/>
      <c r="K288" s="64"/>
      <c r="L288" s="64"/>
      <c r="M288" s="64"/>
      <c r="P288" s="64"/>
      <c r="Q288" s="64"/>
      <c r="R288" s="64"/>
      <c r="S288" s="64"/>
      <c r="T288" s="64"/>
      <c r="W288" s="65"/>
      <c r="X288" s="64"/>
      <c r="Y288" s="64"/>
      <c r="Z288" s="64"/>
      <c r="AA288" s="64"/>
      <c r="AD288" s="64"/>
      <c r="AE288" s="64"/>
      <c r="AF288" s="64"/>
      <c r="AG288" s="64"/>
      <c r="AH288" s="64"/>
      <c r="AK288" s="62"/>
      <c r="AL288" s="63"/>
      <c r="AM288" s="62"/>
    </row>
    <row r="289" spans="1:39" s="68" customFormat="1">
      <c r="A289" s="67"/>
      <c r="B289" s="66"/>
      <c r="C289" s="66"/>
      <c r="D289" s="66"/>
      <c r="E289" s="66"/>
      <c r="F289" s="65"/>
      <c r="I289" s="64"/>
      <c r="J289" s="64"/>
      <c r="K289" s="64"/>
      <c r="L289" s="64"/>
      <c r="M289" s="64"/>
      <c r="P289" s="64"/>
      <c r="Q289" s="64"/>
      <c r="R289" s="64"/>
      <c r="S289" s="64"/>
      <c r="T289" s="64"/>
      <c r="W289" s="65"/>
      <c r="X289" s="64"/>
      <c r="Y289" s="64"/>
      <c r="Z289" s="64"/>
      <c r="AA289" s="64"/>
      <c r="AD289" s="64"/>
      <c r="AE289" s="64"/>
      <c r="AF289" s="64"/>
      <c r="AG289" s="64"/>
      <c r="AH289" s="64"/>
      <c r="AK289" s="62"/>
      <c r="AL289" s="63"/>
      <c r="AM289" s="62"/>
    </row>
    <row r="290" spans="1:39" s="68" customFormat="1">
      <c r="A290" s="67"/>
      <c r="B290" s="66"/>
      <c r="C290" s="66"/>
      <c r="D290" s="66"/>
      <c r="E290" s="66"/>
      <c r="F290" s="65"/>
      <c r="I290" s="64"/>
      <c r="J290" s="64"/>
      <c r="K290" s="64"/>
      <c r="L290" s="64"/>
      <c r="M290" s="64"/>
      <c r="P290" s="64"/>
      <c r="Q290" s="64"/>
      <c r="R290" s="64"/>
      <c r="S290" s="64"/>
      <c r="T290" s="64"/>
      <c r="W290" s="65"/>
      <c r="X290" s="64"/>
      <c r="Y290" s="64"/>
      <c r="Z290" s="64"/>
      <c r="AA290" s="64"/>
      <c r="AD290" s="64"/>
      <c r="AE290" s="64"/>
      <c r="AF290" s="64"/>
      <c r="AG290" s="64"/>
      <c r="AH290" s="64"/>
      <c r="AK290" s="62"/>
      <c r="AL290" s="63"/>
      <c r="AM290" s="62"/>
    </row>
    <row r="291" spans="1:39" s="68" customFormat="1">
      <c r="A291" s="67"/>
      <c r="B291" s="66"/>
      <c r="C291" s="66"/>
      <c r="D291" s="66"/>
      <c r="E291" s="66"/>
      <c r="F291" s="65"/>
      <c r="I291" s="64"/>
      <c r="J291" s="64"/>
      <c r="K291" s="64"/>
      <c r="L291" s="64"/>
      <c r="M291" s="64"/>
      <c r="P291" s="64"/>
      <c r="Q291" s="64"/>
      <c r="R291" s="64"/>
      <c r="S291" s="64"/>
      <c r="T291" s="64"/>
      <c r="W291" s="65"/>
      <c r="X291" s="64"/>
      <c r="Y291" s="64"/>
      <c r="Z291" s="64"/>
      <c r="AA291" s="64"/>
      <c r="AD291" s="64"/>
      <c r="AE291" s="64"/>
      <c r="AF291" s="64"/>
      <c r="AG291" s="64"/>
      <c r="AH291" s="64"/>
      <c r="AK291" s="62"/>
      <c r="AL291" s="63"/>
      <c r="AM291" s="62"/>
    </row>
    <row r="292" spans="1:39" s="68" customFormat="1">
      <c r="A292" s="67"/>
      <c r="B292" s="66"/>
      <c r="C292" s="66"/>
      <c r="D292" s="66"/>
      <c r="E292" s="66"/>
      <c r="F292" s="65"/>
      <c r="I292" s="64"/>
      <c r="J292" s="64"/>
      <c r="K292" s="64"/>
      <c r="L292" s="64"/>
      <c r="M292" s="64"/>
      <c r="P292" s="64"/>
      <c r="Q292" s="64"/>
      <c r="R292" s="64"/>
      <c r="S292" s="64"/>
      <c r="T292" s="64"/>
      <c r="W292" s="65"/>
      <c r="X292" s="64"/>
      <c r="Y292" s="64"/>
      <c r="Z292" s="64"/>
      <c r="AA292" s="64"/>
      <c r="AD292" s="64"/>
      <c r="AE292" s="64"/>
      <c r="AF292" s="64"/>
      <c r="AG292" s="64"/>
      <c r="AH292" s="64"/>
      <c r="AK292" s="62"/>
      <c r="AL292" s="63"/>
      <c r="AM292" s="62"/>
    </row>
    <row r="293" spans="1:39" s="68" customFormat="1">
      <c r="A293" s="67"/>
      <c r="B293" s="66"/>
      <c r="C293" s="66"/>
      <c r="D293" s="66"/>
      <c r="E293" s="66"/>
      <c r="F293" s="65"/>
      <c r="I293" s="64"/>
      <c r="J293" s="64"/>
      <c r="K293" s="64"/>
      <c r="L293" s="64"/>
      <c r="M293" s="64"/>
      <c r="P293" s="64"/>
      <c r="Q293" s="64"/>
      <c r="R293" s="64"/>
      <c r="S293" s="64"/>
      <c r="T293" s="64"/>
      <c r="W293" s="65"/>
      <c r="X293" s="64"/>
      <c r="Y293" s="64"/>
      <c r="Z293" s="64"/>
      <c r="AA293" s="64"/>
      <c r="AD293" s="64"/>
      <c r="AE293" s="64"/>
      <c r="AF293" s="64"/>
      <c r="AG293" s="64"/>
      <c r="AH293" s="64"/>
      <c r="AK293" s="62"/>
      <c r="AL293" s="63"/>
      <c r="AM293" s="62"/>
    </row>
    <row r="294" spans="1:39" s="68" customFormat="1">
      <c r="A294" s="67"/>
      <c r="B294" s="66"/>
      <c r="C294" s="66"/>
      <c r="D294" s="66"/>
      <c r="E294" s="66"/>
      <c r="F294" s="65"/>
      <c r="I294" s="64"/>
      <c r="J294" s="64"/>
      <c r="K294" s="64"/>
      <c r="L294" s="64"/>
      <c r="M294" s="64"/>
      <c r="P294" s="64"/>
      <c r="Q294" s="64"/>
      <c r="R294" s="64"/>
      <c r="S294" s="64"/>
      <c r="T294" s="64"/>
      <c r="W294" s="65"/>
      <c r="X294" s="64"/>
      <c r="Y294" s="64"/>
      <c r="Z294" s="64"/>
      <c r="AA294" s="64"/>
      <c r="AD294" s="64"/>
      <c r="AE294" s="64"/>
      <c r="AF294" s="64"/>
      <c r="AG294" s="64"/>
      <c r="AH294" s="64"/>
      <c r="AK294" s="62"/>
      <c r="AL294" s="63"/>
      <c r="AM294" s="62"/>
    </row>
    <row r="295" spans="1:39" s="68" customFormat="1">
      <c r="A295" s="67"/>
      <c r="B295" s="66"/>
      <c r="C295" s="66"/>
      <c r="D295" s="66"/>
      <c r="E295" s="66"/>
      <c r="F295" s="65"/>
      <c r="I295" s="64"/>
      <c r="J295" s="64"/>
      <c r="K295" s="64"/>
      <c r="L295" s="64"/>
      <c r="M295" s="64"/>
      <c r="P295" s="64"/>
      <c r="Q295" s="64"/>
      <c r="R295" s="64"/>
      <c r="S295" s="64"/>
      <c r="T295" s="64"/>
      <c r="W295" s="65"/>
      <c r="X295" s="64"/>
      <c r="Y295" s="64"/>
      <c r="Z295" s="64"/>
      <c r="AA295" s="64"/>
      <c r="AD295" s="64"/>
      <c r="AE295" s="64"/>
      <c r="AF295" s="64"/>
      <c r="AG295" s="64"/>
      <c r="AH295" s="64"/>
      <c r="AK295" s="62"/>
      <c r="AL295" s="63"/>
      <c r="AM295" s="62"/>
    </row>
    <row r="296" spans="1:39" s="68" customFormat="1">
      <c r="A296" s="67"/>
      <c r="B296" s="66"/>
      <c r="C296" s="66"/>
      <c r="D296" s="66"/>
      <c r="E296" s="66"/>
      <c r="F296" s="65"/>
      <c r="I296" s="64"/>
      <c r="J296" s="64"/>
      <c r="K296" s="64"/>
      <c r="L296" s="64"/>
      <c r="M296" s="64"/>
      <c r="P296" s="64"/>
      <c r="Q296" s="64"/>
      <c r="R296" s="64"/>
      <c r="S296" s="64"/>
      <c r="T296" s="64"/>
      <c r="W296" s="65"/>
      <c r="X296" s="64"/>
      <c r="Y296" s="64"/>
      <c r="Z296" s="64"/>
      <c r="AA296" s="64"/>
      <c r="AD296" s="64"/>
      <c r="AE296" s="64"/>
      <c r="AF296" s="64"/>
      <c r="AG296" s="64"/>
      <c r="AH296" s="64"/>
      <c r="AK296" s="62"/>
      <c r="AL296" s="63"/>
      <c r="AM296" s="62"/>
    </row>
    <row r="297" spans="1:39" s="68" customFormat="1">
      <c r="A297" s="67"/>
      <c r="B297" s="66"/>
      <c r="C297" s="66"/>
      <c r="D297" s="66"/>
      <c r="E297" s="66"/>
      <c r="F297" s="65"/>
      <c r="I297" s="64"/>
      <c r="J297" s="64"/>
      <c r="K297" s="64"/>
      <c r="L297" s="64"/>
      <c r="M297" s="64"/>
      <c r="P297" s="64"/>
      <c r="Q297" s="64"/>
      <c r="R297" s="64"/>
      <c r="S297" s="64"/>
      <c r="T297" s="64"/>
      <c r="W297" s="65"/>
      <c r="X297" s="64"/>
      <c r="Y297" s="64"/>
      <c r="Z297" s="64"/>
      <c r="AA297" s="64"/>
      <c r="AD297" s="64"/>
      <c r="AE297" s="64"/>
      <c r="AF297" s="64"/>
      <c r="AG297" s="64"/>
      <c r="AH297" s="64"/>
      <c r="AK297" s="62"/>
      <c r="AL297" s="63"/>
      <c r="AM297" s="62"/>
    </row>
    <row r="298" spans="1:39" s="68" customFormat="1">
      <c r="A298" s="67"/>
      <c r="B298" s="66"/>
      <c r="C298" s="66"/>
      <c r="D298" s="66"/>
      <c r="E298" s="66"/>
      <c r="F298" s="65"/>
      <c r="I298" s="64"/>
      <c r="J298" s="64"/>
      <c r="K298" s="64"/>
      <c r="L298" s="64"/>
      <c r="M298" s="64"/>
      <c r="P298" s="64"/>
      <c r="Q298" s="64"/>
      <c r="R298" s="64"/>
      <c r="S298" s="64"/>
      <c r="T298" s="64"/>
      <c r="W298" s="65"/>
      <c r="X298" s="64"/>
      <c r="Y298" s="64"/>
      <c r="Z298" s="64"/>
      <c r="AA298" s="64"/>
      <c r="AD298" s="64"/>
      <c r="AE298" s="64"/>
      <c r="AF298" s="64"/>
      <c r="AG298" s="64"/>
      <c r="AH298" s="64"/>
      <c r="AK298" s="62"/>
      <c r="AL298" s="63"/>
      <c r="AM298" s="62"/>
    </row>
    <row r="299" spans="1:39" s="68" customFormat="1">
      <c r="A299" s="67"/>
      <c r="B299" s="66"/>
      <c r="C299" s="66"/>
      <c r="D299" s="66"/>
      <c r="E299" s="66"/>
      <c r="F299" s="65"/>
      <c r="I299" s="64"/>
      <c r="J299" s="64"/>
      <c r="K299" s="64"/>
      <c r="L299" s="64"/>
      <c r="M299" s="64"/>
      <c r="P299" s="64"/>
      <c r="Q299" s="64"/>
      <c r="R299" s="64"/>
      <c r="S299" s="64"/>
      <c r="T299" s="64"/>
      <c r="W299" s="65"/>
      <c r="X299" s="64"/>
      <c r="Y299" s="64"/>
      <c r="Z299" s="64"/>
      <c r="AA299" s="64"/>
      <c r="AD299" s="64"/>
      <c r="AE299" s="64"/>
      <c r="AF299" s="64"/>
      <c r="AG299" s="64"/>
      <c r="AH299" s="64"/>
      <c r="AK299" s="62"/>
      <c r="AL299" s="63"/>
      <c r="AM299" s="62"/>
    </row>
    <row r="300" spans="1:39" s="68" customFormat="1">
      <c r="A300" s="67"/>
      <c r="B300" s="66"/>
      <c r="C300" s="66"/>
      <c r="D300" s="66"/>
      <c r="E300" s="66"/>
      <c r="F300" s="65"/>
      <c r="I300" s="64"/>
      <c r="J300" s="64"/>
      <c r="K300" s="64"/>
      <c r="L300" s="64"/>
      <c r="M300" s="64"/>
      <c r="P300" s="64"/>
      <c r="Q300" s="64"/>
      <c r="R300" s="64"/>
      <c r="S300" s="64"/>
      <c r="T300" s="64"/>
      <c r="W300" s="65"/>
      <c r="X300" s="64"/>
      <c r="Y300" s="64"/>
      <c r="Z300" s="64"/>
      <c r="AA300" s="64"/>
      <c r="AD300" s="64"/>
      <c r="AE300" s="64"/>
      <c r="AF300" s="64"/>
      <c r="AG300" s="64"/>
      <c r="AH300" s="64"/>
      <c r="AK300" s="62"/>
      <c r="AL300" s="63"/>
      <c r="AM300" s="62"/>
    </row>
    <row r="301" spans="1:39" s="68" customFormat="1">
      <c r="A301" s="67"/>
      <c r="B301" s="66"/>
      <c r="C301" s="66"/>
      <c r="D301" s="66"/>
      <c r="E301" s="66"/>
      <c r="F301" s="65"/>
      <c r="I301" s="64"/>
      <c r="J301" s="64"/>
      <c r="K301" s="64"/>
      <c r="L301" s="64"/>
      <c r="M301" s="64"/>
      <c r="P301" s="64"/>
      <c r="Q301" s="64"/>
      <c r="R301" s="64"/>
      <c r="S301" s="64"/>
      <c r="T301" s="64"/>
      <c r="W301" s="65"/>
      <c r="X301" s="64"/>
      <c r="Y301" s="64"/>
      <c r="Z301" s="64"/>
      <c r="AA301" s="64"/>
      <c r="AD301" s="64"/>
      <c r="AE301" s="64"/>
      <c r="AF301" s="64"/>
      <c r="AG301" s="64"/>
      <c r="AH301" s="64"/>
      <c r="AK301" s="62"/>
      <c r="AL301" s="63"/>
      <c r="AM301" s="62"/>
    </row>
    <row r="302" spans="1:39" s="68" customFormat="1">
      <c r="A302" s="67"/>
      <c r="B302" s="66"/>
      <c r="C302" s="66"/>
      <c r="D302" s="66"/>
      <c r="E302" s="66"/>
      <c r="F302" s="65"/>
      <c r="I302" s="64"/>
      <c r="J302" s="64"/>
      <c r="K302" s="64"/>
      <c r="L302" s="64"/>
      <c r="M302" s="64"/>
      <c r="P302" s="64"/>
      <c r="Q302" s="64"/>
      <c r="R302" s="64"/>
      <c r="S302" s="64"/>
      <c r="T302" s="64"/>
      <c r="W302" s="65"/>
      <c r="X302" s="64"/>
      <c r="Y302" s="64"/>
      <c r="Z302" s="64"/>
      <c r="AA302" s="64"/>
      <c r="AD302" s="64"/>
      <c r="AE302" s="64"/>
      <c r="AF302" s="64"/>
      <c r="AG302" s="64"/>
      <c r="AH302" s="64"/>
      <c r="AK302" s="62"/>
      <c r="AL302" s="63"/>
      <c r="AM302" s="62"/>
    </row>
    <row r="303" spans="1:39" s="68" customFormat="1">
      <c r="A303" s="67"/>
      <c r="B303" s="66"/>
      <c r="C303" s="66"/>
      <c r="D303" s="66"/>
      <c r="E303" s="66"/>
      <c r="F303" s="65"/>
      <c r="I303" s="64"/>
      <c r="J303" s="64"/>
      <c r="K303" s="64"/>
      <c r="L303" s="64"/>
      <c r="M303" s="64"/>
      <c r="P303" s="64"/>
      <c r="Q303" s="64"/>
      <c r="R303" s="64"/>
      <c r="S303" s="64"/>
      <c r="T303" s="64"/>
      <c r="W303" s="65"/>
      <c r="X303" s="64"/>
      <c r="Y303" s="64"/>
      <c r="Z303" s="64"/>
      <c r="AA303" s="64"/>
      <c r="AD303" s="64"/>
      <c r="AE303" s="64"/>
      <c r="AF303" s="64"/>
      <c r="AG303" s="64"/>
      <c r="AH303" s="64"/>
      <c r="AK303" s="62"/>
      <c r="AL303" s="63"/>
      <c r="AM303" s="62"/>
    </row>
    <row r="304" spans="1:39" s="68" customFormat="1">
      <c r="A304" s="67"/>
      <c r="B304" s="66"/>
      <c r="C304" s="66"/>
      <c r="D304" s="66"/>
      <c r="E304" s="66"/>
      <c r="F304" s="65"/>
      <c r="I304" s="64"/>
      <c r="J304" s="64"/>
      <c r="K304" s="64"/>
      <c r="L304" s="64"/>
      <c r="M304" s="64"/>
      <c r="P304" s="64"/>
      <c r="Q304" s="64"/>
      <c r="R304" s="64"/>
      <c r="S304" s="64"/>
      <c r="T304" s="64"/>
      <c r="W304" s="65"/>
      <c r="X304" s="64"/>
      <c r="Y304" s="64"/>
      <c r="Z304" s="64"/>
      <c r="AA304" s="64"/>
      <c r="AD304" s="64"/>
      <c r="AE304" s="64"/>
      <c r="AF304" s="64"/>
      <c r="AG304" s="64"/>
      <c r="AH304" s="64"/>
      <c r="AK304" s="62"/>
      <c r="AL304" s="63"/>
      <c r="AM304" s="62"/>
    </row>
    <row r="305" spans="1:39" s="68" customFormat="1">
      <c r="A305" s="67"/>
      <c r="B305" s="66"/>
      <c r="C305" s="66"/>
      <c r="D305" s="66"/>
      <c r="E305" s="66"/>
      <c r="F305" s="65"/>
      <c r="I305" s="64"/>
      <c r="J305" s="64"/>
      <c r="K305" s="64"/>
      <c r="L305" s="64"/>
      <c r="M305" s="64"/>
      <c r="P305" s="64"/>
      <c r="Q305" s="64"/>
      <c r="R305" s="64"/>
      <c r="S305" s="64"/>
      <c r="T305" s="64"/>
      <c r="W305" s="65"/>
      <c r="X305" s="64"/>
      <c r="Y305" s="64"/>
      <c r="Z305" s="64"/>
      <c r="AA305" s="64"/>
      <c r="AD305" s="64"/>
      <c r="AE305" s="64"/>
      <c r="AF305" s="64"/>
      <c r="AG305" s="64"/>
      <c r="AH305" s="64"/>
      <c r="AK305" s="62"/>
      <c r="AL305" s="63"/>
      <c r="AM305" s="62"/>
    </row>
    <row r="306" spans="1:39" s="68" customFormat="1">
      <c r="A306" s="67"/>
      <c r="B306" s="66"/>
      <c r="C306" s="66"/>
      <c r="D306" s="66"/>
      <c r="E306" s="66"/>
      <c r="F306" s="65"/>
      <c r="I306" s="64"/>
      <c r="J306" s="64"/>
      <c r="K306" s="64"/>
      <c r="L306" s="64"/>
      <c r="M306" s="64"/>
      <c r="P306" s="64"/>
      <c r="Q306" s="64"/>
      <c r="R306" s="64"/>
      <c r="S306" s="64"/>
      <c r="T306" s="64"/>
      <c r="W306" s="65"/>
      <c r="X306" s="64"/>
      <c r="Y306" s="64"/>
      <c r="Z306" s="64"/>
      <c r="AA306" s="64"/>
      <c r="AD306" s="64"/>
      <c r="AE306" s="64"/>
      <c r="AF306" s="64"/>
      <c r="AG306" s="64"/>
      <c r="AH306" s="64"/>
      <c r="AK306" s="62"/>
      <c r="AL306" s="63"/>
      <c r="AM306" s="62"/>
    </row>
    <row r="307" spans="1:39" s="68" customFormat="1">
      <c r="A307" s="67"/>
      <c r="B307" s="66"/>
      <c r="C307" s="66"/>
      <c r="D307" s="66"/>
      <c r="E307" s="66"/>
      <c r="F307" s="65"/>
      <c r="I307" s="64"/>
      <c r="J307" s="64"/>
      <c r="K307" s="64"/>
      <c r="L307" s="64"/>
      <c r="M307" s="64"/>
      <c r="P307" s="64"/>
      <c r="Q307" s="64"/>
      <c r="R307" s="64"/>
      <c r="S307" s="64"/>
      <c r="T307" s="64"/>
      <c r="W307" s="65"/>
      <c r="X307" s="64"/>
      <c r="Y307" s="64"/>
      <c r="Z307" s="64"/>
      <c r="AA307" s="64"/>
      <c r="AD307" s="64"/>
      <c r="AE307" s="64"/>
      <c r="AF307" s="64"/>
      <c r="AG307" s="64"/>
      <c r="AH307" s="64"/>
      <c r="AK307" s="62"/>
      <c r="AL307" s="63"/>
      <c r="AM307" s="62"/>
    </row>
    <row r="308" spans="1:39" s="68" customFormat="1">
      <c r="A308" s="67"/>
      <c r="B308" s="66"/>
      <c r="C308" s="66"/>
      <c r="D308" s="66"/>
      <c r="E308" s="66"/>
      <c r="F308" s="65"/>
      <c r="I308" s="64"/>
      <c r="J308" s="64"/>
      <c r="K308" s="64"/>
      <c r="L308" s="64"/>
      <c r="M308" s="64"/>
      <c r="P308" s="64"/>
      <c r="Q308" s="64"/>
      <c r="R308" s="64"/>
      <c r="S308" s="64"/>
      <c r="T308" s="64"/>
      <c r="W308" s="65"/>
      <c r="X308" s="64"/>
      <c r="Y308" s="64"/>
      <c r="Z308" s="64"/>
      <c r="AA308" s="64"/>
      <c r="AD308" s="64"/>
      <c r="AE308" s="64"/>
      <c r="AF308" s="64"/>
      <c r="AG308" s="64"/>
      <c r="AH308" s="64"/>
      <c r="AK308" s="62"/>
      <c r="AL308" s="63"/>
      <c r="AM308" s="62"/>
    </row>
    <row r="309" spans="1:39" s="68" customFormat="1">
      <c r="A309" s="67"/>
      <c r="B309" s="66"/>
      <c r="C309" s="66"/>
      <c r="D309" s="66"/>
      <c r="E309" s="66"/>
      <c r="F309" s="65"/>
      <c r="I309" s="64"/>
      <c r="J309" s="64"/>
      <c r="K309" s="64"/>
      <c r="L309" s="64"/>
      <c r="M309" s="64"/>
      <c r="P309" s="64"/>
      <c r="Q309" s="64"/>
      <c r="R309" s="64"/>
      <c r="S309" s="64"/>
      <c r="T309" s="64"/>
      <c r="W309" s="65"/>
      <c r="X309" s="64"/>
      <c r="Y309" s="64"/>
      <c r="Z309" s="64"/>
      <c r="AA309" s="64"/>
      <c r="AD309" s="64"/>
      <c r="AE309" s="64"/>
      <c r="AF309" s="64"/>
      <c r="AG309" s="64"/>
      <c r="AH309" s="64"/>
      <c r="AK309" s="62"/>
      <c r="AL309" s="63"/>
      <c r="AM309" s="62"/>
    </row>
    <row r="310" spans="1:39" s="68" customFormat="1">
      <c r="A310" s="67"/>
      <c r="B310" s="66"/>
      <c r="C310" s="66"/>
      <c r="D310" s="66"/>
      <c r="E310" s="66"/>
      <c r="F310" s="65"/>
      <c r="I310" s="64"/>
      <c r="J310" s="64"/>
      <c r="K310" s="64"/>
      <c r="L310" s="64"/>
      <c r="M310" s="64"/>
      <c r="P310" s="64"/>
      <c r="Q310" s="64"/>
      <c r="R310" s="64"/>
      <c r="S310" s="64"/>
      <c r="T310" s="64"/>
      <c r="W310" s="65"/>
      <c r="X310" s="64"/>
      <c r="Y310" s="64"/>
      <c r="Z310" s="64"/>
      <c r="AA310" s="64"/>
      <c r="AD310" s="64"/>
      <c r="AE310" s="64"/>
      <c r="AF310" s="64"/>
      <c r="AG310" s="64"/>
      <c r="AH310" s="64"/>
      <c r="AK310" s="62"/>
      <c r="AL310" s="63"/>
      <c r="AM310" s="62"/>
    </row>
    <row r="311" spans="1:39" s="68" customFormat="1">
      <c r="A311" s="67"/>
      <c r="B311" s="66"/>
      <c r="C311" s="66"/>
      <c r="D311" s="66"/>
      <c r="E311" s="66"/>
      <c r="F311" s="65"/>
      <c r="I311" s="64"/>
      <c r="J311" s="64"/>
      <c r="K311" s="64"/>
      <c r="L311" s="64"/>
      <c r="M311" s="64"/>
      <c r="P311" s="64"/>
      <c r="Q311" s="64"/>
      <c r="R311" s="64"/>
      <c r="S311" s="64"/>
      <c r="T311" s="64"/>
      <c r="W311" s="65"/>
      <c r="X311" s="64"/>
      <c r="Y311" s="64"/>
      <c r="Z311" s="64"/>
      <c r="AA311" s="64"/>
      <c r="AD311" s="64"/>
      <c r="AE311" s="64"/>
      <c r="AF311" s="64"/>
      <c r="AG311" s="64"/>
      <c r="AH311" s="64"/>
      <c r="AK311" s="62"/>
      <c r="AL311" s="63"/>
      <c r="AM311" s="62"/>
    </row>
    <row r="312" spans="1:39" s="68" customFormat="1">
      <c r="A312" s="67"/>
      <c r="B312" s="66"/>
      <c r="C312" s="66"/>
      <c r="D312" s="66"/>
      <c r="E312" s="66"/>
      <c r="F312" s="65"/>
      <c r="I312" s="64"/>
      <c r="J312" s="64"/>
      <c r="K312" s="64"/>
      <c r="L312" s="64"/>
      <c r="M312" s="64"/>
      <c r="P312" s="64"/>
      <c r="Q312" s="64"/>
      <c r="R312" s="64"/>
      <c r="S312" s="64"/>
      <c r="T312" s="64"/>
      <c r="W312" s="65"/>
      <c r="X312" s="64"/>
      <c r="Y312" s="64"/>
      <c r="Z312" s="64"/>
      <c r="AA312" s="64"/>
      <c r="AD312" s="64"/>
      <c r="AE312" s="64"/>
      <c r="AF312" s="64"/>
      <c r="AG312" s="64"/>
      <c r="AH312" s="64"/>
      <c r="AK312" s="62"/>
      <c r="AL312" s="63"/>
      <c r="AM312" s="62"/>
    </row>
    <row r="313" spans="1:39" s="68" customFormat="1">
      <c r="A313" s="67"/>
      <c r="B313" s="66"/>
      <c r="C313" s="66"/>
      <c r="D313" s="66"/>
      <c r="E313" s="66"/>
      <c r="F313" s="65"/>
      <c r="I313" s="64"/>
      <c r="J313" s="64"/>
      <c r="K313" s="64"/>
      <c r="L313" s="64"/>
      <c r="M313" s="64"/>
      <c r="P313" s="64"/>
      <c r="Q313" s="64"/>
      <c r="R313" s="64"/>
      <c r="S313" s="64"/>
      <c r="T313" s="64"/>
      <c r="W313" s="65"/>
      <c r="X313" s="64"/>
      <c r="Y313" s="64"/>
      <c r="Z313" s="64"/>
      <c r="AA313" s="64"/>
      <c r="AD313" s="64"/>
      <c r="AE313" s="64"/>
      <c r="AF313" s="64"/>
      <c r="AG313" s="64"/>
      <c r="AH313" s="64"/>
      <c r="AK313" s="62"/>
      <c r="AL313" s="63"/>
      <c r="AM313" s="62"/>
    </row>
    <row r="314" spans="1:39" s="68" customFormat="1">
      <c r="A314" s="67"/>
      <c r="B314" s="66"/>
      <c r="C314" s="66"/>
      <c r="D314" s="66"/>
      <c r="E314" s="66"/>
      <c r="F314" s="65"/>
      <c r="I314" s="64"/>
      <c r="J314" s="64"/>
      <c r="K314" s="64"/>
      <c r="L314" s="64"/>
      <c r="M314" s="64"/>
      <c r="P314" s="64"/>
      <c r="Q314" s="64"/>
      <c r="R314" s="64"/>
      <c r="S314" s="64"/>
      <c r="T314" s="64"/>
      <c r="W314" s="65"/>
      <c r="X314" s="64"/>
      <c r="Y314" s="64"/>
      <c r="Z314" s="64"/>
      <c r="AA314" s="64"/>
      <c r="AD314" s="64"/>
      <c r="AE314" s="64"/>
      <c r="AF314" s="64"/>
      <c r="AG314" s="64"/>
      <c r="AH314" s="64"/>
      <c r="AK314" s="62"/>
      <c r="AL314" s="63"/>
      <c r="AM314" s="62"/>
    </row>
    <row r="315" spans="1:39" s="68" customFormat="1">
      <c r="A315" s="67"/>
      <c r="B315" s="66"/>
      <c r="C315" s="66"/>
      <c r="D315" s="66"/>
      <c r="E315" s="66"/>
      <c r="F315" s="65"/>
      <c r="I315" s="64"/>
      <c r="J315" s="64"/>
      <c r="K315" s="64"/>
      <c r="L315" s="64"/>
      <c r="M315" s="64"/>
      <c r="P315" s="64"/>
      <c r="Q315" s="64"/>
      <c r="R315" s="64"/>
      <c r="S315" s="64"/>
      <c r="T315" s="64"/>
      <c r="W315" s="65"/>
      <c r="X315" s="64"/>
      <c r="Y315" s="64"/>
      <c r="Z315" s="64"/>
      <c r="AA315" s="64"/>
      <c r="AD315" s="64"/>
      <c r="AE315" s="64"/>
      <c r="AF315" s="64"/>
      <c r="AG315" s="64"/>
      <c r="AH315" s="64"/>
      <c r="AK315" s="62"/>
      <c r="AL315" s="63"/>
      <c r="AM315" s="62"/>
    </row>
    <row r="316" spans="1:39" s="68" customFormat="1">
      <c r="A316" s="67"/>
      <c r="B316" s="66"/>
      <c r="C316" s="66"/>
      <c r="D316" s="66"/>
      <c r="E316" s="66"/>
      <c r="F316" s="65"/>
      <c r="I316" s="64"/>
      <c r="J316" s="64"/>
      <c r="K316" s="64"/>
      <c r="L316" s="64"/>
      <c r="M316" s="64"/>
      <c r="P316" s="64"/>
      <c r="Q316" s="64"/>
      <c r="R316" s="64"/>
      <c r="S316" s="64"/>
      <c r="T316" s="64"/>
      <c r="W316" s="65"/>
      <c r="X316" s="64"/>
      <c r="Y316" s="64"/>
      <c r="Z316" s="64"/>
      <c r="AA316" s="64"/>
      <c r="AD316" s="64"/>
      <c r="AE316" s="64"/>
      <c r="AF316" s="64"/>
      <c r="AG316" s="64"/>
      <c r="AH316" s="64"/>
      <c r="AK316" s="62"/>
      <c r="AL316" s="63"/>
      <c r="AM316" s="62"/>
    </row>
    <row r="317" spans="1:39" s="68" customFormat="1">
      <c r="A317" s="67"/>
      <c r="B317" s="66"/>
      <c r="C317" s="66"/>
      <c r="D317" s="66"/>
      <c r="E317" s="66"/>
      <c r="F317" s="65"/>
      <c r="I317" s="64"/>
      <c r="J317" s="64"/>
      <c r="K317" s="64"/>
      <c r="L317" s="64"/>
      <c r="M317" s="64"/>
      <c r="P317" s="64"/>
      <c r="Q317" s="64"/>
      <c r="R317" s="64"/>
      <c r="S317" s="64"/>
      <c r="T317" s="64"/>
      <c r="W317" s="65"/>
      <c r="X317" s="64"/>
      <c r="Y317" s="64"/>
      <c r="Z317" s="64"/>
      <c r="AA317" s="64"/>
      <c r="AD317" s="64"/>
      <c r="AE317" s="64"/>
      <c r="AF317" s="64"/>
      <c r="AG317" s="64"/>
      <c r="AH317" s="64"/>
      <c r="AK317" s="62"/>
      <c r="AL317" s="63"/>
      <c r="AM317" s="62"/>
    </row>
    <row r="318" spans="1:39" s="68" customFormat="1">
      <c r="A318" s="67"/>
      <c r="B318" s="66"/>
      <c r="C318" s="66"/>
      <c r="D318" s="66"/>
      <c r="E318" s="66"/>
      <c r="F318" s="65"/>
      <c r="I318" s="64"/>
      <c r="J318" s="64"/>
      <c r="K318" s="64"/>
      <c r="L318" s="64"/>
      <c r="M318" s="64"/>
      <c r="P318" s="64"/>
      <c r="Q318" s="64"/>
      <c r="R318" s="64"/>
      <c r="S318" s="64"/>
      <c r="T318" s="64"/>
      <c r="W318" s="65"/>
      <c r="X318" s="64"/>
      <c r="Y318" s="64"/>
      <c r="Z318" s="64"/>
      <c r="AA318" s="64"/>
      <c r="AD318" s="64"/>
      <c r="AE318" s="64"/>
      <c r="AF318" s="64"/>
      <c r="AG318" s="64"/>
      <c r="AH318" s="64"/>
      <c r="AK318" s="62"/>
      <c r="AL318" s="63"/>
      <c r="AM318" s="62"/>
    </row>
    <row r="319" spans="1:39" s="68" customFormat="1">
      <c r="A319" s="67"/>
      <c r="B319" s="66"/>
      <c r="C319" s="66"/>
      <c r="D319" s="66"/>
      <c r="E319" s="66"/>
      <c r="F319" s="65"/>
      <c r="I319" s="64"/>
      <c r="J319" s="64"/>
      <c r="K319" s="64"/>
      <c r="L319" s="64"/>
      <c r="M319" s="64"/>
      <c r="P319" s="64"/>
      <c r="Q319" s="64"/>
      <c r="R319" s="64"/>
      <c r="S319" s="64"/>
      <c r="T319" s="64"/>
      <c r="W319" s="65"/>
      <c r="X319" s="64"/>
      <c r="Y319" s="64"/>
      <c r="Z319" s="64"/>
      <c r="AA319" s="64"/>
      <c r="AD319" s="64"/>
      <c r="AE319" s="64"/>
      <c r="AF319" s="64"/>
      <c r="AG319" s="64"/>
      <c r="AH319" s="64"/>
      <c r="AK319" s="62"/>
      <c r="AL319" s="63"/>
      <c r="AM319" s="62"/>
    </row>
    <row r="320" spans="1:39" s="68" customFormat="1">
      <c r="A320" s="67"/>
      <c r="B320" s="66"/>
      <c r="C320" s="66"/>
      <c r="D320" s="66"/>
      <c r="E320" s="66"/>
      <c r="F320" s="65"/>
      <c r="I320" s="64"/>
      <c r="J320" s="64"/>
      <c r="K320" s="64"/>
      <c r="L320" s="64"/>
      <c r="M320" s="64"/>
      <c r="P320" s="64"/>
      <c r="Q320" s="64"/>
      <c r="R320" s="64"/>
      <c r="S320" s="64"/>
      <c r="T320" s="64"/>
      <c r="W320" s="65"/>
      <c r="X320" s="64"/>
      <c r="Y320" s="64"/>
      <c r="Z320" s="64"/>
      <c r="AA320" s="64"/>
      <c r="AD320" s="64"/>
      <c r="AE320" s="64"/>
      <c r="AF320" s="64"/>
      <c r="AG320" s="64"/>
      <c r="AH320" s="64"/>
      <c r="AK320" s="62"/>
      <c r="AL320" s="63"/>
      <c r="AM320" s="62"/>
    </row>
    <row r="321" spans="1:39" s="68" customFormat="1">
      <c r="A321" s="67"/>
      <c r="B321" s="66"/>
      <c r="C321" s="66"/>
      <c r="D321" s="66"/>
      <c r="E321" s="66"/>
      <c r="F321" s="65"/>
      <c r="I321" s="64"/>
      <c r="J321" s="64"/>
      <c r="K321" s="64"/>
      <c r="L321" s="64"/>
      <c r="M321" s="64"/>
      <c r="P321" s="64"/>
      <c r="Q321" s="64"/>
      <c r="R321" s="64"/>
      <c r="S321" s="64"/>
      <c r="T321" s="64"/>
      <c r="W321" s="65"/>
      <c r="X321" s="64"/>
      <c r="Y321" s="64"/>
      <c r="Z321" s="64"/>
      <c r="AA321" s="64"/>
      <c r="AD321" s="64"/>
      <c r="AE321" s="64"/>
      <c r="AF321" s="64"/>
      <c r="AG321" s="64"/>
      <c r="AH321" s="64"/>
      <c r="AK321" s="62"/>
      <c r="AL321" s="63"/>
      <c r="AM321" s="62"/>
    </row>
    <row r="322" spans="1:39" s="68" customFormat="1">
      <c r="A322" s="67"/>
      <c r="B322" s="66"/>
      <c r="C322" s="66"/>
      <c r="D322" s="66"/>
      <c r="E322" s="66"/>
      <c r="F322" s="65"/>
      <c r="I322" s="64"/>
      <c r="J322" s="64"/>
      <c r="K322" s="64"/>
      <c r="L322" s="64"/>
      <c r="M322" s="64"/>
      <c r="P322" s="64"/>
      <c r="Q322" s="64"/>
      <c r="R322" s="64"/>
      <c r="S322" s="64"/>
      <c r="T322" s="64"/>
      <c r="W322" s="65"/>
      <c r="X322" s="64"/>
      <c r="Y322" s="64"/>
      <c r="Z322" s="64"/>
      <c r="AA322" s="64"/>
      <c r="AD322" s="64"/>
      <c r="AE322" s="64"/>
      <c r="AF322" s="64"/>
      <c r="AG322" s="64"/>
      <c r="AH322" s="64"/>
      <c r="AK322" s="62"/>
      <c r="AL322" s="63"/>
      <c r="AM322" s="62"/>
    </row>
    <row r="323" spans="1:39" s="68" customFormat="1">
      <c r="A323" s="67"/>
      <c r="B323" s="66"/>
      <c r="C323" s="66"/>
      <c r="D323" s="66"/>
      <c r="E323" s="66"/>
      <c r="F323" s="65"/>
      <c r="I323" s="64"/>
      <c r="J323" s="64"/>
      <c r="K323" s="64"/>
      <c r="L323" s="64"/>
      <c r="M323" s="64"/>
      <c r="P323" s="64"/>
      <c r="Q323" s="64"/>
      <c r="R323" s="64"/>
      <c r="S323" s="64"/>
      <c r="T323" s="64"/>
      <c r="W323" s="65"/>
      <c r="X323" s="64"/>
      <c r="Y323" s="64"/>
      <c r="Z323" s="64"/>
      <c r="AA323" s="64"/>
      <c r="AD323" s="64"/>
      <c r="AE323" s="64"/>
      <c r="AF323" s="64"/>
      <c r="AG323" s="64"/>
      <c r="AH323" s="64"/>
      <c r="AK323" s="62"/>
      <c r="AL323" s="63"/>
      <c r="AM323" s="62"/>
    </row>
    <row r="324" spans="1:39" s="68" customFormat="1">
      <c r="A324" s="67"/>
      <c r="B324" s="66"/>
      <c r="C324" s="66"/>
      <c r="D324" s="66"/>
      <c r="E324" s="66"/>
      <c r="F324" s="65"/>
      <c r="I324" s="64"/>
      <c r="J324" s="64"/>
      <c r="K324" s="64"/>
      <c r="L324" s="64"/>
      <c r="M324" s="64"/>
      <c r="P324" s="64"/>
      <c r="Q324" s="64"/>
      <c r="R324" s="64"/>
      <c r="S324" s="64"/>
      <c r="T324" s="64"/>
      <c r="W324" s="65"/>
      <c r="X324" s="64"/>
      <c r="Y324" s="64"/>
      <c r="Z324" s="64"/>
      <c r="AA324" s="64"/>
      <c r="AD324" s="64"/>
      <c r="AE324" s="64"/>
      <c r="AF324" s="64"/>
      <c r="AG324" s="64"/>
      <c r="AH324" s="64"/>
      <c r="AK324" s="62"/>
      <c r="AL324" s="63"/>
      <c r="AM324" s="62"/>
    </row>
    <row r="325" spans="1:39" s="68" customFormat="1">
      <c r="A325" s="67"/>
      <c r="B325" s="66"/>
      <c r="C325" s="66"/>
      <c r="D325" s="66"/>
      <c r="E325" s="66"/>
      <c r="F325" s="65"/>
      <c r="I325" s="64"/>
      <c r="J325" s="64"/>
      <c r="K325" s="64"/>
      <c r="L325" s="64"/>
      <c r="M325" s="64"/>
      <c r="P325" s="64"/>
      <c r="Q325" s="64"/>
      <c r="R325" s="64"/>
      <c r="S325" s="64"/>
      <c r="T325" s="64"/>
      <c r="W325" s="65"/>
      <c r="X325" s="64"/>
      <c r="Y325" s="64"/>
      <c r="Z325" s="64"/>
      <c r="AA325" s="64"/>
      <c r="AD325" s="64"/>
      <c r="AE325" s="64"/>
      <c r="AF325" s="64"/>
      <c r="AG325" s="64"/>
      <c r="AH325" s="64"/>
      <c r="AK325" s="62"/>
      <c r="AL325" s="63"/>
      <c r="AM325" s="62"/>
    </row>
    <row r="326" spans="1:39" s="68" customFormat="1">
      <c r="A326" s="67"/>
      <c r="B326" s="66"/>
      <c r="C326" s="66"/>
      <c r="D326" s="66"/>
      <c r="E326" s="66"/>
      <c r="F326" s="65"/>
      <c r="I326" s="64"/>
      <c r="J326" s="64"/>
      <c r="K326" s="64"/>
      <c r="L326" s="64"/>
      <c r="M326" s="64"/>
      <c r="P326" s="64"/>
      <c r="Q326" s="64"/>
      <c r="R326" s="64"/>
      <c r="S326" s="64"/>
      <c r="T326" s="64"/>
      <c r="W326" s="65"/>
      <c r="X326" s="64"/>
      <c r="Y326" s="64"/>
      <c r="Z326" s="64"/>
      <c r="AA326" s="64"/>
      <c r="AD326" s="64"/>
      <c r="AE326" s="64"/>
      <c r="AF326" s="64"/>
      <c r="AG326" s="64"/>
      <c r="AH326" s="64"/>
      <c r="AK326" s="62"/>
      <c r="AL326" s="63"/>
      <c r="AM326" s="62"/>
    </row>
    <row r="327" spans="1:39" s="68" customFormat="1">
      <c r="A327" s="67"/>
      <c r="B327" s="66"/>
      <c r="C327" s="66"/>
      <c r="D327" s="66"/>
      <c r="E327" s="66"/>
      <c r="F327" s="65"/>
      <c r="I327" s="64"/>
      <c r="J327" s="64"/>
      <c r="K327" s="64"/>
      <c r="L327" s="64"/>
      <c r="M327" s="64"/>
      <c r="P327" s="64"/>
      <c r="Q327" s="64"/>
      <c r="R327" s="64"/>
      <c r="S327" s="64"/>
      <c r="T327" s="64"/>
      <c r="W327" s="65"/>
      <c r="X327" s="64"/>
      <c r="Y327" s="64"/>
      <c r="Z327" s="64"/>
      <c r="AA327" s="64"/>
      <c r="AD327" s="64"/>
      <c r="AE327" s="64"/>
      <c r="AF327" s="64"/>
      <c r="AG327" s="64"/>
      <c r="AH327" s="64"/>
      <c r="AK327" s="62"/>
      <c r="AL327" s="63"/>
      <c r="AM327" s="62"/>
    </row>
    <row r="328" spans="1:39" s="68" customFormat="1">
      <c r="A328" s="67"/>
      <c r="B328" s="66"/>
      <c r="C328" s="66"/>
      <c r="D328" s="66"/>
      <c r="E328" s="66"/>
      <c r="F328" s="65"/>
      <c r="I328" s="64"/>
      <c r="J328" s="64"/>
      <c r="K328" s="64"/>
      <c r="L328" s="64"/>
      <c r="M328" s="64"/>
      <c r="P328" s="64"/>
      <c r="Q328" s="64"/>
      <c r="R328" s="64"/>
      <c r="S328" s="64"/>
      <c r="T328" s="64"/>
      <c r="W328" s="65"/>
      <c r="X328" s="64"/>
      <c r="Y328" s="64"/>
      <c r="Z328" s="64"/>
      <c r="AA328" s="64"/>
      <c r="AD328" s="64"/>
      <c r="AE328" s="64"/>
      <c r="AF328" s="64"/>
      <c r="AG328" s="64"/>
      <c r="AH328" s="64"/>
      <c r="AK328" s="62"/>
      <c r="AL328" s="63"/>
      <c r="AM328" s="62"/>
    </row>
    <row r="329" spans="1:39" s="68" customFormat="1">
      <c r="A329" s="67"/>
      <c r="B329" s="66"/>
      <c r="C329" s="66"/>
      <c r="D329" s="66"/>
      <c r="E329" s="66"/>
      <c r="F329" s="65"/>
      <c r="I329" s="64"/>
      <c r="J329" s="64"/>
      <c r="K329" s="64"/>
      <c r="L329" s="64"/>
      <c r="M329" s="64"/>
      <c r="P329" s="64"/>
      <c r="Q329" s="64"/>
      <c r="R329" s="64"/>
      <c r="S329" s="64"/>
      <c r="T329" s="64"/>
      <c r="W329" s="65"/>
      <c r="X329" s="64"/>
      <c r="Y329" s="64"/>
      <c r="Z329" s="64"/>
      <c r="AA329" s="64"/>
      <c r="AD329" s="64"/>
      <c r="AE329" s="64"/>
      <c r="AF329" s="64"/>
      <c r="AG329" s="64"/>
      <c r="AH329" s="64"/>
      <c r="AK329" s="62"/>
      <c r="AL329" s="63"/>
      <c r="AM329" s="62"/>
    </row>
    <row r="330" spans="1:39" s="68" customFormat="1">
      <c r="A330" s="67"/>
      <c r="B330" s="66"/>
      <c r="C330" s="66"/>
      <c r="D330" s="66"/>
      <c r="E330" s="66"/>
      <c r="F330" s="65"/>
      <c r="I330" s="64"/>
      <c r="J330" s="64"/>
      <c r="K330" s="64"/>
      <c r="L330" s="64"/>
      <c r="M330" s="64"/>
      <c r="P330" s="64"/>
      <c r="Q330" s="64"/>
      <c r="R330" s="64"/>
      <c r="S330" s="64"/>
      <c r="T330" s="64"/>
      <c r="W330" s="65"/>
      <c r="X330" s="64"/>
      <c r="Y330" s="64"/>
      <c r="Z330" s="64"/>
      <c r="AA330" s="64"/>
      <c r="AD330" s="64"/>
      <c r="AE330" s="64"/>
      <c r="AF330" s="64"/>
      <c r="AG330" s="64"/>
      <c r="AH330" s="64"/>
      <c r="AK330" s="62"/>
      <c r="AL330" s="63"/>
      <c r="AM330" s="62"/>
    </row>
    <row r="331" spans="1:39" s="68" customFormat="1">
      <c r="A331" s="67"/>
      <c r="B331" s="66"/>
      <c r="C331" s="66"/>
      <c r="D331" s="66"/>
      <c r="E331" s="66"/>
      <c r="F331" s="65"/>
      <c r="I331" s="64"/>
      <c r="J331" s="64"/>
      <c r="K331" s="64"/>
      <c r="L331" s="64"/>
      <c r="M331" s="64"/>
      <c r="P331" s="64"/>
      <c r="Q331" s="64"/>
      <c r="R331" s="64"/>
      <c r="S331" s="64"/>
      <c r="T331" s="64"/>
      <c r="W331" s="65"/>
      <c r="X331" s="64"/>
      <c r="Y331" s="64"/>
      <c r="Z331" s="64"/>
      <c r="AA331" s="64"/>
      <c r="AD331" s="64"/>
      <c r="AE331" s="64"/>
      <c r="AF331" s="64"/>
      <c r="AG331" s="64"/>
      <c r="AH331" s="64"/>
      <c r="AK331" s="62"/>
      <c r="AL331" s="63"/>
      <c r="AM331" s="62"/>
    </row>
    <row r="332" spans="1:39" s="68" customFormat="1">
      <c r="A332" s="67"/>
      <c r="B332" s="66"/>
      <c r="C332" s="66"/>
      <c r="D332" s="66"/>
      <c r="E332" s="66"/>
      <c r="F332" s="65"/>
      <c r="I332" s="64"/>
      <c r="J332" s="64"/>
      <c r="K332" s="64"/>
      <c r="L332" s="64"/>
      <c r="M332" s="64"/>
      <c r="P332" s="64"/>
      <c r="Q332" s="64"/>
      <c r="R332" s="64"/>
      <c r="S332" s="64"/>
      <c r="T332" s="64"/>
      <c r="W332" s="65"/>
      <c r="X332" s="64"/>
      <c r="Y332" s="64"/>
      <c r="Z332" s="64"/>
      <c r="AA332" s="64"/>
      <c r="AD332" s="64"/>
      <c r="AE332" s="64"/>
      <c r="AF332" s="64"/>
      <c r="AG332" s="64"/>
      <c r="AH332" s="64"/>
      <c r="AK332" s="62"/>
      <c r="AL332" s="63"/>
      <c r="AM332" s="62"/>
    </row>
    <row r="333" spans="1:39" s="68" customFormat="1">
      <c r="A333" s="67"/>
      <c r="B333" s="66"/>
      <c r="C333" s="66"/>
      <c r="D333" s="66"/>
      <c r="E333" s="66"/>
      <c r="F333" s="65"/>
      <c r="I333" s="64"/>
      <c r="J333" s="64"/>
      <c r="K333" s="64"/>
      <c r="L333" s="64"/>
      <c r="M333" s="64"/>
      <c r="P333" s="64"/>
      <c r="Q333" s="64"/>
      <c r="R333" s="64"/>
      <c r="S333" s="64"/>
      <c r="T333" s="64"/>
      <c r="W333" s="65"/>
      <c r="X333" s="64"/>
      <c r="Y333" s="64"/>
      <c r="Z333" s="64"/>
      <c r="AA333" s="64"/>
      <c r="AD333" s="64"/>
      <c r="AE333" s="64"/>
      <c r="AF333" s="64"/>
      <c r="AG333" s="64"/>
      <c r="AH333" s="64"/>
      <c r="AK333" s="62"/>
      <c r="AL333" s="63"/>
      <c r="AM333" s="62"/>
    </row>
    <row r="334" spans="1:39" s="68" customFormat="1">
      <c r="A334" s="67"/>
      <c r="B334" s="66"/>
      <c r="C334" s="66"/>
      <c r="D334" s="66"/>
      <c r="E334" s="66"/>
      <c r="F334" s="65"/>
      <c r="I334" s="64"/>
      <c r="J334" s="64"/>
      <c r="K334" s="64"/>
      <c r="L334" s="64"/>
      <c r="M334" s="64"/>
      <c r="P334" s="64"/>
      <c r="Q334" s="64"/>
      <c r="R334" s="64"/>
      <c r="S334" s="64"/>
      <c r="T334" s="64"/>
      <c r="W334" s="65"/>
      <c r="X334" s="64"/>
      <c r="Y334" s="64"/>
      <c r="Z334" s="64"/>
      <c r="AA334" s="64"/>
      <c r="AD334" s="64"/>
      <c r="AE334" s="64"/>
      <c r="AF334" s="64"/>
      <c r="AG334" s="64"/>
      <c r="AH334" s="64"/>
      <c r="AK334" s="62"/>
      <c r="AL334" s="63"/>
      <c r="AM334" s="62"/>
    </row>
    <row r="335" spans="1:39" s="68" customFormat="1">
      <c r="A335" s="67"/>
      <c r="B335" s="66"/>
      <c r="C335" s="66"/>
      <c r="D335" s="66"/>
      <c r="E335" s="66"/>
      <c r="F335" s="65"/>
      <c r="I335" s="64"/>
      <c r="J335" s="64"/>
      <c r="K335" s="64"/>
      <c r="L335" s="64"/>
      <c r="M335" s="64"/>
      <c r="P335" s="64"/>
      <c r="Q335" s="64"/>
      <c r="R335" s="64"/>
      <c r="S335" s="64"/>
      <c r="T335" s="64"/>
      <c r="W335" s="65"/>
      <c r="X335" s="64"/>
      <c r="Y335" s="64"/>
      <c r="Z335" s="64"/>
      <c r="AA335" s="64"/>
      <c r="AD335" s="64"/>
      <c r="AE335" s="64"/>
      <c r="AF335" s="64"/>
      <c r="AG335" s="64"/>
      <c r="AH335" s="64"/>
      <c r="AK335" s="62"/>
      <c r="AL335" s="63"/>
      <c r="AM335" s="62"/>
    </row>
    <row r="336" spans="1:39" s="68" customFormat="1">
      <c r="A336" s="67"/>
      <c r="B336" s="66"/>
      <c r="C336" s="66"/>
      <c r="D336" s="66"/>
      <c r="E336" s="66"/>
      <c r="F336" s="65"/>
      <c r="I336" s="64"/>
      <c r="J336" s="64"/>
      <c r="K336" s="64"/>
      <c r="L336" s="64"/>
      <c r="M336" s="64"/>
      <c r="P336" s="64"/>
      <c r="Q336" s="64"/>
      <c r="R336" s="64"/>
      <c r="S336" s="64"/>
      <c r="T336" s="64"/>
      <c r="W336" s="65"/>
      <c r="X336" s="64"/>
      <c r="Y336" s="64"/>
      <c r="Z336" s="64"/>
      <c r="AA336" s="64"/>
      <c r="AD336" s="64"/>
      <c r="AE336" s="64"/>
      <c r="AF336" s="64"/>
      <c r="AG336" s="64"/>
      <c r="AH336" s="64"/>
      <c r="AK336" s="62"/>
      <c r="AL336" s="63"/>
      <c r="AM336" s="62"/>
    </row>
    <row r="337" spans="1:39" s="68" customFormat="1">
      <c r="A337" s="67"/>
      <c r="B337" s="66"/>
      <c r="C337" s="66"/>
      <c r="D337" s="66"/>
      <c r="E337" s="66"/>
      <c r="F337" s="65"/>
      <c r="I337" s="64"/>
      <c r="J337" s="64"/>
      <c r="K337" s="64"/>
      <c r="L337" s="64"/>
      <c r="M337" s="64"/>
      <c r="P337" s="64"/>
      <c r="Q337" s="64"/>
      <c r="R337" s="64"/>
      <c r="S337" s="64"/>
      <c r="T337" s="64"/>
      <c r="W337" s="65"/>
      <c r="X337" s="64"/>
      <c r="Y337" s="64"/>
      <c r="Z337" s="64"/>
      <c r="AA337" s="64"/>
      <c r="AD337" s="64"/>
      <c r="AE337" s="64"/>
      <c r="AF337" s="64"/>
      <c r="AG337" s="64"/>
      <c r="AH337" s="64"/>
      <c r="AK337" s="62"/>
      <c r="AL337" s="63"/>
      <c r="AM337" s="62"/>
    </row>
    <row r="338" spans="1:39" s="68" customFormat="1">
      <c r="A338" s="67"/>
      <c r="B338" s="66"/>
      <c r="C338" s="66"/>
      <c r="D338" s="66"/>
      <c r="E338" s="66"/>
      <c r="F338" s="65"/>
      <c r="I338" s="64"/>
      <c r="J338" s="64"/>
      <c r="K338" s="64"/>
      <c r="L338" s="64"/>
      <c r="M338" s="64"/>
      <c r="P338" s="64"/>
      <c r="Q338" s="64"/>
      <c r="R338" s="64"/>
      <c r="S338" s="64"/>
      <c r="T338" s="64"/>
      <c r="W338" s="65"/>
      <c r="X338" s="64"/>
      <c r="Y338" s="64"/>
      <c r="Z338" s="64"/>
      <c r="AA338" s="64"/>
      <c r="AD338" s="64"/>
      <c r="AE338" s="64"/>
      <c r="AF338" s="64"/>
      <c r="AG338" s="64"/>
      <c r="AH338" s="64"/>
      <c r="AK338" s="62"/>
      <c r="AL338" s="63"/>
      <c r="AM338" s="62"/>
    </row>
    <row r="339" spans="1:39" s="68" customFormat="1">
      <c r="A339" s="67"/>
      <c r="B339" s="66"/>
      <c r="C339" s="66"/>
      <c r="D339" s="66"/>
      <c r="E339" s="66"/>
      <c r="F339" s="65"/>
      <c r="I339" s="64"/>
      <c r="J339" s="64"/>
      <c r="K339" s="64"/>
      <c r="L339" s="64"/>
      <c r="M339" s="64"/>
      <c r="P339" s="64"/>
      <c r="Q339" s="64"/>
      <c r="R339" s="64"/>
      <c r="S339" s="64"/>
      <c r="T339" s="64"/>
      <c r="W339" s="65"/>
      <c r="X339" s="64"/>
      <c r="Y339" s="64"/>
      <c r="Z339" s="64"/>
      <c r="AA339" s="64"/>
      <c r="AD339" s="64"/>
      <c r="AE339" s="64"/>
      <c r="AF339" s="64"/>
      <c r="AG339" s="64"/>
      <c r="AH339" s="64"/>
      <c r="AK339" s="62"/>
      <c r="AL339" s="63"/>
      <c r="AM339" s="62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5ihx37g1cHeDB8JLy6VSQ21PAEtwwXvBxTmQePIdEElfFnMxZRG0PCj+f53IF1zruePfltABVIvyxlNQHnQ/0g==" saltValue="c1t9Rdb5sZ22sqhjEZ05qQ==" spinCount="100000" sqref="E40:AJ59" name="GW and TA" securityDescriptor="O:WDG:WDD:(A;;CC;;;S-1-5-21-4266775999-1434241158-117269649-27446)"/>
    <protectedRange algorithmName="SHA-512" hashValue="Sp7V98EImvjwa+ihhpB3Cm11TodCVkFP6ovPzBIhkZWHgVcwAtC6qR2uyfPuBYx9R9vfscWILhCJQ+c+LbYnJw==" saltValue="ljkIuuLKRFx/vBZilDplFA==" spinCount="100000" sqref="AM1" name="Payroll_2" securityDescriptor="O:WDG:WDD:(A;;CC;;;S-1-5-21-4266775999-1434241158-117269649-15173)"/>
    <protectedRange algorithmName="SHA-512" hashValue="Sp7V98EImvjwa+ihhpB3Cm11TodCVkFP6ovPzBIhkZWHgVcwAtC6qR2uyfPuBYx9R9vfscWILhCJQ+c+LbYnJw==" saltValue="ljkIuuLKRFx/vBZilDplFA==" spinCount="100000" sqref="AQ1:XFD15 A1:AP15 A16:XFD1048576" name="Payroll" securityDescriptor="O:WDG:WDD:(A;;CC;;;S-1-5-21-4266775999-1434241158-117269649-15173)"/>
    <protectedRange algorithmName="SHA-512" hashValue="z5Fbm9EAtw05zZXQJkZOBCvre307UA0z+G2cwNNeHS8P0mijruizg9pkN2klXLp1OqbC4S6wFiDUFgY4J+E6Ng==" saltValue="qaN838VdH0efIehjpbBiwg==" spinCount="100000" sqref="E62:AJ75" name="NB" securityDescriptor="O:WDG:WDD:(A;;CC;;;S-1-5-21-4266775999-1434241158-117269649-34646)"/>
    <protectedRange algorithmName="SHA-512" hashValue="t+wFsi6FzSFost6MxhpxAHCEl5xfQjq1ocLzIjQFZocZBLY43T3NZu1uIlySCTQ8wTxhvOSdPzplCH7cN7UH2Q==" saltValue="q/r2PvIEQrkk2lCkxRSLbA==" spinCount="100000" sqref="E59:AJ59 E4:AJ39" name="BR and PK" securityDescriptor="O:WDG:WDD:(A;;CC;;;S-1-5-21-4266775999-1434241158-117269649-15173)(A;;CC;;;S-1-5-21-4266775999-1434241158-117269649-21590)"/>
    <protectedRange algorithmName="SHA-512" hashValue="j72XqfqCZo2phBn60R+m2n4ElD2JdVadeF0cgs3UhkTUFr8Cqtug8W0B9WX4XYV2BfnOJ3W1DrJwUikJfUgGbw==" saltValue="tXXSh3SJ5iH766awoJpYDQ==" spinCount="100000" sqref="E89:AJ116" name="OC and BH" securityDescriptor="O:WDG:WDD:(A;;CC;;;S-1-5-21-4266775999-1434241158-117269649-15173)(A;;CC;;;S-1-5-21-4266775999-1434241158-117269649-33514)"/>
    <protectedRange algorithmName="SHA-512" hashValue="9R0fVantMRbrrkA2kSJEz9VZlv+QYCSRyw9dF8BoOxTs+gHM7lK1jzejAnCYCTuR9cV65Y54G10YIUjZSUOUsA==" saltValue="ORxIeK/zEl9oY0DveIPG6A==" spinCount="100000" sqref="E78:AJ86" name="NWP" securityDescriptor="O:WDG:WDD:(A;;CC;;;S-1-5-21-4266775999-1434241158-117269649-15173)"/>
    <protectedRange algorithmName="SHA-512" hashValue="BpNyE3DrEKXkJY42Q25YXGHWGjK56fVZh2zDP86OMCxUOFJmtSNLfPN6dr8N3eZTBIRsy++X481adf9Pz6z/Dg==" saltValue="KEYUrwx6Mg3GeFXToWYnpg==" spinCount="100000" sqref="E119:AJ135" name="TN" securityDescriptor="O:WDG:WDD:(A;;CC;;;S-1-5-21-4266775999-1434241158-117269649-15173)(A;;CC;;;S-1-5-21-4266775999-1434241158-117269649-1522)"/>
  </protectedRanges>
  <mergeCells count="4">
    <mergeCell ref="A1:A2"/>
    <mergeCell ref="C1:C2"/>
    <mergeCell ref="D1:D2"/>
    <mergeCell ref="E1:E2"/>
  </mergeCells>
  <conditionalFormatting sqref="F40:AJ76 AK40:AK87 K133:X133 F3:AK39">
    <cfRule type="cellIs" dxfId="8" priority="5" operator="lessThan">
      <formula>0</formula>
    </cfRule>
  </conditionalFormatting>
  <conditionalFormatting sqref="M80 P80 R80:AJ80 F131:H131 J131">
    <cfRule type="cellIs" dxfId="7" priority="8" operator="lessThan">
      <formula>0</formula>
    </cfRule>
  </conditionalFormatting>
  <conditionalFormatting sqref="M120:X123">
    <cfRule type="cellIs" dxfId="6" priority="6" operator="lessThan">
      <formula>0</formula>
    </cfRule>
  </conditionalFormatting>
  <conditionalFormatting sqref="M128:X132">
    <cfRule type="cellIs" dxfId="5" priority="3" operator="lessThan">
      <formula>0</formula>
    </cfRule>
  </conditionalFormatting>
  <conditionalFormatting sqref="M77:AJ79 F77:L87 M81:AJ87 F88:AK117 M118:AJ119 F118:J130 K118:L132 AK118:AK135 F132:J135 K134:AJ135">
    <cfRule type="cellIs" dxfId="4" priority="4" operator="lessThan">
      <formula>0</formula>
    </cfRule>
  </conditionalFormatting>
  <conditionalFormatting sqref="M124:AJ124 M125:X126 M127:Q127 S127:X127">
    <cfRule type="cellIs" dxfId="3" priority="7" operator="lessThan">
      <formula>0</formula>
    </cfRule>
  </conditionalFormatting>
  <conditionalFormatting sqref="Z120:AJ123">
    <cfRule type="cellIs" dxfId="2" priority="2" operator="lessThan">
      <formula>0</formula>
    </cfRule>
  </conditionalFormatting>
  <conditionalFormatting sqref="Z125:AJ133">
    <cfRule type="cellIs" dxfId="1" priority="1" operator="lessThan">
      <formula>0</formula>
    </cfRule>
  </conditionalFormatting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FE34-3914-401C-AF0C-82671B52D1D0}">
  <sheetPr>
    <tabColor rgb="FFC00000"/>
  </sheetPr>
  <dimension ref="A1:F531"/>
  <sheetViews>
    <sheetView topLeftCell="A111" workbookViewId="0">
      <selection activeCell="B139" sqref="B139"/>
    </sheetView>
  </sheetViews>
  <sheetFormatPr defaultRowHeight="14.45"/>
  <cols>
    <col min="1" max="2" width="12.7109375" customWidth="1"/>
    <col min="3" max="3" width="11.140625" bestFit="1" customWidth="1"/>
    <col min="4" max="4" width="29" bestFit="1" customWidth="1"/>
    <col min="6" max="6" width="15.140625" style="133" bestFit="1" customWidth="1"/>
  </cols>
  <sheetData>
    <row r="1" spans="1:6">
      <c r="A1" t="s">
        <v>422</v>
      </c>
    </row>
    <row r="2" spans="1:6">
      <c r="A2" t="s">
        <v>423</v>
      </c>
    </row>
    <row r="3" spans="1:6" hidden="1">
      <c r="A3" t="s">
        <v>424</v>
      </c>
    </row>
    <row r="4" spans="1:6" hidden="1">
      <c r="B4" t="s">
        <v>425</v>
      </c>
    </row>
    <row r="5" spans="1:6">
      <c r="A5" t="s">
        <v>426</v>
      </c>
    </row>
    <row r="6" spans="1:6">
      <c r="A6" t="s">
        <v>427</v>
      </c>
    </row>
    <row r="7" spans="1:6">
      <c r="A7" t="s">
        <v>428</v>
      </c>
    </row>
    <row r="8" spans="1:6">
      <c r="A8" t="s">
        <v>429</v>
      </c>
    </row>
    <row r="9" spans="1:6">
      <c r="A9" s="136" t="s">
        <v>430</v>
      </c>
      <c r="B9" s="136"/>
      <c r="C9" s="136"/>
      <c r="D9" s="136"/>
      <c r="F9" s="142"/>
    </row>
    <row r="10" spans="1:6">
      <c r="A10" s="135" t="s">
        <v>431</v>
      </c>
      <c r="B10" s="135" t="s">
        <v>432</v>
      </c>
      <c r="C10" s="135" t="s">
        <v>433</v>
      </c>
      <c r="D10" s="135" t="s">
        <v>434</v>
      </c>
      <c r="F10" s="134" t="s">
        <v>435</v>
      </c>
    </row>
    <row r="11" spans="1:6">
      <c r="A11" s="8" t="s">
        <v>63</v>
      </c>
      <c r="B11" s="8" t="s">
        <v>436</v>
      </c>
      <c r="C11" t="str">
        <f>VLOOKUP(A11,'PTO SUMMARY 2027'!B:E,4,0)</f>
        <v>OWM</v>
      </c>
      <c r="D11" t="str">
        <f t="shared" ref="D11:D72" si="0">IF(1=0,"DO NOT POST",IF(OR(C11="OWM",C11="OWA",C11="CEO",C11="MFM"),"PTP","PTO")&amp;"|1||||||||||||"&amp;TEXT(F11,"#0.00")&amp;"|A|||")</f>
        <v>PTP|1||||||||||||0.00|A|||</v>
      </c>
      <c r="F11" s="133">
        <f>SUMIFS('PTO SUMMARY 2027'!BG:BG,'PTO SUMMARY 2027'!B:B,$A11)</f>
        <v>0</v>
      </c>
    </row>
    <row r="12" spans="1:6">
      <c r="A12" s="8" t="s">
        <v>69</v>
      </c>
      <c r="B12" s="8" t="s">
        <v>436</v>
      </c>
      <c r="C12" t="str">
        <f>VLOOKUP(A12,'PTO SUMMARY 2027'!B:E,4,0)</f>
        <v>SAM</v>
      </c>
      <c r="D12" t="str">
        <f t="shared" si="0"/>
        <v>PTO|1||||||||||||0.00|A|||</v>
      </c>
      <c r="F12" s="133">
        <f>SUMIFS('PTO SUMMARY 2027'!BG:BG,'PTO SUMMARY 2027'!B:B,$A12)</f>
        <v>0</v>
      </c>
    </row>
    <row r="13" spans="1:6">
      <c r="A13" s="8" t="s">
        <v>74</v>
      </c>
      <c r="B13" s="8" t="s">
        <v>436</v>
      </c>
      <c r="C13" t="str">
        <f>VLOOKUP(A13,'PTO SUMMARY 2027'!B:E,4,0)</f>
        <v>SMA</v>
      </c>
      <c r="D13" t="str">
        <f t="shared" si="0"/>
        <v>PTO|1||||||||||||0.00|A|||</v>
      </c>
      <c r="F13" s="133">
        <f>SUMIFS('PTO SUMMARY 2027'!BG:BG,'PTO SUMMARY 2027'!B:B,$A13)</f>
        <v>0</v>
      </c>
    </row>
    <row r="14" spans="1:6">
      <c r="A14" s="8" t="s">
        <v>79</v>
      </c>
      <c r="B14" s="8" t="s">
        <v>436</v>
      </c>
      <c r="C14" t="str">
        <f>VLOOKUP(A14,'PTO SUMMARY 2027'!B:E,4,0)</f>
        <v>SMA</v>
      </c>
      <c r="D14" t="str">
        <f t="shared" si="0"/>
        <v>PTO|1||||||||||||0.00|A|||</v>
      </c>
      <c r="F14" s="133">
        <f>SUMIFS('PTO SUMMARY 2027'!BG:BG,'PTO SUMMARY 2027'!B:B,$A14)</f>
        <v>0</v>
      </c>
    </row>
    <row r="15" spans="1:6">
      <c r="A15" s="8" t="s">
        <v>82</v>
      </c>
      <c r="B15" s="8" t="s">
        <v>436</v>
      </c>
      <c r="C15" t="str">
        <f>VLOOKUP(A15,'PTO SUMMARY 2027'!B:E,4,0)</f>
        <v>OWM</v>
      </c>
      <c r="D15" t="str">
        <f t="shared" si="0"/>
        <v>PTP|1||||||||||||0.00|A|||</v>
      </c>
      <c r="F15" s="133">
        <f>SUMIFS('PTO SUMMARY 2027'!BG:BG,'PTO SUMMARY 2027'!B:B,$A15)</f>
        <v>0</v>
      </c>
    </row>
    <row r="16" spans="1:6">
      <c r="A16" s="8" t="s">
        <v>87</v>
      </c>
      <c r="B16" s="8" t="s">
        <v>436</v>
      </c>
      <c r="C16" t="str">
        <f>VLOOKUP(A16,'PTO SUMMARY 2027'!B:E,4,0)</f>
        <v>OWM</v>
      </c>
      <c r="D16" t="str">
        <f t="shared" si="0"/>
        <v>PTP|1||||||||||||0.00|A|||</v>
      </c>
      <c r="F16" s="133">
        <f>SUMIFS('PTO SUMMARY 2027'!BG:BG,'PTO SUMMARY 2027'!B:B,$A16)</f>
        <v>0</v>
      </c>
    </row>
    <row r="17" spans="1:6">
      <c r="A17" s="8" t="s">
        <v>89</v>
      </c>
      <c r="B17" s="8" t="s">
        <v>436</v>
      </c>
      <c r="C17" t="str">
        <f>VLOOKUP(A17,'PTO SUMMARY 2027'!B:E,4,0)</f>
        <v>OWM</v>
      </c>
      <c r="D17" t="str">
        <f t="shared" si="0"/>
        <v>PTP|1||||||||||||0.00|A|||</v>
      </c>
      <c r="F17" s="133">
        <f>SUMIFS('PTO SUMMARY 2027'!BG:BG,'PTO SUMMARY 2027'!B:B,$A17)</f>
        <v>0</v>
      </c>
    </row>
    <row r="18" spans="1:6">
      <c r="A18" s="8" t="s">
        <v>92</v>
      </c>
      <c r="B18" s="8" t="s">
        <v>436</v>
      </c>
      <c r="C18" t="str">
        <f>VLOOKUP(A18,'PTO SUMMARY 2027'!B:E,4,0)</f>
        <v>SMA</v>
      </c>
      <c r="D18" t="str">
        <f t="shared" si="0"/>
        <v>PTO|1||||||||||||0.00|A|||</v>
      </c>
      <c r="F18" s="133">
        <f>SUMIFS('PTO SUMMARY 2027'!BG:BG,'PTO SUMMARY 2027'!B:B,$A18)</f>
        <v>0</v>
      </c>
    </row>
    <row r="19" spans="1:6">
      <c r="A19" s="8" t="s">
        <v>94</v>
      </c>
      <c r="B19" s="8" t="s">
        <v>436</v>
      </c>
      <c r="C19" t="str">
        <f>VLOOKUP(A19,'PTO SUMMARY 2027'!B:E,4,0)</f>
        <v>OWA</v>
      </c>
      <c r="D19" t="str">
        <f t="shared" si="0"/>
        <v>PTP|1||||||||||||0.00|A|||</v>
      </c>
      <c r="F19" s="133">
        <f>SUMIFS('PTO SUMMARY 2027'!BG:BG,'PTO SUMMARY 2027'!B:B,$A19)</f>
        <v>0</v>
      </c>
    </row>
    <row r="20" spans="1:6">
      <c r="A20" s="8" t="s">
        <v>98</v>
      </c>
      <c r="B20" s="8" t="s">
        <v>436</v>
      </c>
      <c r="C20" t="str">
        <f>VLOOKUP(A20,'PTO SUMMARY 2027'!B:E,4,0)</f>
        <v>SMA</v>
      </c>
      <c r="D20" t="str">
        <f t="shared" si="0"/>
        <v>PTO|1||||||||||||0.00|A|||</v>
      </c>
      <c r="F20" s="133">
        <f>SUMIFS('PTO SUMMARY 2027'!BG:BG,'PTO SUMMARY 2027'!B:B,$A20)</f>
        <v>0</v>
      </c>
    </row>
    <row r="21" spans="1:6">
      <c r="A21" s="8" t="s">
        <v>103</v>
      </c>
      <c r="B21" s="8" t="s">
        <v>436</v>
      </c>
      <c r="C21" t="str">
        <f>VLOOKUP(A21,'PTO SUMMARY 2027'!B:E,4,0)</f>
        <v>SAM</v>
      </c>
      <c r="D21" t="str">
        <f t="shared" si="0"/>
        <v>PTO|1||||||||||||0.00|A|||</v>
      </c>
      <c r="F21" s="133">
        <f>SUMIFS('PTO SUMMARY 2027'!BG:BG,'PTO SUMMARY 2027'!B:B,$A21)</f>
        <v>0</v>
      </c>
    </row>
    <row r="22" spans="1:6">
      <c r="A22" s="8" t="s">
        <v>105</v>
      </c>
      <c r="B22" s="8" t="s">
        <v>436</v>
      </c>
      <c r="C22" t="str">
        <f>VLOOKUP(A22,'PTO SUMMARY 2027'!B:E,4,0)</f>
        <v>OWM</v>
      </c>
      <c r="D22" t="str">
        <f t="shared" si="0"/>
        <v>PTP|1||||||||||||0.00|A|||</v>
      </c>
      <c r="F22" s="133">
        <f>SUMIFS('PTO SUMMARY 2027'!BG:BG,'PTO SUMMARY 2027'!B:B,$A22)</f>
        <v>0</v>
      </c>
    </row>
    <row r="23" spans="1:6">
      <c r="A23" s="8" t="s">
        <v>107</v>
      </c>
      <c r="B23" s="8" t="s">
        <v>436</v>
      </c>
      <c r="C23" t="str">
        <f>VLOOKUP(A23,'PTO SUMMARY 2027'!B:E,4,0)</f>
        <v>OWM</v>
      </c>
      <c r="D23" t="str">
        <f t="shared" si="0"/>
        <v>PTP|1||||||||||||0.00|A|||</v>
      </c>
      <c r="F23" s="133">
        <f>SUMIFS('PTO SUMMARY 2027'!BG:BG,'PTO SUMMARY 2027'!B:B,$A23)</f>
        <v>0</v>
      </c>
    </row>
    <row r="24" spans="1:6">
      <c r="A24" s="8" t="s">
        <v>110</v>
      </c>
      <c r="B24" s="8" t="s">
        <v>436</v>
      </c>
      <c r="C24" t="str">
        <f>VLOOKUP(A24,'PTO SUMMARY 2027'!B:E,4,0)</f>
        <v>OWM</v>
      </c>
      <c r="D24" t="str">
        <f t="shared" si="0"/>
        <v>PTP|1||||||||||||0.00|A|||</v>
      </c>
      <c r="F24" s="133">
        <f>SUMIFS('PTO SUMMARY 2027'!BG:BG,'PTO SUMMARY 2027'!B:B,$A24)</f>
        <v>0</v>
      </c>
    </row>
    <row r="25" spans="1:6">
      <c r="A25" s="8" t="s">
        <v>112</v>
      </c>
      <c r="B25" s="8" t="s">
        <v>436</v>
      </c>
      <c r="C25" t="str">
        <f>VLOOKUP(A25,'PTO SUMMARY 2027'!B:E,4,0)</f>
        <v>SMA</v>
      </c>
      <c r="D25" t="str">
        <f t="shared" si="0"/>
        <v>PTO|1||||||||||||0.00|A|||</v>
      </c>
      <c r="F25" s="133">
        <f>SUMIFS('PTO SUMMARY 2027'!BG:BG,'PTO SUMMARY 2027'!B:B,$A25)</f>
        <v>0</v>
      </c>
    </row>
    <row r="26" spans="1:6">
      <c r="A26" s="8" t="s">
        <v>114</v>
      </c>
      <c r="B26" s="8" t="s">
        <v>436</v>
      </c>
      <c r="C26" t="str">
        <f>VLOOKUP(A26,'PTO SUMMARY 2027'!B:E,4,0)</f>
        <v>MFM</v>
      </c>
      <c r="D26" t="str">
        <f t="shared" si="0"/>
        <v>PTP|1||||||||||||0.00|A|||</v>
      </c>
      <c r="F26" s="133">
        <f>SUMIFS('PTO SUMMARY 2027'!BG:BG,'PTO SUMMARY 2027'!B:B,$A26)</f>
        <v>0</v>
      </c>
    </row>
    <row r="27" spans="1:6">
      <c r="A27" s="8" t="s">
        <v>117</v>
      </c>
      <c r="B27" s="8" t="s">
        <v>436</v>
      </c>
      <c r="C27" t="str">
        <f>VLOOKUP(A27,'PTO SUMMARY 2027'!B:E,4,0)</f>
        <v>SMA</v>
      </c>
      <c r="D27" t="str">
        <f t="shared" si="0"/>
        <v>PTO|1||||||||||||0.00|A|||</v>
      </c>
      <c r="F27" s="133">
        <f>SUMIFS('PTO SUMMARY 2027'!BG:BG,'PTO SUMMARY 2027'!B:B,$A27)</f>
        <v>0</v>
      </c>
    </row>
    <row r="28" spans="1:6">
      <c r="A28" s="8" t="s">
        <v>119</v>
      </c>
      <c r="B28" s="8" t="s">
        <v>436</v>
      </c>
      <c r="C28" t="str">
        <f>VLOOKUP(A28,'PTO SUMMARY 2027'!B:E,4,0)</f>
        <v>SMA</v>
      </c>
      <c r="D28" t="str">
        <f t="shared" si="0"/>
        <v>PTO|1||||||||||||0.00|A|||</v>
      </c>
      <c r="F28" s="133">
        <f>SUMIFS('PTO SUMMARY 2027'!BG:BG,'PTO SUMMARY 2027'!B:B,$A28)</f>
        <v>0</v>
      </c>
    </row>
    <row r="29" spans="1:6">
      <c r="A29" s="8" t="s">
        <v>121</v>
      </c>
      <c r="B29" s="8" t="s">
        <v>436</v>
      </c>
      <c r="C29" t="str">
        <f>VLOOKUP(A29,'PTO SUMMARY 2027'!B:E,4,0)</f>
        <v>SMA</v>
      </c>
      <c r="D29" t="str">
        <f t="shared" si="0"/>
        <v>PTO|1||||||||||||0.00|A|||</v>
      </c>
      <c r="F29" s="133">
        <f>SUMIFS('PTO SUMMARY 2027'!BG:BG,'PTO SUMMARY 2027'!B:B,$A29)</f>
        <v>0</v>
      </c>
    </row>
    <row r="30" spans="1:6">
      <c r="A30" s="8" t="s">
        <v>123</v>
      </c>
      <c r="B30" s="8" t="s">
        <v>436</v>
      </c>
      <c r="C30" t="str">
        <f>VLOOKUP(A30,'PTO SUMMARY 2027'!B:E,4,0)</f>
        <v>OWM</v>
      </c>
      <c r="D30" t="str">
        <f t="shared" si="0"/>
        <v>PTP|1||||||||||||0.00|A|||</v>
      </c>
      <c r="F30" s="133">
        <f>SUMIFS('PTO SUMMARY 2027'!BG:BG,'PTO SUMMARY 2027'!B:B,$A30)</f>
        <v>0</v>
      </c>
    </row>
    <row r="31" spans="1:6">
      <c r="A31" s="8" t="s">
        <v>125</v>
      </c>
      <c r="B31" s="8" t="s">
        <v>436</v>
      </c>
      <c r="C31" t="str">
        <f>VLOOKUP(A31,'PTO SUMMARY 2027'!B:E,4,0)</f>
        <v>SAM</v>
      </c>
      <c r="D31" t="str">
        <f t="shared" si="0"/>
        <v>PTO|1||||||||||||0.00|A|||</v>
      </c>
      <c r="F31" s="133">
        <f>SUMIFS('PTO SUMMARY 2027'!BG:BG,'PTO SUMMARY 2027'!B:B,$A31)</f>
        <v>0</v>
      </c>
    </row>
    <row r="32" spans="1:6">
      <c r="A32" s="8" t="s">
        <v>306</v>
      </c>
      <c r="B32" s="8" t="s">
        <v>436</v>
      </c>
      <c r="C32" t="str">
        <f>VLOOKUP(A32,'PTO SUMMARY 2027'!B:E,4,0)</f>
        <v>SMA</v>
      </c>
      <c r="D32" t="str">
        <f t="shared" si="0"/>
        <v>PTO|1||||||||||||0.00|A|||</v>
      </c>
      <c r="F32" s="133">
        <f>SUMIFS('PTO SUMMARY 2027'!BG:BG,'PTO SUMMARY 2027'!B:B,$A32)</f>
        <v>0</v>
      </c>
    </row>
    <row r="33" spans="1:6">
      <c r="A33" s="8" t="s">
        <v>127</v>
      </c>
      <c r="B33" s="8" t="s">
        <v>436</v>
      </c>
      <c r="C33" t="str">
        <f>VLOOKUP(A33,'PTO SUMMARY 2027'!B:E,4,0)</f>
        <v>OWM</v>
      </c>
      <c r="D33" t="str">
        <f t="shared" si="0"/>
        <v>PTP|1||||||||||||0.00|A|||</v>
      </c>
      <c r="F33" s="133">
        <f>SUMIFS('PTO SUMMARY 2027'!BG:BG,'PTO SUMMARY 2027'!B:B,$A33)</f>
        <v>0</v>
      </c>
    </row>
    <row r="34" spans="1:6">
      <c r="A34" s="8" t="s">
        <v>129</v>
      </c>
      <c r="B34" s="8" t="s">
        <v>436</v>
      </c>
      <c r="C34" t="str">
        <f>VLOOKUP(A34,'PTO SUMMARY 2027'!B:E,4,0)</f>
        <v>SMA</v>
      </c>
      <c r="D34" t="str">
        <f t="shared" si="0"/>
        <v>PTO|1||||||||||||0.00|A|||</v>
      </c>
      <c r="F34" s="133">
        <f>SUMIFS('PTO SUMMARY 2027'!BG:BG,'PTO SUMMARY 2027'!B:B,$A34)</f>
        <v>0</v>
      </c>
    </row>
    <row r="35" spans="1:6">
      <c r="A35" s="8" t="s">
        <v>131</v>
      </c>
      <c r="B35" s="8" t="s">
        <v>436</v>
      </c>
      <c r="C35" t="str">
        <f>VLOOKUP(A35,'PTO SUMMARY 2027'!B:E,4,0)</f>
        <v>SMA</v>
      </c>
      <c r="D35" t="str">
        <f t="shared" si="0"/>
        <v>PTO|1||||||||||||0.00|A|||</v>
      </c>
      <c r="F35" s="133">
        <f>SUMIFS('PTO SUMMARY 2027'!BG:BG,'PTO SUMMARY 2027'!B:B,$A35)</f>
        <v>0</v>
      </c>
    </row>
    <row r="36" spans="1:6">
      <c r="A36" s="8" t="s">
        <v>133</v>
      </c>
      <c r="B36" s="8" t="s">
        <v>436</v>
      </c>
      <c r="C36" t="str">
        <f>VLOOKUP(A36,'PTO SUMMARY 2027'!B:E,4,0)</f>
        <v>OWM</v>
      </c>
      <c r="D36" t="str">
        <f t="shared" si="0"/>
        <v>PTP|1||||||||||||0.00|A|||</v>
      </c>
      <c r="F36" s="133">
        <f>SUMIFS('PTO SUMMARY 2027'!BG:BG,'PTO SUMMARY 2027'!B:B,$A36)</f>
        <v>0</v>
      </c>
    </row>
    <row r="37" spans="1:6">
      <c r="A37" s="8" t="s">
        <v>135</v>
      </c>
      <c r="B37" s="8" t="s">
        <v>436</v>
      </c>
      <c r="C37" t="str">
        <f>VLOOKUP(A37,'PTO SUMMARY 2027'!B:E,4,0)</f>
        <v>MFM</v>
      </c>
      <c r="D37" t="str">
        <f t="shared" si="0"/>
        <v>PTP|1||||||||||||0.00|A|||</v>
      </c>
      <c r="F37" s="133">
        <f>SUMIFS('PTO SUMMARY 2027'!BG:BG,'PTO SUMMARY 2027'!B:B,$A37)</f>
        <v>0</v>
      </c>
    </row>
    <row r="38" spans="1:6">
      <c r="A38" s="8" t="s">
        <v>138</v>
      </c>
      <c r="B38" s="8" t="s">
        <v>436</v>
      </c>
      <c r="C38" t="str">
        <f>VLOOKUP(A38,'PTO SUMMARY 2027'!B:E,4,0)</f>
        <v>SAM</v>
      </c>
      <c r="D38" t="str">
        <f t="shared" si="0"/>
        <v>PTO|1||||||||||||0.00|A|||</v>
      </c>
      <c r="F38" s="133">
        <f>SUMIFS('PTO SUMMARY 2027'!BG:BG,'PTO SUMMARY 2027'!B:B,$A38)</f>
        <v>0</v>
      </c>
    </row>
    <row r="39" spans="1:6">
      <c r="A39" s="8" t="s">
        <v>144</v>
      </c>
      <c r="B39" s="8" t="s">
        <v>436</v>
      </c>
      <c r="C39" t="str">
        <f>VLOOKUP(A39,'PTO SUMMARY 2027'!B:E,4,0)</f>
        <v>OWM</v>
      </c>
      <c r="D39" t="str">
        <f t="shared" si="0"/>
        <v>PTP|1||||||||||||0.00|A|||</v>
      </c>
      <c r="F39" s="133">
        <f>SUMIFS('PTO SUMMARY 2027'!BG:BG,'PTO SUMMARY 2027'!B:B,$A39)</f>
        <v>0</v>
      </c>
    </row>
    <row r="40" spans="1:6">
      <c r="A40" s="8" t="s">
        <v>146</v>
      </c>
      <c r="B40" s="8" t="s">
        <v>436</v>
      </c>
      <c r="C40" t="str">
        <f>VLOOKUP(A40,'PTO SUMMARY 2027'!B:E,4,0)</f>
        <v>SMA</v>
      </c>
      <c r="D40" t="str">
        <f t="shared" si="0"/>
        <v>PTO|1||||||||||||0.00|A|||</v>
      </c>
      <c r="F40" s="133">
        <f>SUMIFS('PTO SUMMARY 2027'!BG:BG,'PTO SUMMARY 2027'!B:B,$A40)</f>
        <v>0</v>
      </c>
    </row>
    <row r="41" spans="1:6">
      <c r="A41" s="8" t="s">
        <v>148</v>
      </c>
      <c r="B41" s="8" t="s">
        <v>436</v>
      </c>
      <c r="C41" t="str">
        <f>VLOOKUP(A41,'PTO SUMMARY 2027'!B:E,4,0)</f>
        <v>OWM</v>
      </c>
      <c r="D41" t="str">
        <f t="shared" si="0"/>
        <v>PTP|1||||||||||||0.00|A|||</v>
      </c>
      <c r="F41" s="133">
        <f>SUMIFS('PTO SUMMARY 2027'!BG:BG,'PTO SUMMARY 2027'!B:B,$A41)</f>
        <v>0</v>
      </c>
    </row>
    <row r="42" spans="1:6">
      <c r="A42" s="8" t="s">
        <v>150</v>
      </c>
      <c r="B42" s="8" t="s">
        <v>436</v>
      </c>
      <c r="C42" t="str">
        <f>VLOOKUP(A42,'PTO SUMMARY 2027'!B:E,4,0)</f>
        <v>SMA</v>
      </c>
      <c r="D42" t="str">
        <f t="shared" si="0"/>
        <v>PTO|1||||||||||||0.00|A|||</v>
      </c>
      <c r="F42" s="133">
        <f>SUMIFS('PTO SUMMARY 2027'!BG:BG,'PTO SUMMARY 2027'!B:B,$A42)</f>
        <v>0</v>
      </c>
    </row>
    <row r="43" spans="1:6">
      <c r="A43" s="8" t="s">
        <v>152</v>
      </c>
      <c r="B43" s="8" t="s">
        <v>436</v>
      </c>
      <c r="C43" t="str">
        <f>VLOOKUP(A43,'PTO SUMMARY 2027'!B:E,4,0)</f>
        <v>OWM</v>
      </c>
      <c r="D43" t="str">
        <f t="shared" si="0"/>
        <v>PTP|1||||||||||||0.00|A|||</v>
      </c>
      <c r="F43" s="133">
        <f>SUMIFS('PTO SUMMARY 2027'!BG:BG,'PTO SUMMARY 2027'!B:B,$A43)</f>
        <v>0</v>
      </c>
    </row>
    <row r="44" spans="1:6">
      <c r="A44" s="8" t="s">
        <v>154</v>
      </c>
      <c r="B44" s="8" t="s">
        <v>436</v>
      </c>
      <c r="C44" t="str">
        <f>VLOOKUP(A44,'PTO SUMMARY 2027'!B:E,4,0)</f>
        <v>OWM</v>
      </c>
      <c r="D44" t="str">
        <f t="shared" si="0"/>
        <v>PTP|1||||||||||||0.00|A|||</v>
      </c>
      <c r="F44" s="133">
        <f>SUMIFS('PTO SUMMARY 2027'!BG:BG,'PTO SUMMARY 2027'!B:B,$A44)</f>
        <v>0</v>
      </c>
    </row>
    <row r="45" spans="1:6">
      <c r="A45" s="8" t="s">
        <v>156</v>
      </c>
      <c r="B45" s="8" t="s">
        <v>436</v>
      </c>
      <c r="C45" t="str">
        <f>VLOOKUP(A45,'PTO SUMMARY 2027'!B:E,4,0)</f>
        <v>OWA</v>
      </c>
      <c r="D45" t="str">
        <f t="shared" si="0"/>
        <v>PTP|1||||||||||||0.00|A|||</v>
      </c>
      <c r="F45" s="133">
        <f>SUMIFS('PTO SUMMARY 2027'!BG:BG,'PTO SUMMARY 2027'!B:B,$A45)</f>
        <v>0</v>
      </c>
    </row>
    <row r="46" spans="1:6">
      <c r="A46" s="8" t="s">
        <v>158</v>
      </c>
      <c r="B46" s="8" t="s">
        <v>436</v>
      </c>
      <c r="C46" t="str">
        <f>VLOOKUP(A46,'PTO SUMMARY 2027'!B:E,4,0)</f>
        <v>SAM</v>
      </c>
      <c r="D46" t="str">
        <f t="shared" si="0"/>
        <v>PTO|1||||||||||||0.00|A|||</v>
      </c>
      <c r="F46" s="133">
        <f>SUMIFS('PTO SUMMARY 2027'!BG:BG,'PTO SUMMARY 2027'!B:B,$A46)</f>
        <v>0</v>
      </c>
    </row>
    <row r="47" spans="1:6">
      <c r="A47" s="8" t="s">
        <v>160</v>
      </c>
      <c r="B47" s="8" t="s">
        <v>436</v>
      </c>
      <c r="C47" t="str">
        <f>VLOOKUP(A47,'PTO SUMMARY 2027'!B:E,4,0)</f>
        <v>OWM</v>
      </c>
      <c r="D47" t="str">
        <f t="shared" si="0"/>
        <v>PTP|1||||||||||||0.00|A|||</v>
      </c>
      <c r="F47" s="133">
        <f>SUMIFS('PTO SUMMARY 2027'!BG:BG,'PTO SUMMARY 2027'!B:B,$A47)</f>
        <v>0</v>
      </c>
    </row>
    <row r="48" spans="1:6">
      <c r="A48" s="8" t="s">
        <v>162</v>
      </c>
      <c r="B48" s="8" t="s">
        <v>436</v>
      </c>
      <c r="C48" t="str">
        <f>VLOOKUP(A48,'PTO SUMMARY 2027'!B:E,4,0)</f>
        <v>SAM</v>
      </c>
      <c r="D48" t="str">
        <f t="shared" si="0"/>
        <v>PTO|1||||||||||||0.00|A|||</v>
      </c>
      <c r="F48" s="133">
        <f>SUMIFS('PTO SUMMARY 2027'!BG:BG,'PTO SUMMARY 2027'!B:B,$A48)</f>
        <v>0</v>
      </c>
    </row>
    <row r="49" spans="1:6">
      <c r="A49" s="8" t="s">
        <v>164</v>
      </c>
      <c r="B49" s="8" t="s">
        <v>436</v>
      </c>
      <c r="C49" t="str">
        <f>VLOOKUP(A49,'PTO SUMMARY 2027'!B:E,4,0)</f>
        <v>OWM</v>
      </c>
      <c r="D49" t="str">
        <f t="shared" si="0"/>
        <v>PTP|1||||||||||||0.00|A|||</v>
      </c>
      <c r="F49" s="133">
        <f>SUMIFS('PTO SUMMARY 2027'!BG:BG,'PTO SUMMARY 2027'!B:B,$A49)</f>
        <v>0</v>
      </c>
    </row>
    <row r="50" spans="1:6">
      <c r="A50" s="8" t="s">
        <v>166</v>
      </c>
      <c r="B50" s="8" t="s">
        <v>436</v>
      </c>
      <c r="C50" t="str">
        <f>VLOOKUP(A50,'PTO SUMMARY 2027'!B:E,4,0)</f>
        <v>OWA</v>
      </c>
      <c r="D50" t="str">
        <f t="shared" si="0"/>
        <v>PTP|1||||||||||||0.00|A|||</v>
      </c>
      <c r="F50" s="133">
        <f>SUMIFS('PTO SUMMARY 2027'!BG:BG,'PTO SUMMARY 2027'!B:B,$A50)</f>
        <v>0</v>
      </c>
    </row>
    <row r="51" spans="1:6">
      <c r="A51" s="8" t="s">
        <v>168</v>
      </c>
      <c r="B51" s="8" t="s">
        <v>436</v>
      </c>
      <c r="C51" t="str">
        <f>VLOOKUP(A51,'PTO SUMMARY 2027'!B:E,4,0)</f>
        <v>OWM</v>
      </c>
      <c r="D51" t="str">
        <f t="shared" si="0"/>
        <v>PTP|1||||||||||||0.00|A|||</v>
      </c>
      <c r="F51" s="133">
        <f>SUMIFS('PTO SUMMARY 2027'!BG:BG,'PTO SUMMARY 2027'!B:B,$A51)</f>
        <v>0</v>
      </c>
    </row>
    <row r="52" spans="1:6">
      <c r="A52" s="8" t="s">
        <v>170</v>
      </c>
      <c r="B52" s="8" t="s">
        <v>436</v>
      </c>
      <c r="C52" t="str">
        <f>VLOOKUP(A52,'PTO SUMMARY 2027'!B:E,4,0)</f>
        <v>SMA</v>
      </c>
      <c r="D52" t="str">
        <f t="shared" si="0"/>
        <v>PTO|1||||||||||||0.00|A|||</v>
      </c>
      <c r="F52" s="133">
        <f>SUMIFS('PTO SUMMARY 2027'!BG:BG,'PTO SUMMARY 2027'!B:B,$A52)</f>
        <v>0</v>
      </c>
    </row>
    <row r="53" spans="1:6">
      <c r="A53" s="8" t="s">
        <v>174</v>
      </c>
      <c r="B53" s="8" t="s">
        <v>436</v>
      </c>
      <c r="C53" t="str">
        <f>VLOOKUP(A53,'PTO SUMMARY 2027'!B:E,4,0)</f>
        <v>OWA</v>
      </c>
      <c r="D53" t="str">
        <f t="shared" si="0"/>
        <v>PTP|1||||||||||||0.00|A|||</v>
      </c>
      <c r="F53" s="133">
        <f>SUMIFS('PTO SUMMARY 2027'!BG:BG,'PTO SUMMARY 2027'!B:B,$A53)</f>
        <v>0</v>
      </c>
    </row>
    <row r="54" spans="1:6">
      <c r="A54" s="8" t="s">
        <v>176</v>
      </c>
      <c r="B54" s="8" t="s">
        <v>436</v>
      </c>
      <c r="C54" t="str">
        <f>VLOOKUP(A54,'PTO SUMMARY 2027'!B:E,4,0)</f>
        <v>OWA</v>
      </c>
      <c r="D54" t="str">
        <f t="shared" si="0"/>
        <v>PTP|1||||||||||||0.00|A|||</v>
      </c>
      <c r="F54" s="133">
        <f>SUMIFS('PTO SUMMARY 2027'!BG:BG,'PTO SUMMARY 2027'!B:B,$A54)</f>
        <v>0</v>
      </c>
    </row>
    <row r="55" spans="1:6">
      <c r="A55" s="8" t="s">
        <v>178</v>
      </c>
      <c r="B55" s="8" t="s">
        <v>436</v>
      </c>
      <c r="C55" t="str">
        <f>VLOOKUP(A55,'PTO SUMMARY 2027'!B:E,4,0)</f>
        <v>OWA</v>
      </c>
      <c r="D55" t="str">
        <f t="shared" si="0"/>
        <v>PTP|1||||||||||||0.00|A|||</v>
      </c>
      <c r="F55" s="133">
        <f>SUMIFS('PTO SUMMARY 2027'!BG:BG,'PTO SUMMARY 2027'!B:B,$A55)</f>
        <v>0</v>
      </c>
    </row>
    <row r="56" spans="1:6">
      <c r="A56" s="8" t="s">
        <v>184</v>
      </c>
      <c r="B56" s="8" t="s">
        <v>436</v>
      </c>
      <c r="C56" t="str">
        <f>VLOOKUP(A56,'PTO SUMMARY 2027'!B:E,4,0)</f>
        <v>PTT</v>
      </c>
      <c r="D56" t="str">
        <f t="shared" si="0"/>
        <v>PTO|1||||||||||||0.00|A|||</v>
      </c>
      <c r="F56" s="133">
        <f>SUMIFS('PTO SUMMARY 2027'!BG:BG,'PTO SUMMARY 2027'!B:B,$A56)</f>
        <v>0</v>
      </c>
    </row>
    <row r="57" spans="1:6">
      <c r="A57" s="8" t="s">
        <v>189</v>
      </c>
      <c r="B57" s="8" t="s">
        <v>436</v>
      </c>
      <c r="C57" t="str">
        <f>VLOOKUP(A57,'PTO SUMMARY 2027'!B:E,4,0)</f>
        <v>OWM</v>
      </c>
      <c r="D57" t="str">
        <f t="shared" si="0"/>
        <v>PTP|1||||||||||||0.00|A|||</v>
      </c>
      <c r="F57" s="133">
        <f>SUMIFS('PTO SUMMARY 2027'!BG:BG,'PTO SUMMARY 2027'!B:B,$A57)</f>
        <v>0</v>
      </c>
    </row>
    <row r="58" spans="1:6">
      <c r="A58" s="8" t="s">
        <v>196</v>
      </c>
      <c r="B58" s="8" t="s">
        <v>436</v>
      </c>
      <c r="C58" t="str">
        <f>VLOOKUP(A58,'PTO SUMMARY 2027'!B:E,4,0)</f>
        <v>OWM</v>
      </c>
      <c r="D58" t="str">
        <f t="shared" si="0"/>
        <v>PTP|1||||||||||||0.00|A|||</v>
      </c>
      <c r="F58" s="133">
        <f>SUMIFS('PTO SUMMARY 2027'!BG:BG,'PTO SUMMARY 2027'!B:B,$A58)</f>
        <v>0</v>
      </c>
    </row>
    <row r="59" spans="1:6">
      <c r="A59" s="8" t="s">
        <v>198</v>
      </c>
      <c r="B59" s="8" t="s">
        <v>436</v>
      </c>
      <c r="C59" t="str">
        <f>VLOOKUP(A59,'PTO SUMMARY 2027'!B:E,4,0)</f>
        <v>OWM</v>
      </c>
      <c r="D59" t="str">
        <f t="shared" si="0"/>
        <v>PTP|1||||||||||||0.00|A|||</v>
      </c>
      <c r="F59" s="133">
        <f>SUMIFS('PTO SUMMARY 2027'!BG:BG,'PTO SUMMARY 2027'!B:B,$A59)</f>
        <v>0</v>
      </c>
    </row>
    <row r="60" spans="1:6">
      <c r="A60" s="8" t="s">
        <v>200</v>
      </c>
      <c r="B60" s="8" t="s">
        <v>436</v>
      </c>
      <c r="C60" t="str">
        <f>VLOOKUP(A60,'PTO SUMMARY 2027'!B:E,4,0)</f>
        <v>OWA</v>
      </c>
      <c r="D60" t="str">
        <f t="shared" si="0"/>
        <v>PTP|1||||||||||||0.00|A|||</v>
      </c>
      <c r="F60" s="133">
        <f>SUMIFS('PTO SUMMARY 2027'!BG:BG,'PTO SUMMARY 2027'!B:B,$A60)</f>
        <v>0</v>
      </c>
    </row>
    <row r="61" spans="1:6">
      <c r="A61" s="8" t="s">
        <v>204</v>
      </c>
      <c r="B61" s="8" t="s">
        <v>436</v>
      </c>
      <c r="C61" t="str">
        <f>VLOOKUP(A61,'PTO SUMMARY 2027'!B:E,4,0)</f>
        <v>SMA</v>
      </c>
      <c r="D61" t="str">
        <f t="shared" si="0"/>
        <v>PTO|1||||||||||||0.00|A|||</v>
      </c>
      <c r="F61" s="133">
        <f>SUMIFS('PTO SUMMARY 2027'!BG:BG,'PTO SUMMARY 2027'!B:B,$A61)</f>
        <v>0</v>
      </c>
    </row>
    <row r="62" spans="1:6">
      <c r="A62" s="8" t="s">
        <v>206</v>
      </c>
      <c r="B62" s="8" t="s">
        <v>436</v>
      </c>
      <c r="C62" t="str">
        <f>VLOOKUP(A62,'PTO SUMMARY 2027'!B:E,4,0)</f>
        <v>OWM</v>
      </c>
      <c r="D62" t="str">
        <f t="shared" si="0"/>
        <v>PTP|1||||||||||||0.00|A|||</v>
      </c>
      <c r="F62" s="133">
        <f>SUMIFS('PTO SUMMARY 2027'!BG:BG,'PTO SUMMARY 2027'!B:B,$A62)</f>
        <v>0</v>
      </c>
    </row>
    <row r="63" spans="1:6">
      <c r="A63" s="8" t="s">
        <v>212</v>
      </c>
      <c r="B63" s="8" t="s">
        <v>436</v>
      </c>
      <c r="C63" t="str">
        <f>VLOOKUP(A63,'PTO SUMMARY 2027'!B:E,4,0)</f>
        <v>OWA</v>
      </c>
      <c r="D63" t="str">
        <f t="shared" si="0"/>
        <v>PTP|1||||||||||||0.00|A|||</v>
      </c>
      <c r="F63" s="133">
        <f>SUMIFS('PTO SUMMARY 2027'!BG:BG,'PTO SUMMARY 2027'!B:B,$A63)</f>
        <v>0</v>
      </c>
    </row>
    <row r="64" spans="1:6">
      <c r="A64" s="8" t="s">
        <v>214</v>
      </c>
      <c r="B64" s="8" t="s">
        <v>436</v>
      </c>
      <c r="C64" t="str">
        <f>VLOOKUP(A64,'PTO SUMMARY 2027'!B:E,4,0)</f>
        <v>MFM</v>
      </c>
      <c r="D64" t="str">
        <f t="shared" si="0"/>
        <v>PTP|1||||||||||||0.00|A|||</v>
      </c>
      <c r="F64" s="133">
        <f>SUMIFS('PTO SUMMARY 2027'!BG:BG,'PTO SUMMARY 2027'!B:B,$A64)</f>
        <v>0</v>
      </c>
    </row>
    <row r="65" spans="1:6">
      <c r="A65" s="8" t="s">
        <v>216</v>
      </c>
      <c r="B65" s="8" t="s">
        <v>436</v>
      </c>
      <c r="C65" t="str">
        <f>VLOOKUP(A65,'PTO SUMMARY 2027'!B:E,4,0)</f>
        <v>SMA</v>
      </c>
      <c r="D65" t="str">
        <f t="shared" si="0"/>
        <v>PTO|1||||||||||||0.00|A|||</v>
      </c>
      <c r="F65" s="133">
        <f>SUMIFS('PTO SUMMARY 2027'!BG:BG,'PTO SUMMARY 2027'!B:B,$A65)</f>
        <v>0</v>
      </c>
    </row>
    <row r="66" spans="1:6">
      <c r="A66" s="8" t="s">
        <v>218</v>
      </c>
      <c r="B66" s="8" t="s">
        <v>436</v>
      </c>
      <c r="C66" t="str">
        <f>VLOOKUP(A66,'PTO SUMMARY 2027'!B:E,4,0)</f>
        <v>OWA</v>
      </c>
      <c r="D66" t="str">
        <f t="shared" si="0"/>
        <v>PTP|1||||||||||||0.00|A|||</v>
      </c>
      <c r="F66" s="133">
        <f>SUMIFS('PTO SUMMARY 2027'!BG:BG,'PTO SUMMARY 2027'!B:B,$A66)</f>
        <v>0</v>
      </c>
    </row>
    <row r="67" spans="1:6">
      <c r="A67" s="8" t="s">
        <v>220</v>
      </c>
      <c r="B67" s="8" t="s">
        <v>436</v>
      </c>
      <c r="C67" t="str">
        <f>VLOOKUP(A67,'PTO SUMMARY 2027'!B:E,4,0)</f>
        <v>OWM</v>
      </c>
      <c r="D67" t="str">
        <f t="shared" si="0"/>
        <v>PTP|1||||||||||||0.00|A|||</v>
      </c>
      <c r="F67" s="133">
        <f>SUMIFS('PTO SUMMARY 2027'!BG:BG,'PTO SUMMARY 2027'!B:B,$A67)</f>
        <v>0</v>
      </c>
    </row>
    <row r="68" spans="1:6">
      <c r="A68" s="8" t="s">
        <v>222</v>
      </c>
      <c r="B68" s="8" t="s">
        <v>436</v>
      </c>
      <c r="C68" t="str">
        <f>VLOOKUP(A68,'PTO SUMMARY 2027'!B:E,4,0)</f>
        <v>SMA</v>
      </c>
      <c r="D68" t="str">
        <f t="shared" si="0"/>
        <v>PTO|1||||||||||||0.00|A|||</v>
      </c>
      <c r="F68" s="133">
        <f>SUMIFS('PTO SUMMARY 2027'!BG:BG,'PTO SUMMARY 2027'!B:B,$A68)</f>
        <v>0</v>
      </c>
    </row>
    <row r="69" spans="1:6">
      <c r="A69" s="8" t="s">
        <v>224</v>
      </c>
      <c r="B69" s="8" t="s">
        <v>436</v>
      </c>
      <c r="C69" t="str">
        <f>VLOOKUP(A69,'PTO SUMMARY 2027'!B:E,4,0)</f>
        <v>OWM</v>
      </c>
      <c r="D69" t="str">
        <f t="shared" si="0"/>
        <v>PTP|1||||||||||||0.00|A|||</v>
      </c>
      <c r="F69" s="133">
        <f>SUMIFS('PTO SUMMARY 2027'!BG:BG,'PTO SUMMARY 2027'!B:B,$A69)</f>
        <v>0</v>
      </c>
    </row>
    <row r="70" spans="1:6">
      <c r="A70" s="8" t="s">
        <v>226</v>
      </c>
      <c r="B70" s="8" t="s">
        <v>436</v>
      </c>
      <c r="C70" t="str">
        <f>VLOOKUP(A70,'PTO SUMMARY 2027'!B:E,4,0)</f>
        <v>OWA</v>
      </c>
      <c r="D70" t="str">
        <f t="shared" si="0"/>
        <v>PTP|1||||||||||||0.00|A|||</v>
      </c>
      <c r="F70" s="133">
        <f>SUMIFS('PTO SUMMARY 2027'!BG:BG,'PTO SUMMARY 2027'!B:B,$A70)</f>
        <v>0</v>
      </c>
    </row>
    <row r="71" spans="1:6">
      <c r="A71" s="8" t="s">
        <v>228</v>
      </c>
      <c r="B71" s="8" t="s">
        <v>436</v>
      </c>
      <c r="C71" t="str">
        <f>VLOOKUP(A71,'PTO SUMMARY 2027'!B:E,4,0)</f>
        <v>OWM</v>
      </c>
      <c r="D71" t="str">
        <f t="shared" si="0"/>
        <v>PTP|1||||||||||||0.00|A|||</v>
      </c>
      <c r="F71" s="133">
        <f>SUMIFS('PTO SUMMARY 2027'!BG:BG,'PTO SUMMARY 2027'!B:B,$A71)</f>
        <v>0</v>
      </c>
    </row>
    <row r="72" spans="1:6">
      <c r="A72" s="8" t="s">
        <v>230</v>
      </c>
      <c r="B72" s="8" t="s">
        <v>436</v>
      </c>
      <c r="C72" t="str">
        <f>VLOOKUP(A72,'PTO SUMMARY 2027'!B:E,4,0)</f>
        <v>SMA</v>
      </c>
      <c r="D72" t="str">
        <f t="shared" si="0"/>
        <v>PTO|1||||||||||||0.00|A|||</v>
      </c>
      <c r="F72" s="133">
        <f>SUMIFS('PTO SUMMARY 2027'!BG:BG,'PTO SUMMARY 2027'!B:B,$A72)</f>
        <v>0</v>
      </c>
    </row>
    <row r="73" spans="1:6">
      <c r="A73" s="8" t="s">
        <v>232</v>
      </c>
      <c r="B73" s="8" t="s">
        <v>436</v>
      </c>
      <c r="C73" t="str">
        <f>VLOOKUP(A73,'PTO SUMMARY 2027'!B:E,4,0)</f>
        <v>SMA</v>
      </c>
      <c r="D73" t="str">
        <f t="shared" ref="D73:D126" si="1">IF(1=0,"DO NOT POST",IF(OR(C73="OWM",C73="OWA",C73="CEO",C73="MFM"),"PTP","PTO")&amp;"|1||||||||||||"&amp;TEXT(F73,"#0.00")&amp;"|A|||")</f>
        <v>PTO|1||||||||||||0.00|A|||</v>
      </c>
      <c r="F73" s="133">
        <f>SUMIFS('PTO SUMMARY 2027'!BG:BG,'PTO SUMMARY 2027'!B:B,$A73)</f>
        <v>0</v>
      </c>
    </row>
    <row r="74" spans="1:6">
      <c r="A74" s="8" t="s">
        <v>234</v>
      </c>
      <c r="B74" s="8" t="s">
        <v>436</v>
      </c>
      <c r="C74" t="str">
        <f>VLOOKUP(A74,'PTO SUMMARY 2027'!B:E,4,0)</f>
        <v>OWA</v>
      </c>
      <c r="D74" t="str">
        <f t="shared" si="1"/>
        <v>PTP|1||||||||||||0.00|A|||</v>
      </c>
      <c r="F74" s="133">
        <f>SUMIFS('PTO SUMMARY 2027'!BG:BG,'PTO SUMMARY 2027'!B:B,$A74)</f>
        <v>0</v>
      </c>
    </row>
    <row r="75" spans="1:6">
      <c r="A75" s="8" t="s">
        <v>236</v>
      </c>
      <c r="B75" s="8" t="s">
        <v>436</v>
      </c>
      <c r="C75" t="str">
        <f>VLOOKUP(A75,'PTO SUMMARY 2027'!B:E,4,0)</f>
        <v>SMA</v>
      </c>
      <c r="D75" t="str">
        <f t="shared" si="1"/>
        <v>PTO|1||||||||||||0.00|A|||</v>
      </c>
      <c r="F75" s="133">
        <f>SUMIFS('PTO SUMMARY 2027'!BG:BG,'PTO SUMMARY 2027'!B:B,$A75)</f>
        <v>0</v>
      </c>
    </row>
    <row r="76" spans="1:6">
      <c r="A76" s="8" t="s">
        <v>242</v>
      </c>
      <c r="B76" s="8" t="s">
        <v>436</v>
      </c>
      <c r="C76" t="str">
        <f>VLOOKUP(A76,'PTO SUMMARY 2027'!B:E,4,0)</f>
        <v>SMA</v>
      </c>
      <c r="D76" t="str">
        <f t="shared" si="1"/>
        <v>PTO|1||||||||||||0.00|A|||</v>
      </c>
      <c r="F76" s="133">
        <f>SUMIFS('PTO SUMMARY 2027'!BG:BG,'PTO SUMMARY 2027'!B:B,$A76)</f>
        <v>0</v>
      </c>
    </row>
    <row r="77" spans="1:6">
      <c r="A77" s="8" t="s">
        <v>244</v>
      </c>
      <c r="B77" s="8" t="s">
        <v>436</v>
      </c>
      <c r="C77" t="str">
        <f>VLOOKUP(A77,'PTO SUMMARY 2027'!B:E,4,0)</f>
        <v>SMA</v>
      </c>
      <c r="D77" t="str">
        <f t="shared" si="1"/>
        <v>PTO|1||||||||||||0.00|A|||</v>
      </c>
      <c r="F77" s="133">
        <f>SUMIFS('PTO SUMMARY 2027'!BG:BG,'PTO SUMMARY 2027'!B:B,$A77)</f>
        <v>0</v>
      </c>
    </row>
    <row r="78" spans="1:6">
      <c r="A78" s="8" t="s">
        <v>246</v>
      </c>
      <c r="B78" s="8" t="s">
        <v>436</v>
      </c>
      <c r="C78" t="str">
        <f>VLOOKUP(A78,'PTO SUMMARY 2027'!B:E,4,0)</f>
        <v>OWA</v>
      </c>
      <c r="D78" t="str">
        <f t="shared" si="1"/>
        <v>PTP|1||||||||||||0.00|A|||</v>
      </c>
      <c r="F78" s="133">
        <f>SUMIFS('PTO SUMMARY 2027'!BG:BG,'PTO SUMMARY 2027'!B:B,$A78)</f>
        <v>0</v>
      </c>
    </row>
    <row r="79" spans="1:6">
      <c r="A79" s="8" t="s">
        <v>250</v>
      </c>
      <c r="B79" s="8" t="s">
        <v>436</v>
      </c>
      <c r="C79" t="str">
        <f>VLOOKUP(A79,'PTO SUMMARY 2027'!B:E,4,0)</f>
        <v>SMA</v>
      </c>
      <c r="D79" t="str">
        <f t="shared" si="1"/>
        <v>PTO|1||||||||||||0.00|A|||</v>
      </c>
      <c r="F79" s="133">
        <f>SUMIFS('PTO SUMMARY 2027'!BG:BG,'PTO SUMMARY 2027'!B:B,$A79)</f>
        <v>0</v>
      </c>
    </row>
    <row r="80" spans="1:6">
      <c r="A80" s="8" t="s">
        <v>252</v>
      </c>
      <c r="B80" s="8" t="s">
        <v>436</v>
      </c>
      <c r="C80" t="str">
        <f>VLOOKUP(A80,'PTO SUMMARY 2027'!B:E,4,0)</f>
        <v>OWM</v>
      </c>
      <c r="D80" t="str">
        <f t="shared" si="1"/>
        <v>PTP|1||||||||||||0.00|A|||</v>
      </c>
      <c r="F80" s="133">
        <f>SUMIFS('PTO SUMMARY 2027'!BG:BG,'PTO SUMMARY 2027'!B:B,$A80)</f>
        <v>0</v>
      </c>
    </row>
    <row r="81" spans="1:6">
      <c r="A81" s="8" t="s">
        <v>254</v>
      </c>
      <c r="B81" s="8" t="s">
        <v>436</v>
      </c>
      <c r="C81" t="str">
        <f>VLOOKUP(A81,'PTO SUMMARY 2027'!B:E,4,0)</f>
        <v>OWA</v>
      </c>
      <c r="D81" t="str">
        <f t="shared" si="1"/>
        <v>PTP|1||||||||||||0.00|A|||</v>
      </c>
      <c r="F81" s="133">
        <f>SUMIFS('PTO SUMMARY 2027'!BG:BG,'PTO SUMMARY 2027'!B:B,$A81)</f>
        <v>0</v>
      </c>
    </row>
    <row r="82" spans="1:6">
      <c r="A82" s="8" t="s">
        <v>256</v>
      </c>
      <c r="B82" s="8" t="s">
        <v>436</v>
      </c>
      <c r="C82" t="str">
        <f>VLOOKUP(A82,'PTO SUMMARY 2027'!B:E,4,0)</f>
        <v>SMA</v>
      </c>
      <c r="D82" t="str">
        <f t="shared" si="1"/>
        <v>PTO|1||||||||||||0.00|A|||</v>
      </c>
      <c r="F82" s="133">
        <f>SUMIFS('PTO SUMMARY 2027'!BG:BG,'PTO SUMMARY 2027'!B:B,$A82)</f>
        <v>0</v>
      </c>
    </row>
    <row r="83" spans="1:6">
      <c r="A83" s="8" t="s">
        <v>258</v>
      </c>
      <c r="B83" s="8" t="s">
        <v>436</v>
      </c>
      <c r="C83" t="str">
        <f>VLOOKUP(A83,'PTO SUMMARY 2027'!B:E,4,0)</f>
        <v>OWM</v>
      </c>
      <c r="D83" t="str">
        <f t="shared" si="1"/>
        <v>PTP|1||||||||||||0.00|A|||</v>
      </c>
      <c r="F83" s="133">
        <f>SUMIFS('PTO SUMMARY 2027'!BG:BG,'PTO SUMMARY 2027'!B:B,$A83)</f>
        <v>0</v>
      </c>
    </row>
    <row r="84" spans="1:6">
      <c r="A84" s="8" t="s">
        <v>260</v>
      </c>
      <c r="B84" s="8" t="s">
        <v>436</v>
      </c>
      <c r="C84" t="str">
        <f>VLOOKUP(A84,'PTO SUMMARY 2027'!B:E,4,0)</f>
        <v>OWA</v>
      </c>
      <c r="D84" t="str">
        <f t="shared" si="1"/>
        <v>PTP|1||||||||||||0.00|A|||</v>
      </c>
      <c r="F84" s="133">
        <f>SUMIFS('PTO SUMMARY 2027'!BG:BG,'PTO SUMMARY 2027'!B:B,$A84)</f>
        <v>0</v>
      </c>
    </row>
    <row r="85" spans="1:6">
      <c r="A85" s="8" t="s">
        <v>262</v>
      </c>
      <c r="B85" s="8" t="s">
        <v>436</v>
      </c>
      <c r="C85" t="str">
        <f>VLOOKUP(A85,'PTO SUMMARY 2027'!B:E,4,0)</f>
        <v>SAM</v>
      </c>
      <c r="D85" t="str">
        <f t="shared" si="1"/>
        <v>PTO|1||||||||||||0.00|A|||</v>
      </c>
      <c r="F85" s="133">
        <f>SUMIFS('PTO SUMMARY 2027'!BG:BG,'PTO SUMMARY 2027'!B:B,$A85)</f>
        <v>0</v>
      </c>
    </row>
    <row r="86" spans="1:6">
      <c r="A86" s="8" t="s">
        <v>264</v>
      </c>
      <c r="B86" s="8" t="s">
        <v>436</v>
      </c>
      <c r="C86" t="str">
        <f>VLOOKUP(A86,'PTO SUMMARY 2027'!B:E,4,0)</f>
        <v>SAM</v>
      </c>
      <c r="D86" t="str">
        <f t="shared" si="1"/>
        <v>PTO|1||||||||||||0.00|A|||</v>
      </c>
      <c r="F86" s="133">
        <f>SUMIFS('PTO SUMMARY 2027'!BG:BG,'PTO SUMMARY 2027'!B:B,$A86)</f>
        <v>0</v>
      </c>
    </row>
    <row r="87" spans="1:6">
      <c r="A87" s="8" t="s">
        <v>266</v>
      </c>
      <c r="B87" s="8" t="s">
        <v>436</v>
      </c>
      <c r="C87" t="str">
        <f>VLOOKUP(A87,'PTO SUMMARY 2027'!B:E,4,0)</f>
        <v>OWM</v>
      </c>
      <c r="D87" t="str">
        <f t="shared" si="1"/>
        <v>PTP|1||||||||||||0.00|A|||</v>
      </c>
      <c r="F87" s="133">
        <f>SUMIFS('PTO SUMMARY 2027'!BG:BG,'PTO SUMMARY 2027'!B:B,$A87)</f>
        <v>0</v>
      </c>
    </row>
    <row r="88" spans="1:6">
      <c r="A88" s="8" t="s">
        <v>270</v>
      </c>
      <c r="B88" s="8" t="s">
        <v>436</v>
      </c>
      <c r="C88" t="str">
        <f>VLOOKUP(A88,'PTO SUMMARY 2027'!B:E,4,0)</f>
        <v>OWM</v>
      </c>
      <c r="D88" t="str">
        <f t="shared" si="1"/>
        <v>PTP|1||||||||||||0.00|A|||</v>
      </c>
      <c r="F88" s="133">
        <f>SUMIFS('PTO SUMMARY 2027'!BG:BG,'PTO SUMMARY 2027'!B:B,$A88)</f>
        <v>0</v>
      </c>
    </row>
    <row r="89" spans="1:6">
      <c r="A89" s="8" t="s">
        <v>272</v>
      </c>
      <c r="B89" s="8" t="s">
        <v>436</v>
      </c>
      <c r="C89" t="str">
        <f>VLOOKUP(A89,'PTO SUMMARY 2027'!B:E,4,0)</f>
        <v>OWA</v>
      </c>
      <c r="D89" t="str">
        <f t="shared" si="1"/>
        <v>PTP|1||||||||||||0.00|A|||</v>
      </c>
      <c r="F89" s="133">
        <f>SUMIFS('PTO SUMMARY 2027'!BG:BG,'PTO SUMMARY 2027'!B:B,$A89)</f>
        <v>0</v>
      </c>
    </row>
    <row r="90" spans="1:6">
      <c r="A90" s="8" t="s">
        <v>274</v>
      </c>
      <c r="B90" s="8" t="s">
        <v>436</v>
      </c>
      <c r="C90" t="str">
        <f>VLOOKUP(A90,'PTO SUMMARY 2027'!B:E,4,0)</f>
        <v>OWM</v>
      </c>
      <c r="D90" t="str">
        <f t="shared" si="1"/>
        <v>PTP|1||||||||||||0.00|A|||</v>
      </c>
      <c r="F90" s="133">
        <f>SUMIFS('PTO SUMMARY 2027'!BG:BG,'PTO SUMMARY 2027'!B:B,$A90)</f>
        <v>0</v>
      </c>
    </row>
    <row r="91" spans="1:6">
      <c r="A91" s="8" t="s">
        <v>276</v>
      </c>
      <c r="B91" s="8" t="s">
        <v>436</v>
      </c>
      <c r="C91" t="str">
        <f>VLOOKUP(A91,'PTO SUMMARY 2027'!B:E,4,0)</f>
        <v>OWM</v>
      </c>
      <c r="D91" t="str">
        <f t="shared" si="1"/>
        <v>PTP|1||||||||||||0.00|A|||</v>
      </c>
      <c r="F91" s="133">
        <f>SUMIFS('PTO SUMMARY 2027'!BG:BG,'PTO SUMMARY 2027'!B:B,$A91)</f>
        <v>0</v>
      </c>
    </row>
    <row r="92" spans="1:6">
      <c r="A92" s="8" t="s">
        <v>280</v>
      </c>
      <c r="B92" s="8" t="s">
        <v>436</v>
      </c>
      <c r="C92" t="str">
        <f>VLOOKUP(A92,'PTO SUMMARY 2027'!B:E,4,0)</f>
        <v>SMA</v>
      </c>
      <c r="D92" t="str">
        <f t="shared" si="1"/>
        <v>PTO|1||||||||||||0.00|A|||</v>
      </c>
      <c r="F92" s="133">
        <f>SUMIFS('PTO SUMMARY 2027'!BG:BG,'PTO SUMMARY 2027'!B:B,$A92)</f>
        <v>0</v>
      </c>
    </row>
    <row r="93" spans="1:6">
      <c r="A93" s="8" t="s">
        <v>282</v>
      </c>
      <c r="B93" s="8" t="s">
        <v>436</v>
      </c>
      <c r="C93" t="str">
        <f>VLOOKUP(A93,'PTO SUMMARY 2027'!B:E,4,0)</f>
        <v>SAM</v>
      </c>
      <c r="D93" t="str">
        <f t="shared" si="1"/>
        <v>PTO|1||||||||||||0.00|A|||</v>
      </c>
      <c r="F93" s="133">
        <f>SUMIFS('PTO SUMMARY 2027'!BG:BG,'PTO SUMMARY 2027'!B:B,$A93)</f>
        <v>0</v>
      </c>
    </row>
    <row r="94" spans="1:6">
      <c r="A94" s="8" t="s">
        <v>284</v>
      </c>
      <c r="B94" s="8" t="s">
        <v>436</v>
      </c>
      <c r="C94" t="str">
        <f>VLOOKUP(A94,'PTO SUMMARY 2027'!B:E,4,0)</f>
        <v>SMA</v>
      </c>
      <c r="D94" t="str">
        <f t="shared" si="1"/>
        <v>PTO|1||||||||||||0.00|A|||</v>
      </c>
      <c r="F94" s="133">
        <f>SUMIFS('PTO SUMMARY 2027'!BG:BG,'PTO SUMMARY 2027'!B:B,$A94)</f>
        <v>0</v>
      </c>
    </row>
    <row r="95" spans="1:6">
      <c r="A95" s="8" t="s">
        <v>286</v>
      </c>
      <c r="B95" s="8" t="s">
        <v>436</v>
      </c>
      <c r="C95" t="str">
        <f>VLOOKUP(A95,'PTO SUMMARY 2027'!B:E,4,0)</f>
        <v>OWA</v>
      </c>
      <c r="D95" t="str">
        <f t="shared" si="1"/>
        <v>PTP|1||||||||||||0.00|A|||</v>
      </c>
      <c r="F95" s="133">
        <f>SUMIFS('PTO SUMMARY 2027'!BG:BG,'PTO SUMMARY 2027'!B:B,$A95)</f>
        <v>0</v>
      </c>
    </row>
    <row r="96" spans="1:6">
      <c r="A96" s="8" t="s">
        <v>288</v>
      </c>
      <c r="B96" s="8" t="s">
        <v>436</v>
      </c>
      <c r="C96" t="str">
        <f>VLOOKUP(A96,'PTO SUMMARY 2027'!B:E,4,0)</f>
        <v>SMA</v>
      </c>
      <c r="D96" t="str">
        <f t="shared" si="1"/>
        <v>PTO|1||||||||||||0.00|A|||</v>
      </c>
      <c r="F96" s="133">
        <f>SUMIFS('PTO SUMMARY 2027'!BG:BG,'PTO SUMMARY 2027'!B:B,$A96)</f>
        <v>0</v>
      </c>
    </row>
    <row r="97" spans="1:6">
      <c r="A97" s="8" t="s">
        <v>292</v>
      </c>
      <c r="B97" s="8" t="s">
        <v>436</v>
      </c>
      <c r="C97" t="str">
        <f>VLOOKUP(A97,'PTO SUMMARY 2027'!B:E,4,0)</f>
        <v>SMA</v>
      </c>
      <c r="D97" t="str">
        <f t="shared" si="1"/>
        <v>PTO|1||||||||||||0.00|A|||</v>
      </c>
      <c r="F97" s="133">
        <f>SUMIFS('PTO SUMMARY 2027'!BG:BG,'PTO SUMMARY 2027'!B:B,$A97)</f>
        <v>0</v>
      </c>
    </row>
    <row r="98" spans="1:6">
      <c r="A98" s="8" t="s">
        <v>290</v>
      </c>
      <c r="B98" s="8" t="s">
        <v>436</v>
      </c>
      <c r="C98" t="str">
        <f>VLOOKUP(A98,'PTO SUMMARY 2027'!B:E,4,0)</f>
        <v>SAM</v>
      </c>
      <c r="D98" t="str">
        <f t="shared" si="1"/>
        <v>PTO|1||||||||||||0.00|A|||</v>
      </c>
      <c r="F98" s="133">
        <f>SUMIFS('PTO SUMMARY 2027'!BG:BG,'PTO SUMMARY 2027'!B:B,$A98)</f>
        <v>0</v>
      </c>
    </row>
    <row r="99" spans="1:6">
      <c r="A99" s="8" t="s">
        <v>294</v>
      </c>
      <c r="B99" s="8" t="s">
        <v>436</v>
      </c>
      <c r="C99" t="str">
        <f>VLOOKUP(A99,'PTO SUMMARY 2027'!B:E,4,0)</f>
        <v>OWM</v>
      </c>
      <c r="D99" t="str">
        <f t="shared" si="1"/>
        <v>PTP|1||||||||||||0.00|A|||</v>
      </c>
      <c r="F99" s="133">
        <f>SUMIFS('PTO SUMMARY 2027'!BG:BG,'PTO SUMMARY 2027'!B:B,$A99)</f>
        <v>0</v>
      </c>
    </row>
    <row r="100" spans="1:6">
      <c r="A100" s="8" t="s">
        <v>296</v>
      </c>
      <c r="B100" s="8" t="s">
        <v>436</v>
      </c>
      <c r="C100" t="str">
        <f>VLOOKUP(A100,'PTO SUMMARY 2027'!B:E,4,0)</f>
        <v>OWM</v>
      </c>
      <c r="D100" t="str">
        <f t="shared" si="1"/>
        <v>PTP|1||||||||||||0.00|A|||</v>
      </c>
      <c r="F100" s="133">
        <f>SUMIFS('PTO SUMMARY 2027'!BG:BG,'PTO SUMMARY 2027'!B:B,$A100)</f>
        <v>0</v>
      </c>
    </row>
    <row r="101" spans="1:6">
      <c r="A101" s="8" t="s">
        <v>298</v>
      </c>
      <c r="B101" s="8" t="s">
        <v>436</v>
      </c>
      <c r="C101" t="str">
        <f>VLOOKUP(A101,'PTO SUMMARY 2027'!B:E,4,0)</f>
        <v>OWM</v>
      </c>
      <c r="D101" t="str">
        <f t="shared" si="1"/>
        <v>PTP|1||||||||||||0.00|A|||</v>
      </c>
      <c r="F101" s="133">
        <f>SUMIFS('PTO SUMMARY 2027'!BG:BG,'PTO SUMMARY 2027'!B:B,$A101)</f>
        <v>0</v>
      </c>
    </row>
    <row r="102" spans="1:6">
      <c r="A102" s="8" t="s">
        <v>300</v>
      </c>
      <c r="B102" s="8" t="s">
        <v>436</v>
      </c>
      <c r="C102" t="str">
        <f>VLOOKUP(A102,'PTO SUMMARY 2027'!B:E,4,0)</f>
        <v>SMA</v>
      </c>
      <c r="D102" t="str">
        <f t="shared" si="1"/>
        <v>PTO|1||||||||||||0.00|A|||</v>
      </c>
      <c r="F102" s="133">
        <f>SUMIFS('PTO SUMMARY 2027'!BG:BG,'PTO SUMMARY 2027'!B:B,$A102)</f>
        <v>0</v>
      </c>
    </row>
    <row r="103" spans="1:6">
      <c r="A103" s="8" t="s">
        <v>304</v>
      </c>
      <c r="B103" s="8" t="s">
        <v>436</v>
      </c>
      <c r="C103" t="str">
        <f>VLOOKUP(A103,'PTO SUMMARY 2027'!B:E,4,0)</f>
        <v>OWM</v>
      </c>
      <c r="D103" t="str">
        <f t="shared" si="1"/>
        <v>PTP|1||||||||||||0.00|A|||</v>
      </c>
      <c r="F103" s="133">
        <f>SUMIFS('PTO SUMMARY 2027'!BG:BG,'PTO SUMMARY 2027'!B:B,$A103)</f>
        <v>0</v>
      </c>
    </row>
    <row r="104" spans="1:6">
      <c r="A104" s="8" t="s">
        <v>308</v>
      </c>
      <c r="B104" s="8" t="s">
        <v>436</v>
      </c>
      <c r="C104" t="str">
        <f>VLOOKUP(A104,'PTO SUMMARY 2027'!B:E,4,0)</f>
        <v>SMA</v>
      </c>
      <c r="D104" t="str">
        <f t="shared" si="1"/>
        <v>PTO|1||||||||||||0.00|A|||</v>
      </c>
      <c r="F104" s="133">
        <f>SUMIFS('PTO SUMMARY 2027'!BG:BG,'PTO SUMMARY 2027'!B:B,$A104)</f>
        <v>0</v>
      </c>
    </row>
    <row r="105" spans="1:6">
      <c r="A105" s="8" t="s">
        <v>315</v>
      </c>
      <c r="B105" s="8" t="s">
        <v>436</v>
      </c>
      <c r="C105" t="str">
        <f>VLOOKUP(A105,'PTO SUMMARY 2027'!B:E,4,0)</f>
        <v>MFM</v>
      </c>
      <c r="D105" t="str">
        <f t="shared" si="1"/>
        <v>PTP|1||||||||||||0.00|A|||</v>
      </c>
      <c r="F105" s="133">
        <f>SUMIFS('PTO SUMMARY 2027'!BG:BG,'PTO SUMMARY 2027'!B:B,$A105)</f>
        <v>0</v>
      </c>
    </row>
    <row r="106" spans="1:6">
      <c r="A106" s="8" t="s">
        <v>317</v>
      </c>
      <c r="B106" s="8" t="s">
        <v>436</v>
      </c>
      <c r="C106" t="str">
        <f>VLOOKUP(A106,'PTO SUMMARY 2027'!B:E,4,0)</f>
        <v>SMA</v>
      </c>
      <c r="D106" t="str">
        <f t="shared" si="1"/>
        <v>PTO|1||||||||||||0.00|A|||</v>
      </c>
      <c r="F106" s="133">
        <f>SUMIFS('PTO SUMMARY 2027'!BG:BG,'PTO SUMMARY 2027'!B:B,$A106)</f>
        <v>0</v>
      </c>
    </row>
    <row r="107" spans="1:6">
      <c r="A107" s="8" t="s">
        <v>319</v>
      </c>
      <c r="B107" s="8" t="s">
        <v>436</v>
      </c>
      <c r="C107" t="str">
        <f>VLOOKUP(A107,'PTO SUMMARY 2027'!B:E,4,0)</f>
        <v>OWM</v>
      </c>
      <c r="D107" t="str">
        <f t="shared" si="1"/>
        <v>PTP|1||||||||||||0.00|A|||</v>
      </c>
      <c r="F107" s="133">
        <f>SUMIFS('PTO SUMMARY 2027'!BG:BG,'PTO SUMMARY 2027'!B:B,$A107)</f>
        <v>0</v>
      </c>
    </row>
    <row r="108" spans="1:6">
      <c r="A108" s="8" t="s">
        <v>321</v>
      </c>
      <c r="B108" s="8" t="s">
        <v>436</v>
      </c>
      <c r="C108" t="str">
        <f>VLOOKUP(A108,'PTO SUMMARY 2027'!B:E,4,0)</f>
        <v>SMA</v>
      </c>
      <c r="D108" t="str">
        <f t="shared" si="1"/>
        <v>PTO|1||||||||||||0.00|A|||</v>
      </c>
      <c r="F108" s="133">
        <f>SUMIFS('PTO SUMMARY 2027'!BG:BG,'PTO SUMMARY 2027'!B:B,$A108)</f>
        <v>0</v>
      </c>
    </row>
    <row r="109" spans="1:6">
      <c r="A109" s="8" t="s">
        <v>323</v>
      </c>
      <c r="B109" s="8" t="s">
        <v>436</v>
      </c>
      <c r="C109" t="str">
        <f>VLOOKUP(A109,'PTO SUMMARY 2027'!B:E,4,0)</f>
        <v>MFM</v>
      </c>
      <c r="D109" t="str">
        <f t="shared" si="1"/>
        <v>PTP|1||||||||||||0.00|A|||</v>
      </c>
      <c r="F109" s="133">
        <f>SUMIFS('PTO SUMMARY 2027'!BG:BG,'PTO SUMMARY 2027'!B:B,$A109)</f>
        <v>0</v>
      </c>
    </row>
    <row r="110" spans="1:6">
      <c r="A110" s="8" t="s">
        <v>325</v>
      </c>
      <c r="B110" s="8" t="s">
        <v>436</v>
      </c>
      <c r="C110" t="str">
        <f>VLOOKUP(A110,'PTO SUMMARY 2027'!B:E,4,0)</f>
        <v>SMA</v>
      </c>
      <c r="D110" t="str">
        <f t="shared" si="1"/>
        <v>PTO|1||||||||||||0.00|A|||</v>
      </c>
      <c r="F110" s="133">
        <f>SUMIFS('PTO SUMMARY 2027'!BG:BG,'PTO SUMMARY 2027'!B:B,$A110)</f>
        <v>0</v>
      </c>
    </row>
    <row r="111" spans="1:6">
      <c r="A111" s="8" t="s">
        <v>327</v>
      </c>
      <c r="B111" s="8" t="s">
        <v>436</v>
      </c>
      <c r="C111" t="str">
        <f>VLOOKUP(A111,'PTO SUMMARY 2027'!B:E,4,0)</f>
        <v>MFM</v>
      </c>
      <c r="D111" t="str">
        <f t="shared" si="1"/>
        <v>PTP|1||||||||||||0.00|A|||</v>
      </c>
      <c r="F111" s="133">
        <f>SUMIFS('PTO SUMMARY 2027'!BG:BG,'PTO SUMMARY 2027'!B:B,$A111)</f>
        <v>0</v>
      </c>
    </row>
    <row r="112" spans="1:6">
      <c r="A112" s="8" t="s">
        <v>278</v>
      </c>
      <c r="B112" s="8" t="s">
        <v>436</v>
      </c>
      <c r="C112" t="str">
        <f>VLOOKUP(A112,'PTO SUMMARY 2027'!B:E,4,0)</f>
        <v>SAM</v>
      </c>
      <c r="D112" t="str">
        <f t="shared" si="1"/>
        <v>PTO|1||||||||||||0.00|A|||</v>
      </c>
      <c r="F112" s="133">
        <f>SUMIFS('PTO SUMMARY 2027'!BG:BG,'PTO SUMMARY 2027'!B:B,$A112)</f>
        <v>0</v>
      </c>
    </row>
    <row r="113" spans="1:6">
      <c r="A113" s="8" t="s">
        <v>208</v>
      </c>
      <c r="B113" s="8" t="s">
        <v>436</v>
      </c>
      <c r="C113" t="str">
        <f>VLOOKUP(A113,'PTO SUMMARY 2027'!B:E,4,0)</f>
        <v>SMA</v>
      </c>
      <c r="D113" t="str">
        <f t="shared" si="1"/>
        <v>PTO|1||||||||||||0.00|A|||</v>
      </c>
      <c r="F113" s="133">
        <f>SUMIFS('PTO SUMMARY 2027'!BG:BG,'PTO SUMMARY 2027'!B:B,$A113)</f>
        <v>0</v>
      </c>
    </row>
    <row r="114" spans="1:6">
      <c r="A114" s="8" t="s">
        <v>302</v>
      </c>
      <c r="B114" s="8" t="s">
        <v>436</v>
      </c>
      <c r="C114" t="str">
        <f>VLOOKUP(A114,'PTO SUMMARY 2027'!B:E,4,0)</f>
        <v>SAM</v>
      </c>
      <c r="D114" t="str">
        <f t="shared" si="1"/>
        <v>PTO|1||||||||||||0.00|A|||</v>
      </c>
      <c r="F114" s="133">
        <f>SUMIFS('PTO SUMMARY 2027'!BG:BG,'PTO SUMMARY 2027'!B:B,$A114)</f>
        <v>0</v>
      </c>
    </row>
    <row r="115" spans="1:6">
      <c r="A115" s="102" t="s">
        <v>172</v>
      </c>
      <c r="B115" s="8" t="s">
        <v>436</v>
      </c>
      <c r="C115" t="str">
        <f>VLOOKUP(A115,'PTO SUMMARY 2027'!B:E,4,0)</f>
        <v>SMA</v>
      </c>
      <c r="D115" t="str">
        <f t="shared" si="1"/>
        <v>PTO|1||||||||||||0.00|A|||</v>
      </c>
      <c r="F115" s="133">
        <f>SUMIFS('PTO SUMMARY 2027'!BG:BG,'PTO SUMMARY 2027'!B:B,$A115)</f>
        <v>0</v>
      </c>
    </row>
    <row r="116" spans="1:6">
      <c r="A116" s="40" t="s">
        <v>187</v>
      </c>
      <c r="B116" s="8" t="s">
        <v>436</v>
      </c>
      <c r="C116" t="str">
        <f>VLOOKUP(A116,'PTO SUMMARY 2027'!B:E,4,0)</f>
        <v>SMA</v>
      </c>
      <c r="D116" t="str">
        <f t="shared" si="1"/>
        <v>PTO|1||||||||||||0.00|A|||</v>
      </c>
      <c r="F116" s="133">
        <f>SUMIFS('PTO SUMMARY 2027'!BG:BG,'PTO SUMMARY 2027'!B:B,$A116)</f>
        <v>0</v>
      </c>
    </row>
    <row r="117" spans="1:6">
      <c r="A117" s="41" t="s">
        <v>182</v>
      </c>
      <c r="B117" s="8" t="s">
        <v>436</v>
      </c>
      <c r="C117" t="str">
        <f>VLOOKUP(A117,'PTO SUMMARY 2027'!B:E,4,0)</f>
        <v>SAM</v>
      </c>
      <c r="D117" t="str">
        <f t="shared" si="1"/>
        <v>PTO|1||||||||||||0.00|A|||</v>
      </c>
      <c r="F117" s="133">
        <f>SUMIFS('PTO SUMMARY 2027'!BG:BG,'PTO SUMMARY 2027'!B:B,$A117)</f>
        <v>0</v>
      </c>
    </row>
    <row r="118" spans="1:6">
      <c r="A118" s="41" t="s">
        <v>101</v>
      </c>
      <c r="B118" s="8" t="s">
        <v>436</v>
      </c>
      <c r="C118" t="str">
        <f>VLOOKUP(A118,'PTO SUMMARY 2027'!B:E,4,0)</f>
        <v>SAM</v>
      </c>
      <c r="D118" t="str">
        <f t="shared" si="1"/>
        <v>PTO|1||||||||||||0.00|A|||</v>
      </c>
      <c r="F118" s="133">
        <f>SUMIFS('PTO SUMMARY 2027'!BG:BG,'PTO SUMMARY 2027'!B:B,$A118)</f>
        <v>0</v>
      </c>
    </row>
    <row r="119" spans="1:6">
      <c r="A119" s="8" t="s">
        <v>248</v>
      </c>
      <c r="B119" s="8" t="s">
        <v>436</v>
      </c>
      <c r="C119" t="str">
        <f>VLOOKUP(A119,'PTO SUMMARY 2027'!B:E,4,0)</f>
        <v>SMA</v>
      </c>
      <c r="D119" t="str">
        <f t="shared" si="1"/>
        <v>PTO|1||||||||||||0.00|A|||</v>
      </c>
      <c r="F119" s="133">
        <f>SUMIFS('PTO SUMMARY 2027'!BG:BG,'PTO SUMMARY 2027'!B:B,$A119)</f>
        <v>0</v>
      </c>
    </row>
    <row r="120" spans="1:6">
      <c r="A120" s="39" t="s">
        <v>85</v>
      </c>
      <c r="B120" s="8" t="s">
        <v>436</v>
      </c>
      <c r="C120" t="str">
        <f>VLOOKUP(A120,'PTO SUMMARY 2027'!B:E,4,0)</f>
        <v>SAM</v>
      </c>
      <c r="D120" t="str">
        <f t="shared" si="1"/>
        <v>PTO|1||||||||||||0.00|A|||</v>
      </c>
      <c r="F120" s="133">
        <f>SUMIFS('PTO SUMMARY 2027'!BG:BG,'PTO SUMMARY 2027'!B:B,$A120)</f>
        <v>0</v>
      </c>
    </row>
    <row r="121" spans="1:6">
      <c r="A121" s="8" t="s">
        <v>140</v>
      </c>
      <c r="B121" s="8" t="s">
        <v>436</v>
      </c>
      <c r="C121" t="str">
        <f>VLOOKUP(A121,'PTO SUMMARY 2027'!B:E,4,0)</f>
        <v>SMA</v>
      </c>
      <c r="D121" t="str">
        <f t="shared" si="1"/>
        <v>PTO|1||||||||||||0.00|A|||</v>
      </c>
      <c r="F121" s="133">
        <f>SUMIFS('PTO SUMMARY 2027'!BG:BG,'PTO SUMMARY 2027'!B:B,$A121)</f>
        <v>0</v>
      </c>
    </row>
    <row r="122" spans="1:6">
      <c r="A122" s="8" t="s">
        <v>238</v>
      </c>
      <c r="B122" s="8" t="s">
        <v>436</v>
      </c>
      <c r="C122" t="str">
        <f>VLOOKUP(A122,'PTO SUMMARY 2027'!B:E,4,0)</f>
        <v>SMA</v>
      </c>
      <c r="D122" t="str">
        <f t="shared" si="1"/>
        <v>PTO|1||||||||||||0.00|A|||</v>
      </c>
      <c r="F122" s="133">
        <f>SUMIFS('PTO SUMMARY 2027'!BG:BG,'PTO SUMMARY 2027'!B:B,$A122)</f>
        <v>0</v>
      </c>
    </row>
    <row r="123" spans="1:6">
      <c r="A123" s="39" t="s">
        <v>194</v>
      </c>
      <c r="B123" s="8" t="s">
        <v>436</v>
      </c>
      <c r="C123" t="str">
        <f>VLOOKUP(A123,'PTO SUMMARY 2027'!B:E,4,0)</f>
        <v>SMA</v>
      </c>
      <c r="D123" t="str">
        <f t="shared" si="1"/>
        <v>PTO|1||||||||||||0.00|A|||</v>
      </c>
      <c r="F123" s="133">
        <f>SUMIFS('PTO SUMMARY 2027'!BG:BG,'PTO SUMMARY 2027'!B:B,$A123)</f>
        <v>0</v>
      </c>
    </row>
    <row r="124" spans="1:6">
      <c r="A124" s="39" t="s">
        <v>210</v>
      </c>
      <c r="B124" s="8" t="s">
        <v>436</v>
      </c>
      <c r="C124" t="str">
        <f>VLOOKUP(A124,'PTO SUMMARY 2027'!B:E,4,0)</f>
        <v>SMA</v>
      </c>
      <c r="D124" t="str">
        <f t="shared" si="1"/>
        <v>PTO|1||||||||||||0.00|A|||</v>
      </c>
      <c r="F124" s="133">
        <f>SUMIFS('PTO SUMMARY 2027'!BG:BG,'PTO SUMMARY 2027'!B:B,$A124)</f>
        <v>0</v>
      </c>
    </row>
    <row r="125" spans="1:6">
      <c r="A125" s="39" t="s">
        <v>192</v>
      </c>
      <c r="B125" s="8" t="s">
        <v>436</v>
      </c>
      <c r="C125" t="str">
        <f>VLOOKUP(A125,'PTO SUMMARY 2027'!B:E,4,0)</f>
        <v>SMA</v>
      </c>
      <c r="D125" t="str">
        <f t="shared" si="1"/>
        <v>PTO|1||||||||||||0.00|A|||</v>
      </c>
      <c r="F125" s="133">
        <f>SUMIFS('PTO SUMMARY 2027'!BG:BG,'PTO SUMMARY 2027'!B:B,$A125)</f>
        <v>0</v>
      </c>
    </row>
    <row r="126" spans="1:6">
      <c r="A126" s="8" t="s">
        <v>240</v>
      </c>
      <c r="B126" s="8" t="s">
        <v>436</v>
      </c>
      <c r="C126" t="str">
        <f>VLOOKUP(A126,'PTO SUMMARY 2027'!B:E,4,0)</f>
        <v>SMA</v>
      </c>
      <c r="D126" t="str">
        <f t="shared" si="1"/>
        <v>PTO|1||||||||||||0.00|A|||</v>
      </c>
      <c r="F126" s="133">
        <f>SUMIFS('PTO SUMMARY 2027'!BG:BG,'PTO SUMMARY 2027'!B:B,$A126)</f>
        <v>0</v>
      </c>
    </row>
    <row r="127" spans="1:6">
      <c r="A127" s="8" t="s">
        <v>142</v>
      </c>
      <c r="B127" s="8" t="s">
        <v>436</v>
      </c>
      <c r="C127" t="str">
        <f>VLOOKUP(A127,'PTO SUMMARY 2027'!B:E,4,0)</f>
        <v>SMA</v>
      </c>
      <c r="D127" t="str">
        <f t="shared" ref="D127:D128" si="2">IF(1=0,"DO NOT POST",IF(OR(C127="OWM",C127="OWA",C127="CEO",C127="MFM"),"PTP","PTO")&amp;"|1||||||||||||"&amp;TEXT(F127,"#0.00")&amp;"|A|||")</f>
        <v>PTO|1||||||||||||0.00|A|||</v>
      </c>
      <c r="F127" s="133">
        <f>SUMIFS('PTO SUMMARY 2027'!BG:BG,'PTO SUMMARY 2027'!B:B,$A127)</f>
        <v>0</v>
      </c>
    </row>
    <row r="128" spans="1:6">
      <c r="A128" s="41" t="s">
        <v>180</v>
      </c>
      <c r="B128" s="8" t="s">
        <v>436</v>
      </c>
      <c r="C128" t="str">
        <f>VLOOKUP(A128,'PTO SUMMARY 2027'!B:E,4,0)</f>
        <v>SMA</v>
      </c>
      <c r="D128" t="str">
        <f t="shared" si="2"/>
        <v>PTO|1||||||||||||0.00|A|||</v>
      </c>
      <c r="F128" s="133">
        <f>SUMIFS('PTO SUMMARY 2027'!BG:BG,'PTO SUMMARY 2027'!B:B,$A128)</f>
        <v>0</v>
      </c>
    </row>
    <row r="129" spans="1:6">
      <c r="A129" s="39" t="s">
        <v>310</v>
      </c>
      <c r="B129" s="8" t="s">
        <v>436</v>
      </c>
      <c r="C129" t="str">
        <f>VLOOKUP(A129,'PTO SUMMARY 2027'!B:E,4,0)</f>
        <v>SMA</v>
      </c>
      <c r="D129" t="str">
        <f t="shared" ref="D129:D130" si="3">IF(1=0,"DO NOT POST",IF(OR(C129="OWM",C129="OWA",C129="CEO",C129="MFM"),"PTP","PTO")&amp;"|1||||||||||||"&amp;TEXT(F129,"#0.00")&amp;"|A|||")</f>
        <v>PTO|1||||||||||||0.00|A|||</v>
      </c>
      <c r="F129" s="133">
        <f>SUMIFS('PTO SUMMARY 2027'!BG:BG,'PTO SUMMARY 2027'!B:B,$A129)</f>
        <v>0</v>
      </c>
    </row>
    <row r="130" spans="1:6">
      <c r="A130" s="39" t="s">
        <v>313</v>
      </c>
      <c r="B130" s="8" t="s">
        <v>436</v>
      </c>
      <c r="C130" t="str">
        <f>VLOOKUP(A130,'PTO SUMMARY 2027'!B:E,4,0)</f>
        <v>SMA</v>
      </c>
      <c r="D130" t="str">
        <f t="shared" si="3"/>
        <v>PTO|1||||||||||||0.00|A|||</v>
      </c>
      <c r="F130" s="133">
        <f>SUMIFS('PTO SUMMARY 2027'!BG:BG,'PTO SUMMARY 2027'!B:B,$A130)</f>
        <v>0</v>
      </c>
    </row>
    <row r="131" spans="1:6">
      <c r="A131" s="39"/>
      <c r="B131" s="39"/>
    </row>
    <row r="132" spans="1:6" ht="15" thickBot="1">
      <c r="A132" s="39"/>
      <c r="B132" s="39"/>
      <c r="E132" s="135" t="s">
        <v>437</v>
      </c>
      <c r="F132" s="143">
        <f>SUM(F11:F126)</f>
        <v>0</v>
      </c>
    </row>
    <row r="133" spans="1:6">
      <c r="A133" s="39"/>
      <c r="B133" s="39"/>
    </row>
    <row r="134" spans="1:6">
      <c r="A134" s="39"/>
      <c r="B134" s="39"/>
    </row>
    <row r="135" spans="1:6">
      <c r="A135" s="39"/>
      <c r="B135" s="39"/>
    </row>
    <row r="136" spans="1:6">
      <c r="A136" s="39"/>
      <c r="B136" s="39"/>
    </row>
    <row r="137" spans="1:6">
      <c r="A137" s="39"/>
      <c r="B137" s="39"/>
    </row>
    <row r="138" spans="1:6">
      <c r="A138" s="39"/>
      <c r="B138" s="39"/>
    </row>
    <row r="139" spans="1:6">
      <c r="A139" s="39"/>
      <c r="B139" s="39"/>
    </row>
    <row r="140" spans="1:6">
      <c r="A140" s="39"/>
      <c r="B140" s="39"/>
    </row>
    <row r="141" spans="1:6">
      <c r="A141" s="39"/>
      <c r="B141" s="39"/>
    </row>
    <row r="142" spans="1:6">
      <c r="A142" s="39"/>
      <c r="B142" s="39"/>
    </row>
    <row r="143" spans="1:6">
      <c r="A143" s="39"/>
      <c r="B143" s="39"/>
    </row>
    <row r="144" spans="1:6">
      <c r="A144" s="39"/>
      <c r="B144" s="39"/>
    </row>
    <row r="145" spans="1:2">
      <c r="A145" s="39"/>
      <c r="B145" s="39"/>
    </row>
    <row r="146" spans="1:2">
      <c r="A146" s="39"/>
      <c r="B146" s="39"/>
    </row>
    <row r="147" spans="1:2">
      <c r="A147" s="39"/>
      <c r="B147" s="39"/>
    </row>
    <row r="148" spans="1:2">
      <c r="A148" s="39"/>
      <c r="B148" s="39"/>
    </row>
    <row r="149" spans="1:2">
      <c r="A149" s="39"/>
      <c r="B149" s="39"/>
    </row>
    <row r="150" spans="1:2">
      <c r="A150" s="39"/>
      <c r="B150" s="39"/>
    </row>
    <row r="151" spans="1:2">
      <c r="A151" s="39"/>
      <c r="B151" s="39"/>
    </row>
    <row r="152" spans="1:2">
      <c r="A152" s="39"/>
      <c r="B152" s="39"/>
    </row>
    <row r="153" spans="1:2">
      <c r="A153" s="39"/>
      <c r="B153" s="39"/>
    </row>
    <row r="154" spans="1:2">
      <c r="A154" s="39"/>
      <c r="B154" s="39"/>
    </row>
    <row r="155" spans="1:2">
      <c r="A155" s="39"/>
      <c r="B155" s="39"/>
    </row>
    <row r="156" spans="1:2">
      <c r="A156" s="39"/>
      <c r="B156" s="39"/>
    </row>
    <row r="157" spans="1:2">
      <c r="A157" s="39"/>
      <c r="B157" s="39"/>
    </row>
    <row r="158" spans="1:2">
      <c r="A158" s="39"/>
      <c r="B158" s="39"/>
    </row>
    <row r="159" spans="1:2">
      <c r="A159" s="39"/>
      <c r="B159" s="39"/>
    </row>
    <row r="160" spans="1:2">
      <c r="A160" s="39"/>
      <c r="B160" s="39"/>
    </row>
    <row r="161" spans="1:2">
      <c r="A161" s="39"/>
      <c r="B161" s="39"/>
    </row>
    <row r="162" spans="1:2">
      <c r="A162" s="39"/>
      <c r="B162" s="39"/>
    </row>
    <row r="163" spans="1:2">
      <c r="A163" s="39"/>
      <c r="B163" s="39"/>
    </row>
    <row r="164" spans="1:2">
      <c r="A164" s="39"/>
      <c r="B164" s="39"/>
    </row>
    <row r="165" spans="1:2">
      <c r="A165" s="39"/>
      <c r="B165" s="39"/>
    </row>
    <row r="166" spans="1:2">
      <c r="A166" s="39"/>
      <c r="B166" s="39"/>
    </row>
    <row r="167" spans="1:2">
      <c r="A167" s="39"/>
      <c r="B167" s="39"/>
    </row>
    <row r="168" spans="1:2">
      <c r="A168" s="39"/>
      <c r="B168" s="39"/>
    </row>
    <row r="169" spans="1:2">
      <c r="A169" s="39"/>
      <c r="B169" s="39"/>
    </row>
    <row r="170" spans="1:2">
      <c r="A170" s="39"/>
      <c r="B170" s="39"/>
    </row>
    <row r="171" spans="1:2">
      <c r="A171" s="39"/>
      <c r="B171" s="39"/>
    </row>
    <row r="172" spans="1:2">
      <c r="A172" s="39"/>
      <c r="B172" s="39"/>
    </row>
    <row r="173" spans="1:2">
      <c r="A173" s="39"/>
      <c r="B173" s="39"/>
    </row>
    <row r="174" spans="1:2">
      <c r="A174" s="39"/>
      <c r="B174" s="39"/>
    </row>
    <row r="175" spans="1:2">
      <c r="A175" s="39"/>
      <c r="B175" s="39"/>
    </row>
    <row r="176" spans="1:2">
      <c r="A176" s="39"/>
      <c r="B176" s="39"/>
    </row>
    <row r="177" spans="1:2">
      <c r="A177" s="39"/>
      <c r="B177" s="39"/>
    </row>
    <row r="178" spans="1:2">
      <c r="A178" s="39"/>
      <c r="B178" s="39"/>
    </row>
    <row r="179" spans="1:2">
      <c r="A179" s="39"/>
      <c r="B179" s="39"/>
    </row>
    <row r="180" spans="1:2">
      <c r="A180" s="39"/>
      <c r="B180" s="39"/>
    </row>
    <row r="181" spans="1:2">
      <c r="A181" s="39"/>
      <c r="B181" s="39"/>
    </row>
    <row r="182" spans="1:2">
      <c r="A182" s="39"/>
      <c r="B182" s="39"/>
    </row>
    <row r="183" spans="1:2">
      <c r="A183" s="39"/>
      <c r="B183" s="39"/>
    </row>
    <row r="184" spans="1:2">
      <c r="A184" s="39"/>
      <c r="B184" s="39"/>
    </row>
    <row r="185" spans="1:2">
      <c r="A185" s="39"/>
      <c r="B185" s="39"/>
    </row>
    <row r="186" spans="1:2">
      <c r="A186" s="39"/>
      <c r="B186" s="39"/>
    </row>
    <row r="187" spans="1:2">
      <c r="A187" s="39"/>
      <c r="B187" s="39"/>
    </row>
    <row r="188" spans="1:2">
      <c r="A188" s="39"/>
      <c r="B188" s="39"/>
    </row>
    <row r="189" spans="1:2">
      <c r="A189" s="39"/>
      <c r="B189" s="39"/>
    </row>
    <row r="190" spans="1:2">
      <c r="A190" s="39"/>
      <c r="B190" s="39"/>
    </row>
    <row r="191" spans="1:2">
      <c r="A191" s="39"/>
      <c r="B191" s="39"/>
    </row>
    <row r="192" spans="1:2">
      <c r="A192" s="39"/>
      <c r="B192" s="39"/>
    </row>
    <row r="193" spans="1:2">
      <c r="A193" s="39"/>
      <c r="B193" s="39"/>
    </row>
    <row r="194" spans="1:2">
      <c r="A194" s="39"/>
      <c r="B194" s="39"/>
    </row>
    <row r="195" spans="1:2">
      <c r="A195" s="39"/>
      <c r="B195" s="39"/>
    </row>
    <row r="196" spans="1:2">
      <c r="A196" s="39"/>
      <c r="B196" s="39"/>
    </row>
    <row r="197" spans="1:2">
      <c r="A197" s="39"/>
      <c r="B197" s="39"/>
    </row>
    <row r="198" spans="1:2">
      <c r="A198" s="39"/>
      <c r="B198" s="39"/>
    </row>
    <row r="199" spans="1:2">
      <c r="A199" s="39"/>
      <c r="B199" s="39"/>
    </row>
    <row r="200" spans="1:2">
      <c r="A200" s="39"/>
      <c r="B200" s="39"/>
    </row>
    <row r="201" spans="1:2">
      <c r="A201" s="39"/>
      <c r="B201" s="39"/>
    </row>
    <row r="202" spans="1:2">
      <c r="A202" s="39"/>
      <c r="B202" s="39"/>
    </row>
    <row r="203" spans="1:2">
      <c r="A203" s="39"/>
      <c r="B203" s="39"/>
    </row>
    <row r="204" spans="1:2">
      <c r="A204" s="39"/>
      <c r="B204" s="39"/>
    </row>
    <row r="205" spans="1:2">
      <c r="A205" s="39"/>
      <c r="B205" s="39"/>
    </row>
    <row r="206" spans="1:2">
      <c r="A206" s="39"/>
      <c r="B206" s="39"/>
    </row>
    <row r="207" spans="1:2">
      <c r="A207" s="39"/>
      <c r="B207" s="39"/>
    </row>
    <row r="208" spans="1:2">
      <c r="A208" s="39"/>
      <c r="B208" s="39"/>
    </row>
    <row r="209" spans="1:2">
      <c r="A209" s="39"/>
      <c r="B209" s="39"/>
    </row>
    <row r="210" spans="1:2">
      <c r="A210" s="39"/>
      <c r="B210" s="39"/>
    </row>
    <row r="211" spans="1:2">
      <c r="A211" s="39"/>
      <c r="B211" s="39"/>
    </row>
    <row r="212" spans="1:2">
      <c r="A212" s="39"/>
      <c r="B212" s="39"/>
    </row>
    <row r="213" spans="1:2">
      <c r="A213" s="39"/>
      <c r="B213" s="39"/>
    </row>
    <row r="214" spans="1:2">
      <c r="A214" s="39"/>
      <c r="B214" s="39"/>
    </row>
    <row r="215" spans="1:2">
      <c r="A215" s="39"/>
      <c r="B215" s="39"/>
    </row>
    <row r="216" spans="1:2">
      <c r="A216" s="39"/>
      <c r="B216" s="39"/>
    </row>
    <row r="217" spans="1:2">
      <c r="A217" s="39"/>
      <c r="B217" s="39"/>
    </row>
    <row r="218" spans="1:2">
      <c r="A218" s="39"/>
      <c r="B218" s="39"/>
    </row>
    <row r="219" spans="1:2">
      <c r="A219" s="39"/>
      <c r="B219" s="39"/>
    </row>
    <row r="220" spans="1:2">
      <c r="A220" s="39"/>
      <c r="B220" s="39"/>
    </row>
    <row r="221" spans="1:2">
      <c r="A221" s="39"/>
      <c r="B221" s="39"/>
    </row>
    <row r="222" spans="1:2">
      <c r="A222" s="39"/>
      <c r="B222" s="39"/>
    </row>
    <row r="223" spans="1:2">
      <c r="A223" s="39"/>
      <c r="B223" s="39"/>
    </row>
    <row r="224" spans="1:2">
      <c r="A224" s="39"/>
      <c r="B224" s="39"/>
    </row>
    <row r="225" spans="1:2">
      <c r="A225" s="39"/>
      <c r="B225" s="39"/>
    </row>
    <row r="226" spans="1:2">
      <c r="A226" s="39"/>
      <c r="B226" s="39"/>
    </row>
    <row r="227" spans="1:2">
      <c r="A227" s="39"/>
      <c r="B227" s="39"/>
    </row>
    <row r="228" spans="1:2">
      <c r="A228" s="39"/>
      <c r="B228" s="39"/>
    </row>
    <row r="229" spans="1:2">
      <c r="A229" s="39"/>
      <c r="B229" s="39"/>
    </row>
    <row r="230" spans="1:2">
      <c r="A230" s="39"/>
      <c r="B230" s="39"/>
    </row>
    <row r="231" spans="1:2">
      <c r="A231" s="39"/>
      <c r="B231" s="39"/>
    </row>
    <row r="232" spans="1:2">
      <c r="A232" s="39"/>
      <c r="B232" s="39"/>
    </row>
    <row r="233" spans="1:2">
      <c r="A233" s="39"/>
      <c r="B233" s="39"/>
    </row>
    <row r="234" spans="1:2">
      <c r="A234" s="39"/>
      <c r="B234" s="39"/>
    </row>
    <row r="235" spans="1:2">
      <c r="A235" s="39"/>
      <c r="B235" s="39"/>
    </row>
    <row r="236" spans="1:2">
      <c r="A236" s="39"/>
      <c r="B236" s="39"/>
    </row>
    <row r="237" spans="1:2">
      <c r="A237" s="39"/>
      <c r="B237" s="39"/>
    </row>
    <row r="238" spans="1:2">
      <c r="A238" s="39"/>
      <c r="B238" s="39"/>
    </row>
    <row r="239" spans="1:2">
      <c r="A239" s="39"/>
      <c r="B239" s="39"/>
    </row>
    <row r="240" spans="1:2">
      <c r="A240" s="39"/>
      <c r="B240" s="39"/>
    </row>
    <row r="241" spans="1:2">
      <c r="A241" s="39"/>
      <c r="B241" s="39"/>
    </row>
    <row r="242" spans="1:2">
      <c r="A242" s="39"/>
      <c r="B242" s="39"/>
    </row>
    <row r="243" spans="1:2">
      <c r="A243" s="39"/>
      <c r="B243" s="39"/>
    </row>
    <row r="244" spans="1:2">
      <c r="A244" s="39"/>
      <c r="B244" s="39"/>
    </row>
    <row r="245" spans="1:2">
      <c r="A245" s="39"/>
      <c r="B245" s="39"/>
    </row>
    <row r="246" spans="1:2">
      <c r="A246" s="39"/>
      <c r="B246" s="39"/>
    </row>
    <row r="247" spans="1:2">
      <c r="A247" s="39"/>
      <c r="B247" s="39"/>
    </row>
    <row r="248" spans="1:2">
      <c r="A248" s="39"/>
      <c r="B248" s="39"/>
    </row>
    <row r="249" spans="1:2">
      <c r="A249" s="39"/>
      <c r="B249" s="39"/>
    </row>
    <row r="250" spans="1:2">
      <c r="A250" s="39"/>
      <c r="B250" s="39"/>
    </row>
    <row r="251" spans="1:2">
      <c r="A251" s="39"/>
      <c r="B251" s="39"/>
    </row>
    <row r="252" spans="1:2">
      <c r="A252" s="39"/>
      <c r="B252" s="39"/>
    </row>
    <row r="253" spans="1:2">
      <c r="A253" s="39"/>
      <c r="B253" s="39"/>
    </row>
    <row r="254" spans="1:2">
      <c r="A254" s="39"/>
      <c r="B254" s="39"/>
    </row>
    <row r="255" spans="1:2">
      <c r="A255" s="39"/>
      <c r="B255" s="39"/>
    </row>
    <row r="256" spans="1:2">
      <c r="A256" s="39"/>
      <c r="B256" s="39"/>
    </row>
    <row r="257" spans="1:2">
      <c r="A257" s="39"/>
      <c r="B257" s="39"/>
    </row>
    <row r="258" spans="1:2">
      <c r="A258" s="39"/>
      <c r="B258" s="39"/>
    </row>
    <row r="259" spans="1:2">
      <c r="A259" s="39"/>
      <c r="B259" s="39"/>
    </row>
    <row r="260" spans="1:2">
      <c r="A260" s="39"/>
      <c r="B260" s="39"/>
    </row>
    <row r="261" spans="1:2">
      <c r="A261" s="39"/>
      <c r="B261" s="39"/>
    </row>
    <row r="262" spans="1:2">
      <c r="A262" s="39"/>
      <c r="B262" s="39"/>
    </row>
    <row r="263" spans="1:2">
      <c r="A263" s="39"/>
      <c r="B263" s="39"/>
    </row>
    <row r="264" spans="1:2">
      <c r="A264" s="39"/>
      <c r="B264" s="39"/>
    </row>
    <row r="265" spans="1:2">
      <c r="A265" s="39"/>
      <c r="B265" s="39"/>
    </row>
    <row r="266" spans="1:2">
      <c r="A266" s="39"/>
      <c r="B266" s="39"/>
    </row>
    <row r="267" spans="1:2">
      <c r="A267" s="39"/>
      <c r="B267" s="39"/>
    </row>
    <row r="268" spans="1:2">
      <c r="A268" s="39"/>
      <c r="B268" s="39"/>
    </row>
    <row r="269" spans="1:2">
      <c r="A269" s="39"/>
      <c r="B269" s="39"/>
    </row>
    <row r="270" spans="1:2">
      <c r="A270" s="39"/>
      <c r="B270" s="39"/>
    </row>
    <row r="271" spans="1:2">
      <c r="A271" s="39"/>
      <c r="B271" s="39"/>
    </row>
    <row r="272" spans="1:2">
      <c r="A272" s="39"/>
      <c r="B272" s="39"/>
    </row>
    <row r="273" spans="1:2">
      <c r="A273" s="39"/>
      <c r="B273" s="39"/>
    </row>
    <row r="274" spans="1:2">
      <c r="A274" s="39"/>
      <c r="B274" s="39"/>
    </row>
    <row r="275" spans="1:2">
      <c r="A275" s="39"/>
      <c r="B275" s="39"/>
    </row>
    <row r="276" spans="1:2">
      <c r="A276" s="39"/>
      <c r="B276" s="39"/>
    </row>
    <row r="277" spans="1:2">
      <c r="A277" s="39"/>
      <c r="B277" s="39"/>
    </row>
    <row r="278" spans="1:2">
      <c r="A278" s="39"/>
      <c r="B278" s="39"/>
    </row>
    <row r="279" spans="1:2">
      <c r="A279" s="39"/>
      <c r="B279" s="39"/>
    </row>
    <row r="280" spans="1:2">
      <c r="A280" s="39"/>
      <c r="B280" s="39"/>
    </row>
    <row r="281" spans="1:2">
      <c r="A281" s="39"/>
      <c r="B281" s="39"/>
    </row>
    <row r="282" spans="1:2">
      <c r="A282" s="39"/>
      <c r="B282" s="39"/>
    </row>
    <row r="283" spans="1:2">
      <c r="A283" s="39"/>
      <c r="B283" s="39"/>
    </row>
    <row r="284" spans="1:2">
      <c r="A284" s="39"/>
      <c r="B284" s="39"/>
    </row>
    <row r="285" spans="1:2">
      <c r="A285" s="39"/>
      <c r="B285" s="39"/>
    </row>
    <row r="286" spans="1:2">
      <c r="A286" s="39"/>
      <c r="B286" s="39"/>
    </row>
    <row r="287" spans="1:2">
      <c r="A287" s="39"/>
      <c r="B287" s="39"/>
    </row>
    <row r="288" spans="1:2">
      <c r="A288" s="39"/>
      <c r="B288" s="39"/>
    </row>
    <row r="289" spans="1:2">
      <c r="A289" s="39"/>
      <c r="B289" s="39"/>
    </row>
    <row r="290" spans="1:2">
      <c r="A290" s="39"/>
      <c r="B290" s="39"/>
    </row>
    <row r="291" spans="1:2">
      <c r="A291" s="39"/>
      <c r="B291" s="39"/>
    </row>
    <row r="292" spans="1:2">
      <c r="A292" s="39"/>
      <c r="B292" s="39"/>
    </row>
    <row r="293" spans="1:2">
      <c r="A293" s="39"/>
      <c r="B293" s="39"/>
    </row>
    <row r="294" spans="1:2">
      <c r="A294" s="39"/>
      <c r="B294" s="39"/>
    </row>
    <row r="295" spans="1:2">
      <c r="A295" s="39"/>
      <c r="B295" s="39"/>
    </row>
    <row r="296" spans="1:2">
      <c r="A296" s="39"/>
      <c r="B296" s="39"/>
    </row>
    <row r="297" spans="1:2">
      <c r="A297" s="39"/>
      <c r="B297" s="39"/>
    </row>
    <row r="298" spans="1:2">
      <c r="A298" s="39"/>
      <c r="B298" s="39"/>
    </row>
    <row r="299" spans="1:2">
      <c r="A299" s="39"/>
      <c r="B299" s="39"/>
    </row>
    <row r="300" spans="1:2">
      <c r="A300" s="39"/>
      <c r="B300" s="39"/>
    </row>
    <row r="301" spans="1:2">
      <c r="A301" s="39"/>
      <c r="B301" s="39"/>
    </row>
    <row r="302" spans="1:2">
      <c r="A302" s="39"/>
      <c r="B302" s="39"/>
    </row>
    <row r="303" spans="1:2">
      <c r="A303" s="39"/>
      <c r="B303" s="39"/>
    </row>
    <row r="304" spans="1:2">
      <c r="A304" s="39"/>
      <c r="B304" s="39"/>
    </row>
    <row r="305" spans="1:2">
      <c r="A305" s="39"/>
      <c r="B305" s="39"/>
    </row>
    <row r="306" spans="1:2">
      <c r="A306" s="39"/>
      <c r="B306" s="39"/>
    </row>
    <row r="307" spans="1:2">
      <c r="A307" s="39"/>
      <c r="B307" s="39"/>
    </row>
    <row r="308" spans="1:2">
      <c r="A308" s="39"/>
      <c r="B308" s="39"/>
    </row>
    <row r="309" spans="1:2">
      <c r="A309" s="39"/>
      <c r="B309" s="39"/>
    </row>
    <row r="310" spans="1:2">
      <c r="A310" s="39"/>
      <c r="B310" s="39"/>
    </row>
    <row r="311" spans="1:2">
      <c r="A311" s="39"/>
      <c r="B311" s="39"/>
    </row>
    <row r="312" spans="1:2">
      <c r="A312" s="39"/>
      <c r="B312" s="39"/>
    </row>
    <row r="313" spans="1:2">
      <c r="A313" s="39"/>
      <c r="B313" s="39"/>
    </row>
    <row r="314" spans="1:2">
      <c r="A314" s="39"/>
      <c r="B314" s="39"/>
    </row>
    <row r="315" spans="1:2">
      <c r="A315" s="39"/>
      <c r="B315" s="39"/>
    </row>
    <row r="316" spans="1:2">
      <c r="A316" s="39"/>
      <c r="B316" s="39"/>
    </row>
    <row r="317" spans="1:2">
      <c r="A317" s="39"/>
      <c r="B317" s="39"/>
    </row>
    <row r="318" spans="1:2">
      <c r="A318" s="39"/>
      <c r="B318" s="39"/>
    </row>
    <row r="319" spans="1:2">
      <c r="A319" s="39"/>
      <c r="B319" s="39"/>
    </row>
    <row r="320" spans="1:2">
      <c r="A320" s="39"/>
      <c r="B320" s="39"/>
    </row>
    <row r="321" spans="1:2">
      <c r="A321" s="39"/>
      <c r="B321" s="39"/>
    </row>
    <row r="322" spans="1:2">
      <c r="A322" s="39"/>
      <c r="B322" s="39"/>
    </row>
    <row r="323" spans="1:2">
      <c r="A323" s="39"/>
      <c r="B323" s="39"/>
    </row>
    <row r="324" spans="1:2">
      <c r="A324" s="39"/>
      <c r="B324" s="39"/>
    </row>
    <row r="325" spans="1:2">
      <c r="A325" s="39"/>
      <c r="B325" s="39"/>
    </row>
    <row r="326" spans="1:2">
      <c r="A326" s="39"/>
      <c r="B326" s="39"/>
    </row>
    <row r="327" spans="1:2">
      <c r="A327" s="39"/>
      <c r="B327" s="39"/>
    </row>
    <row r="328" spans="1:2">
      <c r="A328" s="39"/>
      <c r="B328" s="39"/>
    </row>
    <row r="329" spans="1:2">
      <c r="A329" s="39"/>
      <c r="B329" s="39"/>
    </row>
    <row r="330" spans="1:2">
      <c r="A330" s="39"/>
      <c r="B330" s="39"/>
    </row>
    <row r="331" spans="1:2">
      <c r="A331" s="39"/>
      <c r="B331" s="39"/>
    </row>
    <row r="332" spans="1:2">
      <c r="A332" s="39"/>
      <c r="B332" s="39"/>
    </row>
    <row r="333" spans="1:2">
      <c r="A333" s="39"/>
      <c r="B333" s="39"/>
    </row>
    <row r="334" spans="1:2">
      <c r="A334" s="39"/>
      <c r="B334" s="39"/>
    </row>
    <row r="335" spans="1:2">
      <c r="A335" s="39"/>
      <c r="B335" s="39"/>
    </row>
    <row r="336" spans="1:2">
      <c r="A336" s="39"/>
      <c r="B336" s="39"/>
    </row>
    <row r="337" spans="1:2">
      <c r="A337" s="39"/>
      <c r="B337" s="39"/>
    </row>
    <row r="338" spans="1:2">
      <c r="A338" s="39"/>
      <c r="B338" s="39"/>
    </row>
    <row r="339" spans="1:2">
      <c r="A339" s="39"/>
      <c r="B339" s="39"/>
    </row>
    <row r="340" spans="1:2">
      <c r="A340" s="39"/>
      <c r="B340" s="39"/>
    </row>
    <row r="341" spans="1:2">
      <c r="A341" s="39"/>
      <c r="B341" s="39"/>
    </row>
    <row r="342" spans="1:2">
      <c r="A342" s="39"/>
      <c r="B342" s="39"/>
    </row>
    <row r="343" spans="1:2">
      <c r="A343" s="39"/>
      <c r="B343" s="39"/>
    </row>
    <row r="344" spans="1:2">
      <c r="A344" s="39"/>
      <c r="B344" s="39"/>
    </row>
    <row r="345" spans="1:2">
      <c r="A345" s="39"/>
      <c r="B345" s="39"/>
    </row>
    <row r="346" spans="1:2">
      <c r="A346" s="39"/>
      <c r="B346" s="39"/>
    </row>
    <row r="347" spans="1:2">
      <c r="A347" s="39"/>
      <c r="B347" s="39"/>
    </row>
    <row r="348" spans="1:2">
      <c r="A348" s="39"/>
      <c r="B348" s="39"/>
    </row>
    <row r="349" spans="1:2">
      <c r="A349" s="39"/>
      <c r="B349" s="39"/>
    </row>
    <row r="350" spans="1:2">
      <c r="A350" s="39"/>
      <c r="B350" s="39"/>
    </row>
    <row r="351" spans="1:2">
      <c r="A351" s="39"/>
      <c r="B351" s="39"/>
    </row>
    <row r="352" spans="1:2">
      <c r="A352" s="39"/>
      <c r="B352" s="39"/>
    </row>
    <row r="353" spans="1:2">
      <c r="A353" s="39"/>
      <c r="B353" s="39"/>
    </row>
    <row r="354" spans="1:2">
      <c r="A354" s="39"/>
      <c r="B354" s="39"/>
    </row>
    <row r="355" spans="1:2">
      <c r="A355" s="39"/>
      <c r="B355" s="39"/>
    </row>
    <row r="356" spans="1:2">
      <c r="A356" s="39"/>
      <c r="B356" s="39"/>
    </row>
    <row r="357" spans="1:2">
      <c r="A357" s="39"/>
      <c r="B357" s="39"/>
    </row>
    <row r="358" spans="1:2">
      <c r="A358" s="39"/>
      <c r="B358" s="39"/>
    </row>
    <row r="359" spans="1:2">
      <c r="A359" s="39"/>
      <c r="B359" s="39"/>
    </row>
    <row r="360" spans="1:2">
      <c r="A360" s="39"/>
      <c r="B360" s="39"/>
    </row>
    <row r="361" spans="1:2">
      <c r="A361" s="39"/>
      <c r="B361" s="39"/>
    </row>
    <row r="362" spans="1:2">
      <c r="A362" s="39"/>
      <c r="B362" s="39"/>
    </row>
    <row r="363" spans="1:2">
      <c r="A363" s="39"/>
      <c r="B363" s="39"/>
    </row>
    <row r="364" spans="1:2">
      <c r="A364" s="39"/>
      <c r="B364" s="39"/>
    </row>
    <row r="365" spans="1:2">
      <c r="A365" s="39"/>
      <c r="B365" s="39"/>
    </row>
    <row r="366" spans="1:2">
      <c r="A366" s="39"/>
      <c r="B366" s="39"/>
    </row>
    <row r="367" spans="1:2">
      <c r="A367" s="39"/>
      <c r="B367" s="39"/>
    </row>
    <row r="368" spans="1:2">
      <c r="A368" s="39"/>
      <c r="B368" s="39"/>
    </row>
    <row r="369" spans="1:2">
      <c r="A369" s="39"/>
      <c r="B369" s="39"/>
    </row>
    <row r="370" spans="1:2">
      <c r="A370" s="39"/>
      <c r="B370" s="39"/>
    </row>
    <row r="371" spans="1:2">
      <c r="A371" s="39"/>
      <c r="B371" s="39"/>
    </row>
    <row r="372" spans="1:2">
      <c r="A372" s="39"/>
      <c r="B372" s="39"/>
    </row>
    <row r="373" spans="1:2">
      <c r="A373" s="39"/>
      <c r="B373" s="39"/>
    </row>
    <row r="374" spans="1:2">
      <c r="A374" s="39"/>
      <c r="B374" s="39"/>
    </row>
    <row r="375" spans="1:2">
      <c r="A375" s="39"/>
      <c r="B375" s="39"/>
    </row>
    <row r="376" spans="1:2">
      <c r="A376" s="39"/>
      <c r="B376" s="39"/>
    </row>
    <row r="377" spans="1:2">
      <c r="A377" s="39"/>
      <c r="B377" s="39"/>
    </row>
    <row r="378" spans="1:2">
      <c r="A378" s="39"/>
      <c r="B378" s="39"/>
    </row>
    <row r="379" spans="1:2">
      <c r="A379" s="39"/>
      <c r="B379" s="39"/>
    </row>
    <row r="380" spans="1:2">
      <c r="A380" s="39"/>
      <c r="B380" s="39"/>
    </row>
    <row r="381" spans="1:2">
      <c r="A381" s="39"/>
      <c r="B381" s="39"/>
    </row>
    <row r="382" spans="1:2">
      <c r="A382" s="39"/>
      <c r="B382" s="39"/>
    </row>
    <row r="383" spans="1:2">
      <c r="A383" s="39"/>
      <c r="B383" s="39"/>
    </row>
    <row r="384" spans="1:2">
      <c r="A384" s="39"/>
      <c r="B384" s="39"/>
    </row>
    <row r="385" spans="1:2">
      <c r="A385" s="39"/>
      <c r="B385" s="39"/>
    </row>
    <row r="386" spans="1:2">
      <c r="A386" s="39"/>
      <c r="B386" s="39"/>
    </row>
    <row r="387" spans="1:2">
      <c r="A387" s="39"/>
      <c r="B387" s="39"/>
    </row>
    <row r="388" spans="1:2">
      <c r="A388" s="39"/>
      <c r="B388" s="39"/>
    </row>
    <row r="389" spans="1:2">
      <c r="A389" s="39"/>
      <c r="B389" s="39"/>
    </row>
    <row r="390" spans="1:2">
      <c r="A390" s="39"/>
      <c r="B390" s="39"/>
    </row>
    <row r="391" spans="1:2">
      <c r="A391" s="39"/>
      <c r="B391" s="39"/>
    </row>
    <row r="392" spans="1:2">
      <c r="A392" s="39"/>
      <c r="B392" s="39"/>
    </row>
    <row r="393" spans="1:2">
      <c r="A393" s="39"/>
      <c r="B393" s="39"/>
    </row>
    <row r="394" spans="1:2">
      <c r="A394" s="39"/>
      <c r="B394" s="39"/>
    </row>
    <row r="395" spans="1:2">
      <c r="A395" s="39"/>
      <c r="B395" s="39"/>
    </row>
    <row r="396" spans="1:2">
      <c r="A396" s="39"/>
      <c r="B396" s="39"/>
    </row>
    <row r="397" spans="1:2">
      <c r="A397" s="39"/>
      <c r="B397" s="39"/>
    </row>
    <row r="398" spans="1:2">
      <c r="A398" s="39"/>
      <c r="B398" s="39"/>
    </row>
    <row r="399" spans="1:2">
      <c r="A399" s="39"/>
      <c r="B399" s="39"/>
    </row>
    <row r="400" spans="1:2">
      <c r="A400" s="39"/>
      <c r="B400" s="39"/>
    </row>
    <row r="401" spans="1:2">
      <c r="A401" s="39"/>
      <c r="B401" s="39"/>
    </row>
    <row r="402" spans="1:2">
      <c r="A402" s="39"/>
      <c r="B402" s="39"/>
    </row>
    <row r="403" spans="1:2">
      <c r="A403" s="39"/>
      <c r="B403" s="39"/>
    </row>
    <row r="404" spans="1:2">
      <c r="A404" s="39"/>
      <c r="B404" s="39"/>
    </row>
    <row r="405" spans="1:2">
      <c r="A405" s="39"/>
      <c r="B405" s="39"/>
    </row>
    <row r="406" spans="1:2">
      <c r="A406" s="39"/>
      <c r="B406" s="39"/>
    </row>
    <row r="407" spans="1:2">
      <c r="A407" s="39"/>
      <c r="B407" s="39"/>
    </row>
    <row r="408" spans="1:2">
      <c r="A408" s="39"/>
      <c r="B408" s="39"/>
    </row>
    <row r="409" spans="1:2">
      <c r="A409" s="39"/>
      <c r="B409" s="39"/>
    </row>
    <row r="410" spans="1:2">
      <c r="A410" s="39"/>
      <c r="B410" s="39"/>
    </row>
    <row r="411" spans="1:2">
      <c r="A411" s="39"/>
      <c r="B411" s="39"/>
    </row>
    <row r="412" spans="1:2">
      <c r="A412" s="39"/>
      <c r="B412" s="39"/>
    </row>
    <row r="413" spans="1:2">
      <c r="A413" s="39"/>
      <c r="B413" s="39"/>
    </row>
    <row r="414" spans="1:2">
      <c r="A414" s="39"/>
      <c r="B414" s="39"/>
    </row>
    <row r="415" spans="1:2">
      <c r="A415" s="39"/>
      <c r="B415" s="39"/>
    </row>
    <row r="416" spans="1:2">
      <c r="A416" s="39"/>
      <c r="B416" s="39"/>
    </row>
    <row r="417" spans="1:2">
      <c r="A417" s="39"/>
      <c r="B417" s="39"/>
    </row>
    <row r="418" spans="1:2">
      <c r="A418" s="39"/>
      <c r="B418" s="39"/>
    </row>
    <row r="419" spans="1:2">
      <c r="A419" s="39"/>
      <c r="B419" s="39"/>
    </row>
    <row r="420" spans="1:2">
      <c r="A420" s="39"/>
      <c r="B420" s="39"/>
    </row>
    <row r="421" spans="1:2">
      <c r="A421" s="39"/>
      <c r="B421" s="39"/>
    </row>
    <row r="422" spans="1:2">
      <c r="A422" s="39"/>
      <c r="B422" s="39"/>
    </row>
    <row r="423" spans="1:2">
      <c r="A423" s="39"/>
      <c r="B423" s="39"/>
    </row>
    <row r="424" spans="1:2">
      <c r="A424" s="39"/>
      <c r="B424" s="39"/>
    </row>
    <row r="425" spans="1:2">
      <c r="A425" s="39"/>
      <c r="B425" s="39"/>
    </row>
    <row r="426" spans="1:2">
      <c r="A426" s="39"/>
      <c r="B426" s="39"/>
    </row>
    <row r="427" spans="1:2">
      <c r="A427" s="39"/>
      <c r="B427" s="39"/>
    </row>
    <row r="428" spans="1:2">
      <c r="A428" s="39"/>
      <c r="B428" s="39"/>
    </row>
    <row r="429" spans="1:2">
      <c r="A429" s="39"/>
      <c r="B429" s="39"/>
    </row>
    <row r="430" spans="1:2">
      <c r="A430" s="39"/>
      <c r="B430" s="39"/>
    </row>
    <row r="431" spans="1:2">
      <c r="A431" s="39"/>
      <c r="B431" s="39"/>
    </row>
    <row r="432" spans="1:2">
      <c r="A432" s="39"/>
      <c r="B432" s="39"/>
    </row>
    <row r="433" spans="1:2">
      <c r="A433" s="39"/>
      <c r="B433" s="39"/>
    </row>
    <row r="434" spans="1:2">
      <c r="A434" s="39"/>
      <c r="B434" s="39"/>
    </row>
    <row r="435" spans="1:2">
      <c r="A435" s="39"/>
      <c r="B435" s="39"/>
    </row>
    <row r="436" spans="1:2">
      <c r="A436" s="39"/>
      <c r="B436" s="39"/>
    </row>
    <row r="437" spans="1:2">
      <c r="A437" s="39"/>
      <c r="B437" s="39"/>
    </row>
    <row r="438" spans="1:2">
      <c r="A438" s="39"/>
      <c r="B438" s="39"/>
    </row>
    <row r="439" spans="1:2">
      <c r="A439" s="39"/>
      <c r="B439" s="39"/>
    </row>
    <row r="440" spans="1:2">
      <c r="A440" s="39"/>
      <c r="B440" s="39"/>
    </row>
    <row r="441" spans="1:2">
      <c r="A441" s="39"/>
      <c r="B441" s="39"/>
    </row>
    <row r="442" spans="1:2">
      <c r="A442" s="39"/>
      <c r="B442" s="39"/>
    </row>
    <row r="443" spans="1:2">
      <c r="A443" s="39"/>
      <c r="B443" s="39"/>
    </row>
    <row r="444" spans="1:2">
      <c r="A444" s="39"/>
      <c r="B444" s="39"/>
    </row>
    <row r="445" spans="1:2">
      <c r="A445" s="39"/>
      <c r="B445" s="39"/>
    </row>
    <row r="446" spans="1:2">
      <c r="A446" s="39"/>
      <c r="B446" s="39"/>
    </row>
    <row r="447" spans="1:2">
      <c r="A447" s="39"/>
      <c r="B447" s="39"/>
    </row>
    <row r="448" spans="1:2">
      <c r="A448" s="39"/>
      <c r="B448" s="39"/>
    </row>
    <row r="449" spans="1:2">
      <c r="A449" s="39"/>
      <c r="B449" s="39"/>
    </row>
    <row r="450" spans="1:2">
      <c r="A450" s="39"/>
      <c r="B450" s="39"/>
    </row>
    <row r="451" spans="1:2">
      <c r="A451" s="39"/>
      <c r="B451" s="39"/>
    </row>
    <row r="452" spans="1:2">
      <c r="A452" s="39"/>
      <c r="B452" s="39"/>
    </row>
    <row r="453" spans="1:2">
      <c r="A453" s="39"/>
      <c r="B453" s="39"/>
    </row>
    <row r="454" spans="1:2">
      <c r="A454" s="39"/>
      <c r="B454" s="39"/>
    </row>
    <row r="455" spans="1:2">
      <c r="A455" s="39"/>
      <c r="B455" s="39"/>
    </row>
    <row r="456" spans="1:2">
      <c r="A456" s="39"/>
      <c r="B456" s="39"/>
    </row>
    <row r="457" spans="1:2">
      <c r="A457" s="39"/>
      <c r="B457" s="39"/>
    </row>
    <row r="458" spans="1:2">
      <c r="A458" s="39"/>
      <c r="B458" s="39"/>
    </row>
    <row r="459" spans="1:2">
      <c r="A459" s="39"/>
      <c r="B459" s="39"/>
    </row>
    <row r="460" spans="1:2">
      <c r="A460" s="39"/>
      <c r="B460" s="39"/>
    </row>
    <row r="461" spans="1:2">
      <c r="A461" s="39"/>
      <c r="B461" s="39"/>
    </row>
    <row r="462" spans="1:2">
      <c r="A462" s="39"/>
      <c r="B462" s="39"/>
    </row>
    <row r="463" spans="1:2">
      <c r="A463" s="39"/>
      <c r="B463" s="39"/>
    </row>
    <row r="464" spans="1:2">
      <c r="A464" s="39"/>
      <c r="B464" s="39"/>
    </row>
    <row r="465" spans="1:2">
      <c r="A465" s="39"/>
      <c r="B465" s="39"/>
    </row>
    <row r="466" spans="1:2">
      <c r="A466" s="39"/>
      <c r="B466" s="39"/>
    </row>
    <row r="467" spans="1:2">
      <c r="A467" s="39"/>
      <c r="B467" s="39"/>
    </row>
    <row r="468" spans="1:2">
      <c r="A468" s="39"/>
      <c r="B468" s="39"/>
    </row>
    <row r="469" spans="1:2">
      <c r="A469" s="39"/>
      <c r="B469" s="39"/>
    </row>
    <row r="470" spans="1:2">
      <c r="A470" s="39"/>
      <c r="B470" s="39"/>
    </row>
    <row r="471" spans="1:2">
      <c r="A471" s="39"/>
      <c r="B471" s="39"/>
    </row>
    <row r="472" spans="1:2">
      <c r="A472" s="39"/>
      <c r="B472" s="39"/>
    </row>
    <row r="473" spans="1:2">
      <c r="A473" s="39"/>
      <c r="B473" s="39"/>
    </row>
    <row r="474" spans="1:2">
      <c r="A474" s="39"/>
      <c r="B474" s="39"/>
    </row>
    <row r="475" spans="1:2">
      <c r="A475" s="39"/>
      <c r="B475" s="39"/>
    </row>
    <row r="476" spans="1:2">
      <c r="A476" s="39"/>
      <c r="B476" s="39"/>
    </row>
    <row r="477" spans="1:2">
      <c r="A477" s="39"/>
      <c r="B477" s="39"/>
    </row>
    <row r="478" spans="1:2">
      <c r="A478" s="39"/>
      <c r="B478" s="39"/>
    </row>
    <row r="479" spans="1:2">
      <c r="A479" s="39"/>
      <c r="B479" s="39"/>
    </row>
    <row r="480" spans="1:2">
      <c r="A480" s="39"/>
      <c r="B480" s="39"/>
    </row>
    <row r="481" spans="1:2">
      <c r="A481" s="39"/>
      <c r="B481" s="39"/>
    </row>
    <row r="482" spans="1:2">
      <c r="A482" s="39"/>
      <c r="B482" s="39"/>
    </row>
    <row r="483" spans="1:2">
      <c r="A483" s="39"/>
      <c r="B483" s="39"/>
    </row>
    <row r="484" spans="1:2">
      <c r="A484" s="39"/>
      <c r="B484" s="39"/>
    </row>
    <row r="485" spans="1:2">
      <c r="A485" s="39"/>
      <c r="B485" s="39"/>
    </row>
    <row r="486" spans="1:2">
      <c r="A486" s="39"/>
      <c r="B486" s="39"/>
    </row>
    <row r="487" spans="1:2">
      <c r="A487" s="39"/>
      <c r="B487" s="39"/>
    </row>
    <row r="488" spans="1:2">
      <c r="A488" s="39"/>
      <c r="B488" s="39"/>
    </row>
    <row r="489" spans="1:2">
      <c r="A489" s="39"/>
      <c r="B489" s="39"/>
    </row>
    <row r="490" spans="1:2">
      <c r="A490" s="39"/>
      <c r="B490" s="39"/>
    </row>
    <row r="491" spans="1:2">
      <c r="A491" s="39"/>
      <c r="B491" s="39"/>
    </row>
    <row r="492" spans="1:2">
      <c r="A492" s="39"/>
      <c r="B492" s="39"/>
    </row>
    <row r="493" spans="1:2">
      <c r="A493" s="39"/>
      <c r="B493" s="39"/>
    </row>
    <row r="494" spans="1:2">
      <c r="A494" s="39"/>
      <c r="B494" s="39"/>
    </row>
    <row r="495" spans="1:2">
      <c r="A495" s="39"/>
      <c r="B495" s="39"/>
    </row>
    <row r="496" spans="1:2">
      <c r="A496" s="39"/>
      <c r="B496" s="39"/>
    </row>
    <row r="497" spans="1:2">
      <c r="A497" s="39"/>
      <c r="B497" s="39"/>
    </row>
    <row r="498" spans="1:2">
      <c r="A498" s="39"/>
      <c r="B498" s="39"/>
    </row>
    <row r="499" spans="1:2">
      <c r="A499" s="39"/>
      <c r="B499" s="39"/>
    </row>
    <row r="500" spans="1:2">
      <c r="A500" s="39"/>
      <c r="B500" s="39"/>
    </row>
    <row r="501" spans="1:2">
      <c r="A501" s="39"/>
      <c r="B501" s="39"/>
    </row>
    <row r="502" spans="1:2">
      <c r="A502" s="39"/>
      <c r="B502" s="39"/>
    </row>
    <row r="503" spans="1:2">
      <c r="A503" s="39"/>
      <c r="B503" s="39"/>
    </row>
    <row r="504" spans="1:2">
      <c r="A504" s="39"/>
      <c r="B504" s="39"/>
    </row>
    <row r="505" spans="1:2">
      <c r="A505" s="39"/>
      <c r="B505" s="39"/>
    </row>
    <row r="506" spans="1:2">
      <c r="A506" s="39"/>
      <c r="B506" s="39"/>
    </row>
    <row r="507" spans="1:2">
      <c r="A507" s="39"/>
      <c r="B507" s="39"/>
    </row>
    <row r="508" spans="1:2">
      <c r="A508" s="39"/>
      <c r="B508" s="39"/>
    </row>
    <row r="509" spans="1:2">
      <c r="A509" s="39"/>
      <c r="B509" s="39"/>
    </row>
    <row r="510" spans="1:2">
      <c r="A510" s="39"/>
      <c r="B510" s="39"/>
    </row>
    <row r="511" spans="1:2">
      <c r="A511" s="39"/>
      <c r="B511" s="39"/>
    </row>
    <row r="512" spans="1:2">
      <c r="A512" s="39"/>
      <c r="B512" s="39"/>
    </row>
    <row r="513" spans="1:2">
      <c r="A513" s="39"/>
      <c r="B513" s="39"/>
    </row>
    <row r="514" spans="1:2">
      <c r="A514" s="39"/>
      <c r="B514" s="39"/>
    </row>
    <row r="515" spans="1:2">
      <c r="A515" s="39"/>
      <c r="B515" s="39"/>
    </row>
    <row r="516" spans="1:2">
      <c r="A516" s="39"/>
      <c r="B516" s="39"/>
    </row>
    <row r="517" spans="1:2">
      <c r="A517" s="39"/>
      <c r="B517" s="39"/>
    </row>
    <row r="518" spans="1:2">
      <c r="A518" s="39"/>
      <c r="B518" s="39"/>
    </row>
    <row r="519" spans="1:2">
      <c r="A519" s="39"/>
      <c r="B519" s="39"/>
    </row>
    <row r="520" spans="1:2">
      <c r="A520" s="39"/>
      <c r="B520" s="39"/>
    </row>
    <row r="521" spans="1:2">
      <c r="A521" s="39"/>
      <c r="B521" s="39"/>
    </row>
    <row r="522" spans="1:2">
      <c r="A522" s="39"/>
      <c r="B522" s="39"/>
    </row>
    <row r="523" spans="1:2">
      <c r="A523" s="39"/>
      <c r="B523" s="39"/>
    </row>
    <row r="524" spans="1:2">
      <c r="A524" s="39"/>
      <c r="B524" s="39"/>
    </row>
    <row r="525" spans="1:2">
      <c r="A525" s="39"/>
      <c r="B525" s="39"/>
    </row>
    <row r="526" spans="1:2">
      <c r="A526" s="39"/>
      <c r="B526" s="39"/>
    </row>
    <row r="527" spans="1:2">
      <c r="A527" s="39"/>
      <c r="B527" s="39"/>
    </row>
    <row r="528" spans="1:2">
      <c r="A528" s="39"/>
      <c r="B528" s="39"/>
    </row>
    <row r="529" spans="1:2">
      <c r="A529" s="39"/>
      <c r="B529" s="39"/>
    </row>
    <row r="530" spans="1:2">
      <c r="A530" s="39"/>
      <c r="B530" s="39"/>
    </row>
    <row r="531" spans="1:2">
      <c r="A531" s="39"/>
      <c r="B531" s="39"/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ct6n1mcBA4l+SgCRkxI4kPlwnw8le+rK2zaq1kQCfZVvGvK5u3ka6NtbTVcyRFiACbHqWVhOuSxZTt6Jx/fyNg==" saltValue="uFre9mvV2b45FILY2Y7Lvg==" spinCount="100000" sqref="A1:XFD1048576" name="Range1" securityDescriptor="O:WDG:WDD:(A;;CC;;;S-1-5-21-4266775999-1434241158-117269649-15173)"/>
  </protectedRanges>
  <autoFilter ref="A10:F10" xr:uid="{22C08255-DF64-49FE-90B2-8DD8B80B17F6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EBC0-B2B0-4D79-A67A-062759771471}">
  <sheetPr>
    <tabColor rgb="FFC00000"/>
  </sheetPr>
  <dimension ref="A1:H127"/>
  <sheetViews>
    <sheetView workbookViewId="0">
      <pane ySplit="1" topLeftCell="A111" activePane="bottomLeft" state="frozen"/>
      <selection pane="bottomLeft" activeCell="B126" sqref="B126:B127"/>
      <selection activeCell="F11" sqref="F11"/>
    </sheetView>
  </sheetViews>
  <sheetFormatPr defaultColWidth="8.85546875" defaultRowHeight="14.45"/>
  <cols>
    <col min="1" max="1" width="31.85546875" style="39" customWidth="1"/>
    <col min="2" max="2" width="8.140625" style="39" customWidth="1"/>
    <col min="3" max="3" width="6.85546875" style="39" customWidth="1"/>
    <col min="4" max="4" width="12.85546875" style="137" bestFit="1" customWidth="1"/>
    <col min="5" max="5" width="14" style="39" bestFit="1" customWidth="1"/>
    <col min="6" max="6" width="23.42578125" style="39" hidden="1" customWidth="1"/>
    <col min="7" max="7" width="18.5703125" style="39" bestFit="1" customWidth="1"/>
    <col min="8" max="16384" width="8.85546875" style="39"/>
  </cols>
  <sheetData>
    <row r="1" spans="1:7">
      <c r="A1" s="140" t="s">
        <v>438</v>
      </c>
      <c r="B1" s="140" t="s">
        <v>439</v>
      </c>
      <c r="C1" s="140" t="s">
        <v>440</v>
      </c>
      <c r="D1" s="141" t="s">
        <v>441</v>
      </c>
      <c r="E1" s="140" t="s">
        <v>442</v>
      </c>
      <c r="F1" s="140" t="s">
        <v>443</v>
      </c>
      <c r="G1" s="140" t="s">
        <v>444</v>
      </c>
    </row>
    <row r="2" spans="1:7">
      <c r="A2" s="39" t="s">
        <v>445</v>
      </c>
      <c r="B2" s="39" t="s">
        <v>63</v>
      </c>
      <c r="C2" s="39">
        <v>0.87</v>
      </c>
      <c r="D2" s="137">
        <v>38628</v>
      </c>
      <c r="F2" s="39" t="s">
        <v>446</v>
      </c>
    </row>
    <row r="3" spans="1:7">
      <c r="A3" s="39" t="s">
        <v>447</v>
      </c>
      <c r="B3" s="39" t="s">
        <v>69</v>
      </c>
      <c r="C3" s="39">
        <v>1</v>
      </c>
      <c r="D3" s="137">
        <v>45558</v>
      </c>
      <c r="G3" s="138">
        <v>9.2303999999999997E-2</v>
      </c>
    </row>
    <row r="4" spans="1:7">
      <c r="A4" s="39" t="s">
        <v>448</v>
      </c>
      <c r="B4" s="39" t="s">
        <v>74</v>
      </c>
      <c r="C4" s="39">
        <v>1</v>
      </c>
      <c r="D4" s="137">
        <v>42723</v>
      </c>
      <c r="G4" s="39">
        <v>9.9996000000000002E-2</v>
      </c>
    </row>
    <row r="5" spans="1:7">
      <c r="A5" s="39" t="s">
        <v>449</v>
      </c>
      <c r="B5" s="39" t="s">
        <v>79</v>
      </c>
      <c r="C5" s="39">
        <v>1</v>
      </c>
      <c r="D5" s="137">
        <v>45229</v>
      </c>
      <c r="G5" s="39">
        <v>7.6920000000000002E-2</v>
      </c>
    </row>
    <row r="6" spans="1:7">
      <c r="A6" s="39" t="s">
        <v>450</v>
      </c>
      <c r="B6" s="39" t="s">
        <v>82</v>
      </c>
      <c r="C6" s="39">
        <v>0.875</v>
      </c>
      <c r="D6" s="137">
        <v>42611</v>
      </c>
      <c r="F6" s="39" t="s">
        <v>446</v>
      </c>
    </row>
    <row r="7" spans="1:7">
      <c r="A7" s="39" t="s">
        <v>344</v>
      </c>
      <c r="B7" s="39" t="s">
        <v>85</v>
      </c>
      <c r="C7" s="39">
        <v>0.75</v>
      </c>
      <c r="D7" s="137">
        <v>45971</v>
      </c>
      <c r="G7" s="138">
        <v>7.6920000000000002E-2</v>
      </c>
    </row>
    <row r="8" spans="1:7">
      <c r="A8" s="39" t="s">
        <v>451</v>
      </c>
      <c r="B8" s="39" t="s">
        <v>87</v>
      </c>
      <c r="C8" s="39">
        <v>1</v>
      </c>
      <c r="D8" s="137">
        <v>44200</v>
      </c>
      <c r="G8" s="39">
        <v>9.2303999999999997E-2</v>
      </c>
    </row>
    <row r="9" spans="1:7">
      <c r="A9" s="39" t="s">
        <v>452</v>
      </c>
      <c r="B9" s="39" t="s">
        <v>89</v>
      </c>
      <c r="C9" s="39">
        <v>1</v>
      </c>
      <c r="D9" s="137">
        <v>44858</v>
      </c>
      <c r="G9" s="39">
        <v>9.2303999999999997E-2</v>
      </c>
    </row>
    <row r="10" spans="1:7">
      <c r="A10" s="39" t="s">
        <v>453</v>
      </c>
      <c r="B10" s="39" t="s">
        <v>92</v>
      </c>
      <c r="C10" s="39">
        <v>0.8</v>
      </c>
      <c r="D10" s="137">
        <v>42835</v>
      </c>
      <c r="E10" s="139">
        <v>44571</v>
      </c>
      <c r="G10" s="39">
        <v>9.9996000000000002E-2</v>
      </c>
    </row>
    <row r="11" spans="1:7">
      <c r="A11" s="39" t="s">
        <v>454</v>
      </c>
      <c r="B11" s="39" t="s">
        <v>94</v>
      </c>
      <c r="C11" s="39">
        <v>1</v>
      </c>
      <c r="D11" s="137">
        <v>41106</v>
      </c>
      <c r="F11" s="39" t="s">
        <v>446</v>
      </c>
    </row>
    <row r="12" spans="1:7">
      <c r="A12" s="39" t="s">
        <v>455</v>
      </c>
      <c r="B12" s="39" t="s">
        <v>98</v>
      </c>
      <c r="C12" s="39">
        <v>1</v>
      </c>
      <c r="D12" s="137">
        <v>44704</v>
      </c>
      <c r="G12" s="39">
        <v>7.6920000000000002E-2</v>
      </c>
    </row>
    <row r="13" spans="1:7">
      <c r="A13" s="39" t="s">
        <v>100</v>
      </c>
      <c r="B13" s="41" t="s">
        <v>101</v>
      </c>
      <c r="C13" s="39">
        <v>1</v>
      </c>
      <c r="D13" s="137">
        <v>45950</v>
      </c>
      <c r="G13" s="138">
        <v>7.6920000000000002E-2</v>
      </c>
    </row>
    <row r="14" spans="1:7">
      <c r="A14" s="39" t="s">
        <v>456</v>
      </c>
      <c r="B14" s="39" t="s">
        <v>103</v>
      </c>
      <c r="C14" s="39">
        <v>1</v>
      </c>
      <c r="D14" s="137">
        <v>45579</v>
      </c>
      <c r="G14" s="39">
        <v>9.2303999999999997E-2</v>
      </c>
    </row>
    <row r="15" spans="1:7">
      <c r="A15" s="39" t="s">
        <v>457</v>
      </c>
      <c r="B15" s="39" t="s">
        <v>105</v>
      </c>
      <c r="C15" s="39">
        <v>1</v>
      </c>
      <c r="D15" s="137">
        <v>43724</v>
      </c>
      <c r="F15" s="39" t="s">
        <v>446</v>
      </c>
    </row>
    <row r="16" spans="1:7">
      <c r="A16" s="39" t="s">
        <v>458</v>
      </c>
      <c r="B16" s="39" t="s">
        <v>107</v>
      </c>
      <c r="C16" s="39">
        <v>0.87</v>
      </c>
      <c r="D16" s="137">
        <v>41148</v>
      </c>
      <c r="F16" s="39" t="s">
        <v>446</v>
      </c>
    </row>
    <row r="17" spans="1:7">
      <c r="A17" s="39" t="s">
        <v>459</v>
      </c>
      <c r="B17" s="39" t="s">
        <v>110</v>
      </c>
      <c r="C17" s="39">
        <v>1</v>
      </c>
      <c r="D17" s="137">
        <v>38222</v>
      </c>
      <c r="F17" s="39" t="s">
        <v>446</v>
      </c>
    </row>
    <row r="18" spans="1:7">
      <c r="A18" s="39" t="s">
        <v>460</v>
      </c>
      <c r="B18" s="39" t="s">
        <v>112</v>
      </c>
      <c r="C18" s="39">
        <v>0.75</v>
      </c>
      <c r="D18" s="137">
        <v>42940</v>
      </c>
      <c r="G18" s="39">
        <v>9.9996000000000002E-2</v>
      </c>
    </row>
    <row r="19" spans="1:7">
      <c r="A19" s="39" t="s">
        <v>461</v>
      </c>
      <c r="B19" s="39" t="s">
        <v>114</v>
      </c>
      <c r="C19" s="39">
        <v>1</v>
      </c>
      <c r="D19" s="137">
        <v>37480</v>
      </c>
      <c r="F19" s="39" t="s">
        <v>446</v>
      </c>
    </row>
    <row r="20" spans="1:7">
      <c r="A20" s="39" t="s">
        <v>462</v>
      </c>
      <c r="B20" s="39" t="s">
        <v>117</v>
      </c>
      <c r="C20" s="39">
        <v>0.8</v>
      </c>
      <c r="D20" s="137">
        <v>43913</v>
      </c>
      <c r="G20" s="39">
        <v>9.9996000000000002E-2</v>
      </c>
    </row>
    <row r="21" spans="1:7">
      <c r="A21" s="39" t="s">
        <v>463</v>
      </c>
      <c r="B21" s="39" t="s">
        <v>119</v>
      </c>
      <c r="C21" s="39">
        <v>1</v>
      </c>
      <c r="D21" s="137">
        <v>43851</v>
      </c>
      <c r="G21" s="39">
        <v>9.9996000000000002E-2</v>
      </c>
    </row>
    <row r="22" spans="1:7">
      <c r="A22" s="39" t="s">
        <v>464</v>
      </c>
      <c r="B22" s="39" t="s">
        <v>121</v>
      </c>
      <c r="C22" s="39">
        <v>1</v>
      </c>
      <c r="D22" s="137">
        <v>44221</v>
      </c>
      <c r="G22" s="138">
        <v>9.9996000000000002E-2</v>
      </c>
    </row>
    <row r="23" spans="1:7">
      <c r="A23" s="39" t="s">
        <v>465</v>
      </c>
      <c r="B23" s="39" t="s">
        <v>123</v>
      </c>
      <c r="C23" s="39">
        <v>1</v>
      </c>
      <c r="D23" s="137">
        <v>44690</v>
      </c>
      <c r="G23" s="39">
        <v>9.2303999999999997E-2</v>
      </c>
    </row>
    <row r="24" spans="1:7">
      <c r="A24" s="39" t="s">
        <v>466</v>
      </c>
      <c r="B24" s="39" t="s">
        <v>125</v>
      </c>
      <c r="C24" s="39">
        <v>1</v>
      </c>
      <c r="D24" s="137">
        <v>45579</v>
      </c>
      <c r="G24" s="39">
        <v>9.2303999999999997E-2</v>
      </c>
    </row>
    <row r="25" spans="1:7">
      <c r="A25" s="39" t="s">
        <v>467</v>
      </c>
      <c r="B25" s="39" t="s">
        <v>306</v>
      </c>
      <c r="C25" s="39">
        <v>1</v>
      </c>
      <c r="D25" s="137">
        <v>45012</v>
      </c>
      <c r="G25" s="39">
        <v>7.6920000000000002E-2</v>
      </c>
    </row>
    <row r="26" spans="1:7">
      <c r="A26" s="39" t="s">
        <v>468</v>
      </c>
      <c r="B26" s="39" t="s">
        <v>127</v>
      </c>
      <c r="C26" s="39">
        <v>1</v>
      </c>
      <c r="D26" s="137">
        <v>38965</v>
      </c>
      <c r="F26" s="39" t="s">
        <v>446</v>
      </c>
    </row>
    <row r="27" spans="1:7">
      <c r="A27" s="39" t="s">
        <v>469</v>
      </c>
      <c r="B27" s="39" t="s">
        <v>129</v>
      </c>
      <c r="C27" s="39">
        <v>1</v>
      </c>
      <c r="D27" s="137">
        <v>40651</v>
      </c>
      <c r="E27" s="139">
        <v>44858</v>
      </c>
      <c r="G27" s="39">
        <v>7.6920000000000002E-2</v>
      </c>
    </row>
    <row r="28" spans="1:7">
      <c r="A28" s="39" t="s">
        <v>470</v>
      </c>
      <c r="B28" s="39" t="s">
        <v>131</v>
      </c>
      <c r="C28" s="39">
        <v>0.8</v>
      </c>
      <c r="D28" s="137">
        <v>45243</v>
      </c>
      <c r="G28" s="39">
        <v>7.6920000000000002E-2</v>
      </c>
    </row>
    <row r="29" spans="1:7">
      <c r="A29" s="39" t="s">
        <v>471</v>
      </c>
      <c r="B29" s="39" t="s">
        <v>133</v>
      </c>
      <c r="C29" s="39">
        <v>1</v>
      </c>
      <c r="D29" s="137">
        <v>44585</v>
      </c>
      <c r="G29" s="39">
        <v>9.2303999999999997E-2</v>
      </c>
    </row>
    <row r="30" spans="1:7">
      <c r="A30" s="39" t="s">
        <v>472</v>
      </c>
      <c r="B30" s="39" t="s">
        <v>135</v>
      </c>
      <c r="C30" s="39">
        <v>0.75</v>
      </c>
      <c r="D30" s="137">
        <v>41639</v>
      </c>
      <c r="F30" s="39" t="s">
        <v>446</v>
      </c>
    </row>
    <row r="31" spans="1:7">
      <c r="A31" s="39" t="s">
        <v>473</v>
      </c>
      <c r="B31" s="39" t="s">
        <v>138</v>
      </c>
      <c r="C31" s="39">
        <v>1</v>
      </c>
      <c r="D31" s="137">
        <v>44844</v>
      </c>
      <c r="G31" s="39">
        <v>9.2303999999999997E-2</v>
      </c>
    </row>
    <row r="32" spans="1:7">
      <c r="A32" s="8" t="s">
        <v>139</v>
      </c>
      <c r="B32" s="8" t="s">
        <v>140</v>
      </c>
      <c r="C32" s="39">
        <v>0.75</v>
      </c>
      <c r="D32" s="137">
        <v>45999</v>
      </c>
      <c r="G32" s="138">
        <v>7.6920000000000002E-2</v>
      </c>
    </row>
    <row r="33" spans="1:7">
      <c r="A33" s="39" t="s">
        <v>474</v>
      </c>
      <c r="B33" s="39" t="s">
        <v>144</v>
      </c>
      <c r="C33" s="39">
        <v>1</v>
      </c>
      <c r="D33" s="137">
        <v>42975</v>
      </c>
      <c r="F33" s="39" t="s">
        <v>446</v>
      </c>
    </row>
    <row r="34" spans="1:7">
      <c r="A34" s="39" t="s">
        <v>475</v>
      </c>
      <c r="B34" s="39" t="s">
        <v>146</v>
      </c>
      <c r="C34" s="39">
        <v>1</v>
      </c>
      <c r="D34" s="137">
        <v>38286</v>
      </c>
      <c r="E34" s="139">
        <v>44585</v>
      </c>
      <c r="G34" s="39">
        <v>7.6920000000000002E-2</v>
      </c>
    </row>
    <row r="35" spans="1:7">
      <c r="A35" s="39" t="s">
        <v>476</v>
      </c>
      <c r="B35" s="39" t="s">
        <v>148</v>
      </c>
      <c r="C35" s="39">
        <v>0.75</v>
      </c>
      <c r="D35" s="137">
        <v>43553</v>
      </c>
      <c r="F35" s="39" t="s">
        <v>446</v>
      </c>
    </row>
    <row r="36" spans="1:7">
      <c r="A36" s="39" t="s">
        <v>477</v>
      </c>
      <c r="B36" s="39" t="s">
        <v>150</v>
      </c>
      <c r="C36" s="39">
        <v>0.8</v>
      </c>
      <c r="D36" s="137">
        <v>43430</v>
      </c>
      <c r="G36" s="39">
        <v>9.9996000000000002E-2</v>
      </c>
    </row>
    <row r="37" spans="1:7">
      <c r="A37" s="39" t="s">
        <v>478</v>
      </c>
      <c r="B37" s="39" t="s">
        <v>152</v>
      </c>
      <c r="C37" s="39">
        <v>1</v>
      </c>
      <c r="D37" s="137">
        <v>39689</v>
      </c>
      <c r="F37" s="39" t="s">
        <v>446</v>
      </c>
    </row>
    <row r="38" spans="1:7">
      <c r="A38" s="39" t="s">
        <v>479</v>
      </c>
      <c r="B38" s="39" t="s">
        <v>154</v>
      </c>
      <c r="C38" s="39">
        <v>0.75</v>
      </c>
      <c r="D38" s="137">
        <v>44200</v>
      </c>
      <c r="G38" s="39">
        <v>9.2303999999999997E-2</v>
      </c>
    </row>
    <row r="39" spans="1:7">
      <c r="A39" s="39" t="s">
        <v>480</v>
      </c>
      <c r="B39" s="39" t="s">
        <v>156</v>
      </c>
      <c r="C39" s="39">
        <v>0.8</v>
      </c>
      <c r="D39" s="137">
        <v>39419</v>
      </c>
      <c r="F39" s="39" t="s">
        <v>446</v>
      </c>
    </row>
    <row r="40" spans="1:7">
      <c r="A40" s="39" t="s">
        <v>481</v>
      </c>
      <c r="B40" s="39" t="s">
        <v>158</v>
      </c>
      <c r="C40" s="39">
        <v>1</v>
      </c>
      <c r="D40" s="137">
        <v>45222</v>
      </c>
      <c r="G40" s="39">
        <v>9.2303999999999997E-2</v>
      </c>
    </row>
    <row r="41" spans="1:7">
      <c r="A41" s="39" t="s">
        <v>482</v>
      </c>
      <c r="B41" s="39" t="s">
        <v>160</v>
      </c>
      <c r="C41" s="39">
        <v>1</v>
      </c>
      <c r="D41" s="137">
        <v>40057</v>
      </c>
      <c r="F41" s="39" t="s">
        <v>446</v>
      </c>
    </row>
    <row r="42" spans="1:7">
      <c r="A42" s="39" t="s">
        <v>483</v>
      </c>
      <c r="B42" s="39" t="s">
        <v>162</v>
      </c>
      <c r="C42" s="39">
        <v>0.75</v>
      </c>
      <c r="D42" s="137">
        <v>43381</v>
      </c>
      <c r="G42" s="39">
        <v>9.2303999999999997E-2</v>
      </c>
    </row>
    <row r="43" spans="1:7">
      <c r="A43" s="39" t="s">
        <v>484</v>
      </c>
      <c r="B43" s="39" t="s">
        <v>164</v>
      </c>
      <c r="C43" s="39">
        <v>0.88</v>
      </c>
      <c r="D43" s="137">
        <v>37865</v>
      </c>
      <c r="F43" s="39" t="s">
        <v>446</v>
      </c>
    </row>
    <row r="44" spans="1:7">
      <c r="A44" s="39" t="s">
        <v>485</v>
      </c>
      <c r="B44" s="39" t="s">
        <v>166</v>
      </c>
      <c r="C44" s="39">
        <v>0.75</v>
      </c>
      <c r="D44" s="137">
        <v>38972</v>
      </c>
      <c r="F44" s="39" t="s">
        <v>446</v>
      </c>
    </row>
    <row r="45" spans="1:7">
      <c r="A45" s="39" t="s">
        <v>486</v>
      </c>
      <c r="B45" s="39" t="s">
        <v>168</v>
      </c>
      <c r="C45" s="39">
        <v>1</v>
      </c>
      <c r="D45" s="137">
        <v>42583</v>
      </c>
      <c r="F45" s="39" t="s">
        <v>446</v>
      </c>
    </row>
    <row r="46" spans="1:7">
      <c r="A46" s="39" t="s">
        <v>487</v>
      </c>
      <c r="B46" s="39" t="s">
        <v>170</v>
      </c>
      <c r="C46" s="39">
        <v>1</v>
      </c>
      <c r="D46" s="137">
        <v>44810</v>
      </c>
      <c r="G46" s="39">
        <v>7.6920000000000002E-2</v>
      </c>
    </row>
    <row r="47" spans="1:7">
      <c r="A47" s="39" t="s">
        <v>171</v>
      </c>
      <c r="B47" s="39" t="s">
        <v>172</v>
      </c>
      <c r="C47" s="39">
        <v>1</v>
      </c>
      <c r="D47" s="137">
        <v>45775</v>
      </c>
      <c r="G47" s="39">
        <v>7.6920000000000002E-2</v>
      </c>
    </row>
    <row r="48" spans="1:7">
      <c r="A48" s="39" t="s">
        <v>488</v>
      </c>
      <c r="B48" s="39" t="s">
        <v>174</v>
      </c>
      <c r="C48" s="39">
        <v>0.8</v>
      </c>
      <c r="D48" s="137">
        <v>39660</v>
      </c>
      <c r="F48" s="39" t="s">
        <v>446</v>
      </c>
    </row>
    <row r="49" spans="1:8">
      <c r="A49" s="39" t="s">
        <v>489</v>
      </c>
      <c r="B49" s="39" t="s">
        <v>346</v>
      </c>
      <c r="C49" s="39">
        <v>0.85</v>
      </c>
      <c r="D49" s="137">
        <v>43664</v>
      </c>
      <c r="E49" s="139">
        <v>44606</v>
      </c>
      <c r="G49" s="39">
        <v>7.6920000000000002E-2</v>
      </c>
    </row>
    <row r="50" spans="1:8">
      <c r="A50" s="39" t="s">
        <v>490</v>
      </c>
      <c r="B50" s="39" t="s">
        <v>176</v>
      </c>
      <c r="C50" s="39">
        <v>1</v>
      </c>
      <c r="D50" s="137">
        <v>42653</v>
      </c>
      <c r="F50" s="39" t="s">
        <v>446</v>
      </c>
    </row>
    <row r="51" spans="1:8">
      <c r="A51" s="39" t="s">
        <v>491</v>
      </c>
      <c r="B51" s="39" t="s">
        <v>178</v>
      </c>
      <c r="C51" s="39">
        <v>1</v>
      </c>
      <c r="D51" s="137">
        <v>41764</v>
      </c>
      <c r="F51" s="39" t="s">
        <v>446</v>
      </c>
    </row>
    <row r="52" spans="1:8">
      <c r="A52" s="39" t="s">
        <v>181</v>
      </c>
      <c r="B52" s="41" t="s">
        <v>182</v>
      </c>
      <c r="C52" s="39">
        <v>1</v>
      </c>
      <c r="D52" s="137">
        <v>45943</v>
      </c>
      <c r="G52" s="138">
        <v>7.6920000000000002E-2</v>
      </c>
    </row>
    <row r="53" spans="1:8">
      <c r="A53" s="39" t="s">
        <v>492</v>
      </c>
      <c r="B53" s="39" t="s">
        <v>184</v>
      </c>
      <c r="C53" s="39">
        <v>1</v>
      </c>
      <c r="D53" s="137">
        <v>38222</v>
      </c>
      <c r="F53" s="39" t="s">
        <v>446</v>
      </c>
    </row>
    <row r="54" spans="1:8">
      <c r="A54" s="39" t="s">
        <v>186</v>
      </c>
      <c r="B54" s="40" t="s">
        <v>187</v>
      </c>
      <c r="C54" s="39">
        <v>0.8</v>
      </c>
      <c r="D54" s="137">
        <v>45817</v>
      </c>
      <c r="G54" s="39">
        <v>7.6920000000000002E-2</v>
      </c>
    </row>
    <row r="55" spans="1:8">
      <c r="A55" s="39" t="s">
        <v>493</v>
      </c>
      <c r="B55" s="39" t="s">
        <v>189</v>
      </c>
      <c r="C55" s="39">
        <v>1</v>
      </c>
      <c r="D55" s="137">
        <v>37851</v>
      </c>
      <c r="F55" s="39" t="s">
        <v>446</v>
      </c>
    </row>
    <row r="56" spans="1:8">
      <c r="A56" s="39" t="s">
        <v>193</v>
      </c>
      <c r="B56" s="39" t="s">
        <v>194</v>
      </c>
      <c r="C56" s="39">
        <v>1</v>
      </c>
      <c r="D56" s="137">
        <v>46048</v>
      </c>
      <c r="G56" s="138">
        <v>7.6920000000000002E-2</v>
      </c>
    </row>
    <row r="57" spans="1:8">
      <c r="A57" s="39" t="s">
        <v>494</v>
      </c>
      <c r="B57" s="39" t="s">
        <v>196</v>
      </c>
      <c r="C57" s="39">
        <v>1</v>
      </c>
      <c r="D57" s="137">
        <v>36008</v>
      </c>
      <c r="F57" s="39" t="s">
        <v>446</v>
      </c>
    </row>
    <row r="58" spans="1:8">
      <c r="A58" s="39" t="s">
        <v>495</v>
      </c>
      <c r="B58" s="39" t="s">
        <v>496</v>
      </c>
      <c r="C58" s="39">
        <v>1</v>
      </c>
      <c r="D58" s="137">
        <v>36465</v>
      </c>
      <c r="F58" s="39" t="s">
        <v>446</v>
      </c>
    </row>
    <row r="59" spans="1:8">
      <c r="A59" s="39" t="s">
        <v>497</v>
      </c>
      <c r="B59" s="39" t="s">
        <v>198</v>
      </c>
      <c r="C59" s="39">
        <v>0.63</v>
      </c>
      <c r="D59" s="137">
        <v>40007</v>
      </c>
      <c r="F59" s="39" t="s">
        <v>446</v>
      </c>
    </row>
    <row r="60" spans="1:8">
      <c r="A60" s="39" t="s">
        <v>498</v>
      </c>
      <c r="B60" s="39" t="s">
        <v>200</v>
      </c>
      <c r="C60" s="39">
        <v>0.8</v>
      </c>
      <c r="D60" s="137">
        <v>41516</v>
      </c>
      <c r="F60" s="39" t="s">
        <v>446</v>
      </c>
    </row>
    <row r="61" spans="1:8">
      <c r="A61" s="39" t="s">
        <v>499</v>
      </c>
      <c r="B61" s="39" t="s">
        <v>202</v>
      </c>
      <c r="C61" s="39">
        <v>0.75</v>
      </c>
      <c r="D61" s="137">
        <v>37494</v>
      </c>
      <c r="F61" s="39" t="s">
        <v>446</v>
      </c>
      <c r="G61" s="39">
        <f>1/30</f>
        <v>3.3333333333333333E-2</v>
      </c>
      <c r="H61" s="39" t="s">
        <v>500</v>
      </c>
    </row>
    <row r="62" spans="1:8">
      <c r="A62" s="39" t="s">
        <v>501</v>
      </c>
      <c r="B62" s="39" t="s">
        <v>204</v>
      </c>
      <c r="C62" s="39">
        <v>0.75</v>
      </c>
      <c r="D62" s="137">
        <v>44662</v>
      </c>
      <c r="G62" s="39">
        <v>7.6920000000000002E-2</v>
      </c>
    </row>
    <row r="63" spans="1:8">
      <c r="A63" s="39" t="s">
        <v>502</v>
      </c>
      <c r="B63" s="39" t="s">
        <v>206</v>
      </c>
      <c r="C63" s="39">
        <v>1</v>
      </c>
      <c r="D63" s="137">
        <v>40792</v>
      </c>
      <c r="F63" s="39" t="s">
        <v>446</v>
      </c>
    </row>
    <row r="64" spans="1:8">
      <c r="A64" s="39" t="s">
        <v>207</v>
      </c>
      <c r="B64" s="39" t="s">
        <v>208</v>
      </c>
      <c r="C64" s="39">
        <v>0.8</v>
      </c>
      <c r="D64" s="137">
        <v>45670</v>
      </c>
      <c r="E64" s="139">
        <v>45670</v>
      </c>
      <c r="G64" s="39">
        <v>7.6920000000000002E-2</v>
      </c>
    </row>
    <row r="65" spans="1:7">
      <c r="A65" s="39" t="s">
        <v>209</v>
      </c>
      <c r="B65" s="39" t="s">
        <v>210</v>
      </c>
      <c r="C65" s="39">
        <v>1</v>
      </c>
      <c r="D65" s="137">
        <v>46048</v>
      </c>
      <c r="G65" s="138">
        <v>7.6920000000000002E-2</v>
      </c>
    </row>
    <row r="66" spans="1:7">
      <c r="A66" s="39" t="s">
        <v>503</v>
      </c>
      <c r="B66" s="39" t="s">
        <v>212</v>
      </c>
      <c r="C66" s="39">
        <v>0.9</v>
      </c>
      <c r="D66" s="137">
        <v>41516</v>
      </c>
      <c r="F66" s="39" t="s">
        <v>446</v>
      </c>
    </row>
    <row r="67" spans="1:7">
      <c r="A67" s="39" t="s">
        <v>504</v>
      </c>
      <c r="B67" s="39" t="s">
        <v>214</v>
      </c>
      <c r="C67" s="39">
        <v>1</v>
      </c>
      <c r="D67" s="137">
        <v>42216</v>
      </c>
      <c r="F67" s="39" t="s">
        <v>446</v>
      </c>
    </row>
    <row r="68" spans="1:7">
      <c r="A68" s="39" t="s">
        <v>505</v>
      </c>
      <c r="B68" s="39" t="s">
        <v>216</v>
      </c>
      <c r="C68" s="39">
        <v>1</v>
      </c>
      <c r="D68" s="137">
        <v>44704</v>
      </c>
      <c r="G68" s="39">
        <v>7.6920000000000002E-2</v>
      </c>
    </row>
    <row r="69" spans="1:7">
      <c r="A69" s="39" t="s">
        <v>506</v>
      </c>
      <c r="B69" s="39" t="s">
        <v>218</v>
      </c>
      <c r="C69" s="39">
        <v>1</v>
      </c>
      <c r="D69" s="137">
        <v>44298</v>
      </c>
      <c r="G69" s="39">
        <v>7.6920000000000002E-2</v>
      </c>
    </row>
    <row r="70" spans="1:7">
      <c r="A70" s="39" t="s">
        <v>507</v>
      </c>
      <c r="B70" s="39" t="s">
        <v>220</v>
      </c>
      <c r="C70" s="39">
        <v>1</v>
      </c>
      <c r="D70" s="137">
        <v>41106</v>
      </c>
      <c r="F70" s="39" t="s">
        <v>446</v>
      </c>
    </row>
    <row r="71" spans="1:7">
      <c r="A71" s="39" t="s">
        <v>508</v>
      </c>
      <c r="B71" s="39" t="s">
        <v>222</v>
      </c>
      <c r="C71" s="39">
        <v>0.9</v>
      </c>
      <c r="D71" s="137">
        <v>45229</v>
      </c>
      <c r="G71" s="39">
        <v>7.6920000000000002E-2</v>
      </c>
    </row>
    <row r="72" spans="1:7">
      <c r="A72" s="39" t="s">
        <v>509</v>
      </c>
      <c r="B72" s="39" t="s">
        <v>224</v>
      </c>
      <c r="C72" s="39">
        <v>1</v>
      </c>
      <c r="D72" s="137">
        <v>41148</v>
      </c>
      <c r="F72" s="39" t="s">
        <v>446</v>
      </c>
    </row>
    <row r="73" spans="1:7">
      <c r="A73" s="39" t="s">
        <v>510</v>
      </c>
      <c r="B73" s="39" t="s">
        <v>226</v>
      </c>
      <c r="C73" s="39">
        <v>1</v>
      </c>
      <c r="D73" s="137">
        <v>38992</v>
      </c>
      <c r="F73" s="39" t="s">
        <v>446</v>
      </c>
    </row>
    <row r="74" spans="1:7">
      <c r="A74" s="39" t="s">
        <v>511</v>
      </c>
      <c r="B74" s="39" t="s">
        <v>228</v>
      </c>
      <c r="C74" s="39">
        <v>1</v>
      </c>
      <c r="D74" s="137">
        <v>43553</v>
      </c>
      <c r="F74" s="39" t="s">
        <v>446</v>
      </c>
    </row>
    <row r="75" spans="1:7">
      <c r="A75" s="39" t="s">
        <v>512</v>
      </c>
      <c r="B75" s="39" t="s">
        <v>230</v>
      </c>
      <c r="C75" s="39">
        <v>1</v>
      </c>
      <c r="D75" s="137">
        <v>45558</v>
      </c>
      <c r="G75" s="39">
        <v>7.6920000000000002E-2</v>
      </c>
    </row>
    <row r="76" spans="1:7">
      <c r="A76" s="39" t="s">
        <v>513</v>
      </c>
      <c r="B76" s="39" t="s">
        <v>232</v>
      </c>
      <c r="C76" s="39">
        <v>1</v>
      </c>
      <c r="D76" s="137">
        <v>44620</v>
      </c>
      <c r="G76" s="39">
        <v>7.6920000000000002E-2</v>
      </c>
    </row>
    <row r="77" spans="1:7">
      <c r="A77" s="39" t="s">
        <v>514</v>
      </c>
      <c r="B77" s="39" t="s">
        <v>234</v>
      </c>
      <c r="C77" s="39">
        <v>0.8</v>
      </c>
      <c r="D77" s="137">
        <v>39118</v>
      </c>
      <c r="F77" s="39" t="s">
        <v>446</v>
      </c>
    </row>
    <row r="78" spans="1:7">
      <c r="A78" s="39" t="s">
        <v>515</v>
      </c>
      <c r="B78" s="39" t="s">
        <v>236</v>
      </c>
      <c r="C78" s="39">
        <v>1</v>
      </c>
      <c r="D78" s="137">
        <v>44494</v>
      </c>
      <c r="G78" s="39">
        <v>7.6920000000000002E-2</v>
      </c>
    </row>
    <row r="79" spans="1:7">
      <c r="A79" s="39" t="s">
        <v>516</v>
      </c>
      <c r="B79" s="39" t="s">
        <v>238</v>
      </c>
      <c r="C79" s="39">
        <v>0.8</v>
      </c>
      <c r="D79" s="139">
        <v>45166</v>
      </c>
      <c r="G79" s="39">
        <v>7.6920000000000002E-2</v>
      </c>
    </row>
    <row r="80" spans="1:7">
      <c r="A80" s="39" t="s">
        <v>517</v>
      </c>
      <c r="B80" s="39" t="s">
        <v>242</v>
      </c>
      <c r="C80" s="39">
        <v>1</v>
      </c>
      <c r="D80" s="137">
        <v>44725</v>
      </c>
      <c r="G80" s="39">
        <v>7.6920000000000002E-2</v>
      </c>
    </row>
    <row r="81" spans="1:7">
      <c r="A81" s="39" t="s">
        <v>518</v>
      </c>
      <c r="B81" s="39" t="s">
        <v>244</v>
      </c>
      <c r="C81" s="39">
        <v>0.95</v>
      </c>
      <c r="D81" s="137">
        <v>45404</v>
      </c>
      <c r="G81" s="39">
        <v>7.6920000000000002E-2</v>
      </c>
    </row>
    <row r="82" spans="1:7">
      <c r="A82" s="39" t="s">
        <v>519</v>
      </c>
      <c r="B82" s="39" t="s">
        <v>246</v>
      </c>
      <c r="C82" s="39">
        <v>0.75</v>
      </c>
      <c r="D82" s="137">
        <v>36374</v>
      </c>
      <c r="F82" s="39" t="s">
        <v>446</v>
      </c>
    </row>
    <row r="83" spans="1:7">
      <c r="A83" s="39" t="s">
        <v>247</v>
      </c>
      <c r="B83" s="39" t="s">
        <v>248</v>
      </c>
      <c r="C83" s="39">
        <v>1</v>
      </c>
      <c r="D83" s="137">
        <v>45957</v>
      </c>
      <c r="G83" s="138">
        <v>7.6920000000000002E-2</v>
      </c>
    </row>
    <row r="84" spans="1:7">
      <c r="A84" s="39" t="s">
        <v>520</v>
      </c>
      <c r="B84" s="39" t="s">
        <v>250</v>
      </c>
      <c r="C84" s="39">
        <v>0.75</v>
      </c>
      <c r="D84" s="137">
        <v>44606</v>
      </c>
      <c r="G84" s="39">
        <v>7.6920000000000002E-2</v>
      </c>
    </row>
    <row r="85" spans="1:7">
      <c r="A85" s="39" t="s">
        <v>521</v>
      </c>
      <c r="B85" s="39" t="s">
        <v>252</v>
      </c>
      <c r="C85" s="39">
        <v>1</v>
      </c>
      <c r="D85" s="137">
        <v>42233</v>
      </c>
      <c r="F85" s="39" t="s">
        <v>446</v>
      </c>
    </row>
    <row r="86" spans="1:7">
      <c r="A86" s="39" t="s">
        <v>522</v>
      </c>
      <c r="B86" s="39" t="s">
        <v>254</v>
      </c>
      <c r="C86" s="39">
        <v>0.8</v>
      </c>
      <c r="D86" s="137">
        <v>41821</v>
      </c>
      <c r="F86" s="39" t="s">
        <v>446</v>
      </c>
    </row>
    <row r="87" spans="1:7">
      <c r="A87" s="39" t="s">
        <v>523</v>
      </c>
      <c r="B87" s="39" t="s">
        <v>524</v>
      </c>
      <c r="C87" s="39">
        <v>1</v>
      </c>
      <c r="D87" s="137">
        <v>45222</v>
      </c>
      <c r="G87" s="39">
        <v>9.2303999999999997E-2</v>
      </c>
    </row>
    <row r="88" spans="1:7">
      <c r="A88" s="39" t="s">
        <v>525</v>
      </c>
      <c r="B88" s="39" t="s">
        <v>256</v>
      </c>
      <c r="C88" s="39">
        <v>1</v>
      </c>
      <c r="D88" s="137">
        <v>44585</v>
      </c>
      <c r="G88" s="39">
        <v>7.6920000000000002E-2</v>
      </c>
    </row>
    <row r="89" spans="1:7">
      <c r="A89" s="39" t="s">
        <v>526</v>
      </c>
      <c r="B89" s="39" t="s">
        <v>258</v>
      </c>
      <c r="C89" s="39">
        <v>0.75</v>
      </c>
      <c r="D89" s="137">
        <v>34602</v>
      </c>
      <c r="F89" s="39" t="s">
        <v>446</v>
      </c>
    </row>
    <row r="90" spans="1:7">
      <c r="A90" s="39" t="s">
        <v>527</v>
      </c>
      <c r="B90" s="39" t="s">
        <v>260</v>
      </c>
      <c r="C90" s="39">
        <v>0.75</v>
      </c>
      <c r="D90" s="137">
        <v>42940</v>
      </c>
      <c r="F90" s="39" t="s">
        <v>446</v>
      </c>
    </row>
    <row r="91" spans="1:7">
      <c r="A91" s="39" t="s">
        <v>528</v>
      </c>
      <c r="B91" s="39" t="s">
        <v>262</v>
      </c>
      <c r="C91" s="39">
        <v>1</v>
      </c>
      <c r="D91" s="137">
        <v>44452</v>
      </c>
      <c r="G91" s="39">
        <v>9.2303999999999997E-2</v>
      </c>
    </row>
    <row r="92" spans="1:7">
      <c r="A92" s="39" t="s">
        <v>529</v>
      </c>
      <c r="B92" s="39" t="s">
        <v>264</v>
      </c>
      <c r="C92" s="39">
        <v>1</v>
      </c>
      <c r="D92" s="137">
        <v>45222</v>
      </c>
      <c r="G92" s="39">
        <v>9.2303999999999997E-2</v>
      </c>
    </row>
    <row r="93" spans="1:7">
      <c r="A93" s="39" t="s">
        <v>530</v>
      </c>
      <c r="B93" s="39" t="s">
        <v>266</v>
      </c>
      <c r="C93" s="39">
        <v>0.75</v>
      </c>
      <c r="D93" s="137">
        <v>35278</v>
      </c>
      <c r="F93" s="39" t="s">
        <v>446</v>
      </c>
    </row>
    <row r="94" spans="1:7">
      <c r="A94" s="39" t="s">
        <v>531</v>
      </c>
      <c r="B94" s="39" t="s">
        <v>270</v>
      </c>
      <c r="C94" s="39">
        <v>1</v>
      </c>
      <c r="D94" s="137">
        <v>41512</v>
      </c>
      <c r="F94" s="39" t="s">
        <v>446</v>
      </c>
    </row>
    <row r="95" spans="1:7">
      <c r="A95" s="39" t="s">
        <v>532</v>
      </c>
      <c r="B95" s="39" t="s">
        <v>272</v>
      </c>
      <c r="C95" s="39">
        <v>1</v>
      </c>
      <c r="D95" s="137">
        <v>41435</v>
      </c>
      <c r="F95" s="39" t="s">
        <v>446</v>
      </c>
    </row>
    <row r="96" spans="1:7">
      <c r="A96" s="39" t="s">
        <v>533</v>
      </c>
      <c r="B96" s="39" t="s">
        <v>274</v>
      </c>
      <c r="C96" s="39">
        <v>0.75</v>
      </c>
      <c r="D96" s="137">
        <v>44200</v>
      </c>
      <c r="G96" s="39">
        <v>9.2303999999999997E-2</v>
      </c>
    </row>
    <row r="97" spans="1:7">
      <c r="A97" s="39" t="s">
        <v>534</v>
      </c>
      <c r="B97" s="39" t="s">
        <v>276</v>
      </c>
      <c r="C97" s="39">
        <v>1</v>
      </c>
      <c r="D97" s="137">
        <v>43553</v>
      </c>
      <c r="F97" s="39" t="s">
        <v>446</v>
      </c>
    </row>
    <row r="98" spans="1:7">
      <c r="A98" s="8" t="s">
        <v>277</v>
      </c>
      <c r="B98" s="8" t="s">
        <v>278</v>
      </c>
      <c r="C98" s="39">
        <v>1</v>
      </c>
      <c r="D98" s="137">
        <v>45670</v>
      </c>
      <c r="G98" s="138">
        <v>9.2303999999999997E-2</v>
      </c>
    </row>
    <row r="99" spans="1:7">
      <c r="A99" s="39" t="s">
        <v>535</v>
      </c>
      <c r="B99" s="39" t="s">
        <v>280</v>
      </c>
      <c r="C99" s="39">
        <v>1</v>
      </c>
      <c r="D99" s="137">
        <v>45530</v>
      </c>
      <c r="G99" s="39">
        <v>7.6920000000000002E-2</v>
      </c>
    </row>
    <row r="100" spans="1:7">
      <c r="A100" s="39" t="s">
        <v>536</v>
      </c>
      <c r="B100" s="39" t="s">
        <v>282</v>
      </c>
      <c r="C100" s="39">
        <v>1</v>
      </c>
      <c r="D100" s="137">
        <v>45194</v>
      </c>
      <c r="G100" s="39">
        <v>9.2303999999999997E-2</v>
      </c>
    </row>
    <row r="101" spans="1:7">
      <c r="A101" s="39" t="s">
        <v>537</v>
      </c>
      <c r="B101" s="39" t="s">
        <v>284</v>
      </c>
      <c r="C101" s="39">
        <v>1</v>
      </c>
      <c r="D101" s="137">
        <v>43353</v>
      </c>
      <c r="G101" s="39">
        <v>9.9996000000000002E-2</v>
      </c>
    </row>
    <row r="102" spans="1:7">
      <c r="A102" s="39" t="s">
        <v>538</v>
      </c>
      <c r="B102" s="39" t="s">
        <v>286</v>
      </c>
      <c r="C102" s="39">
        <v>0.8</v>
      </c>
      <c r="D102" s="137">
        <v>42562</v>
      </c>
      <c r="F102" s="39" t="s">
        <v>446</v>
      </c>
    </row>
    <row r="103" spans="1:7">
      <c r="A103" s="39" t="s">
        <v>539</v>
      </c>
      <c r="B103" s="39" t="s">
        <v>288</v>
      </c>
      <c r="C103" s="39">
        <v>1</v>
      </c>
      <c r="D103" s="137">
        <v>43829</v>
      </c>
      <c r="G103" s="39">
        <v>9.9996000000000002E-2</v>
      </c>
    </row>
    <row r="104" spans="1:7">
      <c r="A104" s="39" t="s">
        <v>289</v>
      </c>
      <c r="B104" s="39" t="s">
        <v>290</v>
      </c>
      <c r="C104" s="39">
        <v>1</v>
      </c>
      <c r="D104" s="137">
        <v>45789</v>
      </c>
      <c r="G104" s="146">
        <v>9.2304999999999998E-2</v>
      </c>
    </row>
    <row r="105" spans="1:7">
      <c r="A105" s="39" t="s">
        <v>540</v>
      </c>
      <c r="B105" s="39" t="s">
        <v>292</v>
      </c>
      <c r="C105" s="39">
        <v>0.75</v>
      </c>
      <c r="D105" s="137">
        <v>45313</v>
      </c>
      <c r="G105" s="138">
        <v>7.6920000000000002E-2</v>
      </c>
    </row>
    <row r="106" spans="1:7">
      <c r="A106" s="39" t="s">
        <v>541</v>
      </c>
      <c r="B106" s="39" t="s">
        <v>294</v>
      </c>
      <c r="C106" s="39">
        <v>0.75</v>
      </c>
      <c r="D106" s="137">
        <v>42996</v>
      </c>
      <c r="F106" s="39" t="s">
        <v>446</v>
      </c>
    </row>
    <row r="107" spans="1:7">
      <c r="A107" s="39" t="s">
        <v>542</v>
      </c>
      <c r="B107" s="39" t="s">
        <v>296</v>
      </c>
      <c r="C107" s="39">
        <v>0.75</v>
      </c>
      <c r="D107" s="137">
        <v>42255</v>
      </c>
      <c r="F107" s="39" t="s">
        <v>446</v>
      </c>
    </row>
    <row r="108" spans="1:7">
      <c r="A108" s="39" t="s">
        <v>543</v>
      </c>
      <c r="B108" s="39" t="s">
        <v>298</v>
      </c>
      <c r="C108" s="39">
        <v>1</v>
      </c>
      <c r="D108" s="137">
        <v>44816</v>
      </c>
      <c r="G108" s="39">
        <v>9.2303999999999997E-2</v>
      </c>
    </row>
    <row r="109" spans="1:7">
      <c r="A109" s="39" t="s">
        <v>544</v>
      </c>
      <c r="B109" s="39" t="s">
        <v>300</v>
      </c>
      <c r="C109" s="39">
        <v>1</v>
      </c>
      <c r="D109" s="137">
        <v>45174</v>
      </c>
      <c r="G109" s="39">
        <v>7.6920000000000002E-2</v>
      </c>
    </row>
    <row r="110" spans="1:7">
      <c r="A110" s="39" t="s">
        <v>301</v>
      </c>
      <c r="B110" s="8" t="s">
        <v>302</v>
      </c>
      <c r="C110" s="39">
        <v>1</v>
      </c>
      <c r="D110" s="137">
        <v>41512</v>
      </c>
      <c r="E110" s="137">
        <v>45712</v>
      </c>
      <c r="G110" s="138">
        <v>9.2304999999999998E-2</v>
      </c>
    </row>
    <row r="111" spans="1:7">
      <c r="A111" s="39" t="s">
        <v>545</v>
      </c>
      <c r="B111" s="39" t="s">
        <v>304</v>
      </c>
      <c r="C111" s="39">
        <v>0.75</v>
      </c>
      <c r="D111" s="137">
        <v>44585</v>
      </c>
      <c r="F111" s="39" t="s">
        <v>446</v>
      </c>
    </row>
    <row r="112" spans="1:7">
      <c r="A112" s="39" t="s">
        <v>546</v>
      </c>
      <c r="B112" s="39" t="s">
        <v>308</v>
      </c>
      <c r="C112" s="39">
        <v>0.9</v>
      </c>
      <c r="D112" s="137">
        <v>37469</v>
      </c>
      <c r="G112" s="39">
        <v>0.103842</v>
      </c>
    </row>
    <row r="113" spans="1:7">
      <c r="A113" s="39" t="s">
        <v>547</v>
      </c>
      <c r="B113" s="39" t="s">
        <v>315</v>
      </c>
      <c r="C113" s="39">
        <v>1</v>
      </c>
      <c r="D113" s="137">
        <v>42216</v>
      </c>
      <c r="F113" s="39" t="s">
        <v>446</v>
      </c>
    </row>
    <row r="114" spans="1:7">
      <c r="A114" s="39" t="s">
        <v>548</v>
      </c>
      <c r="B114" s="39" t="s">
        <v>317</v>
      </c>
      <c r="C114" s="39">
        <v>1</v>
      </c>
      <c r="D114" s="137">
        <v>44929</v>
      </c>
      <c r="G114" s="39">
        <v>7.6920000000000002E-2</v>
      </c>
    </row>
    <row r="115" spans="1:7">
      <c r="A115" s="39" t="s">
        <v>549</v>
      </c>
      <c r="B115" s="39" t="s">
        <v>319</v>
      </c>
      <c r="C115" s="39">
        <v>1</v>
      </c>
      <c r="D115" s="137">
        <v>40226</v>
      </c>
      <c r="F115" s="39" t="s">
        <v>446</v>
      </c>
    </row>
    <row r="116" spans="1:7">
      <c r="A116" s="39" t="s">
        <v>550</v>
      </c>
      <c r="B116" s="39" t="s">
        <v>321</v>
      </c>
      <c r="C116" s="39">
        <v>1</v>
      </c>
      <c r="D116" s="137">
        <v>45026</v>
      </c>
      <c r="G116" s="39">
        <v>7.6920000000000002E-2</v>
      </c>
    </row>
    <row r="117" spans="1:7">
      <c r="A117" s="39" t="s">
        <v>551</v>
      </c>
      <c r="B117" s="39" t="s">
        <v>323</v>
      </c>
      <c r="C117" s="39">
        <v>1</v>
      </c>
      <c r="D117" s="137">
        <v>37104</v>
      </c>
      <c r="F117" s="39" t="s">
        <v>446</v>
      </c>
    </row>
    <row r="118" spans="1:7">
      <c r="A118" s="39" t="s">
        <v>552</v>
      </c>
      <c r="B118" s="39" t="s">
        <v>325</v>
      </c>
      <c r="C118" s="39">
        <v>0.5</v>
      </c>
      <c r="D118" s="137">
        <v>41743</v>
      </c>
      <c r="G118" s="39">
        <v>0.103842</v>
      </c>
    </row>
    <row r="119" spans="1:7">
      <c r="A119" s="39" t="s">
        <v>553</v>
      </c>
      <c r="B119" s="39" t="s">
        <v>327</v>
      </c>
      <c r="C119" s="39">
        <v>1</v>
      </c>
      <c r="D119" s="137">
        <v>41113</v>
      </c>
      <c r="F119" s="39" t="s">
        <v>446</v>
      </c>
    </row>
    <row r="120" spans="1:7">
      <c r="A120" s="39" t="s">
        <v>554</v>
      </c>
      <c r="B120" s="39" t="s">
        <v>555</v>
      </c>
      <c r="C120" s="39">
        <v>0.9</v>
      </c>
      <c r="D120" s="137">
        <v>42219</v>
      </c>
      <c r="E120" s="139">
        <v>44298</v>
      </c>
      <c r="G120" s="39">
        <v>0.103842</v>
      </c>
    </row>
    <row r="121" spans="1:7">
      <c r="A121" s="39" t="s">
        <v>191</v>
      </c>
      <c r="B121" s="39" t="s">
        <v>192</v>
      </c>
      <c r="C121" s="39">
        <v>1</v>
      </c>
      <c r="D121" s="137">
        <v>46090</v>
      </c>
      <c r="G121" s="138">
        <v>7.6920000000000002E-2</v>
      </c>
    </row>
    <row r="122" spans="1:7">
      <c r="A122" s="39" t="s">
        <v>239</v>
      </c>
      <c r="B122" s="39" t="s">
        <v>240</v>
      </c>
      <c r="C122" s="39">
        <v>1</v>
      </c>
      <c r="D122" s="137">
        <v>46139</v>
      </c>
      <c r="F122" s="138">
        <v>7.6920000000000002E-2</v>
      </c>
      <c r="G122" s="138">
        <v>7.6920000000000002E-2</v>
      </c>
    </row>
    <row r="123" spans="1:7">
      <c r="A123" s="8" t="s">
        <v>141</v>
      </c>
      <c r="B123" s="8" t="s">
        <v>142</v>
      </c>
      <c r="C123" s="39">
        <v>1</v>
      </c>
      <c r="D123" s="137">
        <v>46230</v>
      </c>
      <c r="G123" s="138">
        <v>7.6920000000000002E-2</v>
      </c>
    </row>
    <row r="124" spans="1:7">
      <c r="A124" s="8" t="s">
        <v>179</v>
      </c>
      <c r="B124" s="41" t="s">
        <v>180</v>
      </c>
      <c r="C124" s="39">
        <v>1</v>
      </c>
      <c r="D124" s="137">
        <v>46230</v>
      </c>
      <c r="G124" s="138">
        <v>7.6920000000000002E-2</v>
      </c>
    </row>
    <row r="125" spans="1:7">
      <c r="A125" s="39" t="s">
        <v>267</v>
      </c>
      <c r="B125" s="39" t="s">
        <v>268</v>
      </c>
      <c r="C125" s="39">
        <v>1</v>
      </c>
      <c r="D125" s="137">
        <v>42625</v>
      </c>
      <c r="G125" s="39">
        <v>0.1</v>
      </c>
    </row>
    <row r="126" spans="1:7">
      <c r="A126" s="39" t="s">
        <v>309</v>
      </c>
      <c r="B126" s="39" t="s">
        <v>310</v>
      </c>
      <c r="C126" s="39">
        <v>1</v>
      </c>
      <c r="D126" s="137">
        <v>46279</v>
      </c>
      <c r="G126" s="146">
        <v>7.6921000000000003E-2</v>
      </c>
    </row>
    <row r="127" spans="1:7">
      <c r="A127" s="39" t="s">
        <v>312</v>
      </c>
      <c r="B127" s="39" t="s">
        <v>313</v>
      </c>
      <c r="C127" s="39">
        <v>1</v>
      </c>
      <c r="D127" s="137">
        <v>46279</v>
      </c>
      <c r="G127" s="146">
        <v>7.6921000000000003E-2</v>
      </c>
    </row>
  </sheetData>
  <sheetProtection sheet="1" formatCells="0" formatColumns="0" formatRows="0" insertColumns="0" insertRows="0" insertHyperlinks="0" deleteColumns="0" deleteRows="0" sort="0" autoFilter="0" pivotTables="0"/>
  <protectedRanges>
    <protectedRange algorithmName="SHA-512" hashValue="Zf1vUtz+3d8CGrlAmTx9r8pnBrEgsNVGXhwHk37QBse1O13s1psf7zH/NbttXKJxONWErMUBHCkcdoCrSRa7oQ==" saltValue="lZljU7akWEMFGSe72QgLyA==" spinCount="100000" sqref="A1:XFD1048576" name="Payroll" securityDescriptor="O:WDG:WDD:(A;;CC;;;S-1-5-21-4266775999-1434241158-117269649-15173)"/>
  </protectedRanges>
  <autoFilter ref="A1:G121" xr:uid="{00000000-0009-0000-0000-000000000000}">
    <sortState xmlns:xlrd2="http://schemas.microsoft.com/office/spreadsheetml/2017/richdata2" ref="A3:G120">
      <sortCondition sortBy="cellColor" ref="A1:A120" dxfId="0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09E38B65B8C4BBED89BDCE6D0B8BB" ma:contentTypeVersion="3" ma:contentTypeDescription="Create a new document." ma:contentTypeScope="" ma:versionID="448aa10d9a4e34616acd4fb69c37d682">
  <xsd:schema xmlns:xsd="http://www.w3.org/2001/XMLSchema" xmlns:xs="http://www.w3.org/2001/XMLSchema" xmlns:p="http://schemas.microsoft.com/office/2006/metadata/properties" xmlns:ns2="5a878fab-d39e-46dc-829f-2b584110bc98" targetNamespace="http://schemas.microsoft.com/office/2006/metadata/properties" ma:root="true" ma:fieldsID="f02fba5f0636b92f7d2661de67a95d7c" ns2:_="">
    <xsd:import namespace="5a878fab-d39e-46dc-829f-2b584110b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78fab-d39e-46dc-829f-2b584110b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5B676-E266-4F85-BE7E-9394EDA0D965}"/>
</file>

<file path=customXml/itemProps2.xml><?xml version="1.0" encoding="utf-8"?>
<ds:datastoreItem xmlns:ds="http://schemas.openxmlformats.org/officeDocument/2006/customXml" ds:itemID="{FDADBEBE-80E5-416D-B8EF-EEAC4CE4EB67}"/>
</file>

<file path=customXml/itemProps3.xml><?xml version="1.0" encoding="utf-8"?>
<ds:datastoreItem xmlns:ds="http://schemas.openxmlformats.org/officeDocument/2006/customXml" ds:itemID="{662CBCAE-2118-4537-9675-EB02A68637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Grant</dc:creator>
  <cp:keywords/>
  <dc:description/>
  <cp:lastModifiedBy>Ellie Evans Cha</cp:lastModifiedBy>
  <cp:revision/>
  <dcterms:created xsi:type="dcterms:W3CDTF">2026-05-07T16:03:20Z</dcterms:created>
  <dcterms:modified xsi:type="dcterms:W3CDTF">2026-10-16T15:56:37Z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0x01010029309E38B65B8C4BBED89BDCE6D0B8BB</vt:lpwstr>
  </property>
</Properties>
</file>